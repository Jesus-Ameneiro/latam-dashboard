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tc={313724f6-ae47-4947-ae25-43e5bb4b5ba4}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313724f6-ae47-4947-ae25-43e5bb4b5ba4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<sst xmlns="http://schemas.openxmlformats.org/spreadsheetml/2006/main" count="8624" uniqueCount="3843">
  <si>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</si>
  <si>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</si>
  <si>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</si>
  <si>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</si>
  <si>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</si>
  <si>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</si>
  <si>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</si>
  <si>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</si>
  <si>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</si>
  <si>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</si>
  <si>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</si>
  <si>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</si>
  <si>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</si>
  <si>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</si>
  <si>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</si>
  <si>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</si>
  <si>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</si>
  <si>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</si>
  <si>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</si>
  <si>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</si>
  <si>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</si>
  <si>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</si>
  <si>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</si>
  <si>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</si>
  <si>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</si>
  <si>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</si>
  <si>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</si>
  <si>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</si>
  <si>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</si>
  <si>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</si>
  <si>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</si>
  <si>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</si>
  <si>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</si>
  <si>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</si>
  <si>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</si>
  <si>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</si>
  <si>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</si>
  <si>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</si>
  <si>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</si>
  <si>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</si>
  <si>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</si>
  <si>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</si>
  <si>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</si>
  <si>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</si>
  <si>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</si>
  <si>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</si>
  <si>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</si>
  <si>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</si>
  <si>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</si>
  <si>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</si>
  <si>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</si>
  <si>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</si>
  <si>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</si>
  <si>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</si>
  <si>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</si>
  <si>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</si>
  <si>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</si>
  <si>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</si>
  <si>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</si>
  <si>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</si>
  <si>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</si>
  <si>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</si>
  <si>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</si>
  <si>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</si>
  <si>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</si>
  <si>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</si>
  <si>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</si>
  <si>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</si>
  <si>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</si>
  <si>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</si>
  <si>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</si>
  <si>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</si>
  <si>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</si>
  <si>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</si>
  <si>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</si>
  <si>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</si>
  <si>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</si>
  <si>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</si>
  <si>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</si>
  <si>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</si>
  <si>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</si>
  <si>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</si>
  <si>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</si>
  <si>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</si>
  <si>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</si>
  <si>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</si>
  <si>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</si>
  <si>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</si>
  <si>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</si>
  <si>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</si>
  <si>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</si>
  <si>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</si>
  <si>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</si>
  <si>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</si>
  <si>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</si>
  <si>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</si>
  <si>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</si>
  <si>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</si>
  <si>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</si>
  <si>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</si>
  <si>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</si>
  <si>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</si>
  <si>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</si>
  <si>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</si>
  <si>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</si>
  <si>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</si>
  <si>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</si>
  <si>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</si>
  <si>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</si>
  <si>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</si>
  <si>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</si>
  <si>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</si>
  <si>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</si>
  <si>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</si>
  <si>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</si>
  <si>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</si>
  <si>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</si>
  <si>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</si>
  <si>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</si>
  <si>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</si>
  <si>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</si>
  <si>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</si>
  <si>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</si>
  <si>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</si>
  <si>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</si>
  <si>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</si>
  <si>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</si>
  <si>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</si>
  <si>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</si>
  <si>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</si>
  <si>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</si>
  <si>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</si>
  <si>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</si>
  <si>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</si>
  <si>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</si>
  <si>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</si>
  <si>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</si>
  <si>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</si>
  <si>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</si>
  <si>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</si>
  <si>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</si>
  <si>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</si>
  <si>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</si>
  <si>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</si>
  <si>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</si>
  <si>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</si>
  <si>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</si>
  <si>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</si>
  <si>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</si>
  <si>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</si>
  <si>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</si>
  <si>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</si>
  <si>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</si>
  <si>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</si>
  <si>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</si>
  <si>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</si>
  <si>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</si>
  <si>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</si>
  <si>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</si>
  <si>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</si>
  <si>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</si>
  <si>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</si>
  <si>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</si>
  <si>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</si>
  <si>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</si>
  <si>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</si>
  <si>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</si>
  <si>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</si>
  <si>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</si>
  <si>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</si>
  <si>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</si>
  <si>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</si>
  <si>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</si>
  <si>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</si>
  <si>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</si>
  <si>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</si>
  <si>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</si>
  <si>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</si>
  <si>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</si>
  <si>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</si>
  <si>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</si>
  <si>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</si>
  <si>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</si>
  <si>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</si>
  <si>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</si>
  <si>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</si>
  <si>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</si>
  <si>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</si>
  <si>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</si>
  <si>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</si>
  <si>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</si>
  <si>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</si>
  <si>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</si>
  <si>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</si>
  <si>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</si>
  <si>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</si>
  <si>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</si>
  <si>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</si>
  <si>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</si>
  <si>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</si>
  <si>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</si>
  <si>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</si>
  <si>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</si>
  <si>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</si>
  <si>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</si>
  <si>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</si>
  <si>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</si>
  <si>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</si>
  <si>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</si>
  <si>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</si>
  <si>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</si>
  <si>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</si>
  <si>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</si>
  <si>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</si>
  <si>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</si>
  <si>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</si>
  <si>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</si>
  <si>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</si>
  <si>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</si>
  <si>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</si>
  <si>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</si>
  <si>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</si>
  <si>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</si>
  <si>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</si>
  <si>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</si>
  <si>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</si>
  <si>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</si>
  <si>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</si>
  <si>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</si>
  <si>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</si>
  <si>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</si>
  <si>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</si>
  <si>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</si>
  <si>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</si>
  <si>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</si>
  <si>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</si>
  <si>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</si>
  <si>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</si>
  <si>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</si>
  <si>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</si>
  <si>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</si>
  <si>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</si>
  <si>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</si>
  <si>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</si>
  <si>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</si>
  <si>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</si>
  <si>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</si>
  <si>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</si>
  <si>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</si>
  <si>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</si>
  <si>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</si>
  <si>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</si>
  <si>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</si>
  <si>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</si>
  <si>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</si>
  <si>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</si>
  <si>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</si>
  <si>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</si>
  <si>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</si>
  <si>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</si>
  <si>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</si>
  <si>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</si>
  <si>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</si>
  <si>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</si>
  <si>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</si>
  <si>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</si>
  <si>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</si>
  <si>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</si>
  <si>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</si>
  <si>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</si>
  <si>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</si>
  <si>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</si>
  <si>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</si>
  <si>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</si>
  <si>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</si>
  <si>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</si>
  <si>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</si>
  <si>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</si>
  <si>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</si>
  <si>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</si>
  <si>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</si>
  <si>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</si>
  <si>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</si>
  <si>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</si>
  <si>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</si>
  <si>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</si>
  <si>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</si>
  <si>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</si>
  <si>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</si>
  <si>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</si>
  <si>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</si>
  <si>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</si>
  <si>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</si>
  <si>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</si>
  <si>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</si>
  <si>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</si>
  <si>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</si>
  <si>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</si>
  <si>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</si>
  <si>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</si>
  <si>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</si>
  <si>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</si>
  <si>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</si>
  <si>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</si>
  <si>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</si>
  <si>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</si>
  <si>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</si>
  <si>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</si>
  <si>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</si>
  <si>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</si>
  <si>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</si>
  <si>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</si>
  <si>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</si>
  <si>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</si>
  <si>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</si>
  <si>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</si>
  <si>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</si>
  <si>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</si>
  <si>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</si>
  <si>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</si>
  <si>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</si>
  <si>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</si>
  <si>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</si>
  <si>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</si>
  <si>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</si>
  <si>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</si>
  <si>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</si>
  <si>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</si>
  <si>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</si>
  <si>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</si>
  <si>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</si>
  <si>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</si>
  <si>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</si>
  <si>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</si>
  <si>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</si>
  <si>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</si>
  <si>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</si>
  <si>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</si>
  <si>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</si>
  <si>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</si>
  <si>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</si>
  <si>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</si>
  <si>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</si>
  <si>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</si>
  <si>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</si>
  <si>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</si>
  <si>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</si>
  <si>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</si>
  <si>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</si>
  <si>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</si>
  <si>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</si>
  <si>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</si>
  <si>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</si>
  <si>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</si>
  <si>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</si>
  <si>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</si>
  <si>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</si>
  <si>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</si>
  <si>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</si>
  <si>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</si>
  <si>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</si>
  <si>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</si>
  <si>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</si>
  <si>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</si>
  <si>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</si>
  <si>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</si>
  <si>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</si>
  <si>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</si>
  <si>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</si>
  <si>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</si>
  <si>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</si>
  <si>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</si>
  <si>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</si>
  <si>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</si>
  <si>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</si>
  <si>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</si>
  <si>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</si>
  <si>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</si>
  <si>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</si>
  <si>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</si>
  <si>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</si>
  <si>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</si>
  <si>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</si>
  <si>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</si>
  <si>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</si>
  <si>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</si>
  <si>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</si>
  <si>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</si>
  <si>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</si>
  <si>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</si>
  <si>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</si>
  <si>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</si>
  <si>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</si>
  <si>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</si>
  <si>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</si>
  <si>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</si>
  <si>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</si>
  <si>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</si>
  <si>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</si>
  <si>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</si>
  <si>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</si>
  <si>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</si>
  <si>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</si>
  <si>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</si>
  <si>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</si>
  <si>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</si>
  <si>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</si>
  <si>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</si>
  <si>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</si>
  <si>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</si>
  <si>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</si>
  <si>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</si>
  <si>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</si>
  <si>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</si>
  <si>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</si>
  <si>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</si>
  <si>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</si>
  <si>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</si>
  <si>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</si>
  <si>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</si>
  <si>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</si>
  <si>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</si>
  <si>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</si>
  <si>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</si>
  <si>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</si>
  <si>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</si>
  <si>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</si>
  <si>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</si>
  <si>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</si>
  <si>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</si>
  <si>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</si>
  <si>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</si>
  <si>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</si>
  <si>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</si>
  <si>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</si>
  <si>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</si>
  <si>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</si>
  <si>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</si>
  <si>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</si>
  <si>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</si>
  <si>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</si>
  <si>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</si>
  <si>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</si>
  <si>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</si>
  <si>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</si>
  <si>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</si>
  <si>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</si>
  <si>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</si>
  <si>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</si>
  <si>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</si>
  <si>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</si>
  <si>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</si>
  <si>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</si>
  <si>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</si>
  <si>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</si>
  <si>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</si>
  <si>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</si>
  <si>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</si>
  <si>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</si>
  <si>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</si>
  <si>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</si>
  <si>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</si>
  <si>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</si>
  <si>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</si>
  <si>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</si>
  <si>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</si>
  <si>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</si>
  <si>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</si>
  <si>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</si>
  <si>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</si>
  <si>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</si>
  <si>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</si>
  <si>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</si>
  <si>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</si>
  <si>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</si>
  <si>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</si>
  <si>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</si>
  <si>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</si>
  <si>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</si>
  <si>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</si>
  <si>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</si>
  <si>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</si>
  <si>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</si>
  <si>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</si>
  <si>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</si>
  <si>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</si>
  <si>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</si>
  <si>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</si>
  <si>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</si>
  <si>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</si>
  <si>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</si>
  <si>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</si>
  <si>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</si>
  <si>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</si>
  <si>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</si>
  <si>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</si>
  <si>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</si>
  <si>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</si>
  <si>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</si>
  <si>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</si>
  <si>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</si>
  <si>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</si>
  <si>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</si>
  <si>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</si>
  <si>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</si>
  <si>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</si>
  <si>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</si>
  <si>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</si>
  <si>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</si>
  <si>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</si>
  <si>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</si>
  <si>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</si>
  <si>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</si>
  <si>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</si>
  <si>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</si>
  <si>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</si>
  <si>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</si>
  <si>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</si>
  <si>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</si>
  <si>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</si>
  <si>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</si>
  <si>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</si>
  <si>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</si>
  <si>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</si>
  <si>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</si>
  <si>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</si>
  <si>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</si>
  <si>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</si>
  <si>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</si>
  <si>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</si>
  <si>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</si>
  <si>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</si>
  <si>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</si>
  <si>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</si>
  <si>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</si>
  <si>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</si>
  <si>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</si>
  <si>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</si>
  <si>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</si>
  <si>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</si>
  <si>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</si>
  <si>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</si>
  <si>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</si>
  <si>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</si>
  <si>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</si>
  <si>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</si>
  <si>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</si>
  <si>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</si>
  <si>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</si>
  <si>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</si>
  <si>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</si>
  <si>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</si>
  <si>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</si>
  <si>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</si>
  <si>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</si>
  <si>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</si>
  <si>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</si>
  <si>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</si>
  <si>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</si>
  <si>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</si>
  <si>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</si>
  <si>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</si>
  <si>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</si>
  <si>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</si>
  <si>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</si>
  <si>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</si>
  <si>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</si>
  <si>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</si>
  <si>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</si>
  <si>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</si>
  <si>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</si>
  <si>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</si>
  <si>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</si>
  <si>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</si>
  <si>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</si>
  <si>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</si>
  <si>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</si>
  <si>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</si>
  <si>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</si>
  <si>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</si>
  <si>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</si>
  <si>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</si>
  <si>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</si>
  <si>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</si>
  <si>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</si>
  <si>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</si>
  <si>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</si>
  <si>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</si>
  <si>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</si>
  <si>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</si>
  <si>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</si>
  <si>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</si>
  <si>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</si>
  <si>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</si>
  <si>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</si>
  <si>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</si>
  <si>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</si>
  <si>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</si>
  <si>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</si>
  <si>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</si>
  <si>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</si>
  <si>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</si>
  <si>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</si>
  <si>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</si>
  <si>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</si>
  <si>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</si>
  <si>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</si>
  <si>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</si>
  <si>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</si>
  <si>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</si>
  <si>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</si>
  <si>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</si>
  <si>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</si>
  <si>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</si>
  <si>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</si>
  <si>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</si>
  <si>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</si>
  <si>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</si>
  <si>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</si>
  <si>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</si>
  <si>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</si>
  <si>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</si>
  <si>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</si>
  <si>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</si>
  <si>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</si>
  <si>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</si>
  <si>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</si>
  <si>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</si>
  <si>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</si>
  <si>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</si>
  <si>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</si>
  <si>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</si>
  <si>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</si>
  <si>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</si>
  <si>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</si>
  <si>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</si>
  <si>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</si>
  <si>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</si>
  <si>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</si>
  <si>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</si>
  <si>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</si>
  <si>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</si>
  <si>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</si>
  <si>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</si>
  <si>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</si>
  <si>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</si>
  <si>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</si>
  <si>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</si>
  <si>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</si>
  <si>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</si>
  <si>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</si>
  <si>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</si>
  <si>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</si>
  <si>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</si>
  <si>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</si>
  <si>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</si>
  <si>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</si>
  <si>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</si>
  <si>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</si>
  <si>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</si>
  <si>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</si>
  <si>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</si>
  <si>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</si>
  <si>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</si>
  <si>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</si>
  <si>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</si>
  <si>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</si>
  <si>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</si>
  <si>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</si>
  <si>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</si>
  <si>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</si>
  <si>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</si>
  <si>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</si>
  <si>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</si>
  <si>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</si>
  <si>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</si>
  <si>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</si>
  <si>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</si>
  <si>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</si>
  <si>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</si>
  <si>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</si>
  <si>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</si>
  <si>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</si>
  <si>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</si>
  <si>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</si>
  <si>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</si>
  <si>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</si>
  <si>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</si>
  <si>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</si>
  <si>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</si>
  <si>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</si>
  <si>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</si>
  <si>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</si>
  <si>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</si>
  <si>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</si>
  <si>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</si>
  <si>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</si>
  <si>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</si>
  <si>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</si>
  <si>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</si>
  <si>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</si>
  <si>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</si>
  <si>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</si>
  <si>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</si>
  <si>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</si>
  <si>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</si>
  <si>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</si>
  <si>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</si>
  <si>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</si>
  <si>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</si>
  <si>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</si>
  <si>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</si>
  <si>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</si>
  <si>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</si>
  <si>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</si>
  <si>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</si>
  <si>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</si>
  <si>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</si>
  <si>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</si>
  <si>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</si>
  <si>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</si>
  <si>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</si>
  <si>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</si>
  <si>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</si>
  <si>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</si>
  <si>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</si>
  <si>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</si>
  <si>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</si>
  <si>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</si>
  <si>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</si>
  <si>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</si>
  <si>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</si>
  <si>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</si>
  <si>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</si>
  <si>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</si>
  <si>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</si>
  <si>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</si>
  <si>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</si>
  <si>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</si>
  <si>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</si>
  <si>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</si>
  <si>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</si>
  <si>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</si>
  <si>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</si>
  <si>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</si>
  <si>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</si>
  <si>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</si>
  <si>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</si>
  <si>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</si>
  <si>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</si>
  <si>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</si>
  <si>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</si>
  <si>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</si>
  <si>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</si>
  <si>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</si>
  <si>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</si>
  <si>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</si>
  <si>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</si>
  <si>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</si>
  <si>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</si>
  <si>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</si>
  <si>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</si>
  <si>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</si>
  <si>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</si>
  <si>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</si>
  <si>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</si>
  <si>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</si>
  <si>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</si>
  <si>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</si>
  <si>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</si>
  <si>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</si>
  <si>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</si>
  <si>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</si>
  <si>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</si>
  <si>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</si>
  <si>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</si>
  <si>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</si>
  <si>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</si>
  <si>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</si>
  <si>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</si>
  <si>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</si>
  <si>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</si>
  <si>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</si>
  <si>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</si>
  <si>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</si>
  <si>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</si>
  <si>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</si>
  <si>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</si>
  <si>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</si>
  <si>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</si>
  <si>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</si>
  <si>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</si>
  <si>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</si>
  <si>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</si>
  <si>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</si>
  <si>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</si>
  <si>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</si>
  <si>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</si>
  <si>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</si>
  <si>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</si>
  <si>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</si>
  <si>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</si>
  <si>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</si>
  <si>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</si>
  <si>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</si>
  <si>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</si>
  <si>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</si>
  <si>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</si>
  <si>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</si>
  <si>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</si>
  <si>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</si>
  <si>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</si>
  <si>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</si>
  <si>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</si>
  <si>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</si>
  <si>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</si>
  <si>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</si>
  <si>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</si>
  <si>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</si>
  <si>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</si>
  <si>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</si>
  <si>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</si>
  <si>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</si>
  <si>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</si>
  <si>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</si>
  <si>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</si>
  <si>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</si>
  <si>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</si>
  <si>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</si>
  <si>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</si>
  <si>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</si>
  <si>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</si>
  <si>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</si>
  <si>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</si>
  <si>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</si>
  <si>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</si>
  <si>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</si>
  <si>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</si>
  <si>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</si>
  <si>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</si>
  <si>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</si>
  <si>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</si>
  <si>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</si>
  <si>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</si>
  <si>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</si>
  <si>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</si>
  <si>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</si>
  <si>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</si>
  <si>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</si>
  <si>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</si>
  <si>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</si>
  <si>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</si>
  <si>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</si>
  <si>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</si>
  <si>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</si>
  <si>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</si>
  <si>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</si>
  <si>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</si>
  <si>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</si>
  <si>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</si>
  <si>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</si>
  <si>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</si>
  <si>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</si>
  <si>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</si>
  <si>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</si>
  <si>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</si>
  <si>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</si>
  <si>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</si>
  <si>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</si>
  <si>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</si>
  <si>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</si>
  <si>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</si>
  <si>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</si>
  <si>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</si>
  <si>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</si>
  <si>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</si>
  <si>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</si>
  <si>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</si>
  <si>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</si>
  <si>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</si>
  <si>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</si>
  <si>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</si>
  <si>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</si>
  <si>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</si>
  <si>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</si>
  <si>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</si>
  <si>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</si>
  <si>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</si>
  <si>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</si>
  <si>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</si>
  <si>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</si>
  <si>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</si>
  <si>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</si>
  <si>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</si>
  <si>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</si>
  <si>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</si>
  <si>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</si>
  <si>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</si>
  <si>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</si>
  <si>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</si>
  <si>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</si>
  <si>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</si>
  <si>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</si>
  <si>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</si>
  <si>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</si>
  <si>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</si>
  <si>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</si>
  <si>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</si>
  <si>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</si>
  <si>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</si>
  <si>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</si>
  <si>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</si>
  <si>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</si>
  <si>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</si>
  <si>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</si>
  <si>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</si>
  <si>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</si>
  <si>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</si>
  <si>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</si>
  <si>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</si>
  <si>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</si>
  <si>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</si>
  <si>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</si>
  <si>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</si>
  <si>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</si>
  <si>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</si>
  <si>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</si>
  <si>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</si>
  <si>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</si>
  <si>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</si>
  <si>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</si>
  <si>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</si>
  <si>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</si>
  <si>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</si>
  <si>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</si>
  <si>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</si>
  <si>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</si>
  <si>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</si>
  <si>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</si>
  <si>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</si>
  <si>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</si>
  <si>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</si>
  <si>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</si>
  <si>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</si>
  <si>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</si>
  <si>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</si>
  <si>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</si>
  <si>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</si>
  <si>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</si>
  <si>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</si>
  <si>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</si>
  <si>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</si>
  <si>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</si>
  <si>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</si>
  <si>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</si>
  <si>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</si>
  <si>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</si>
  <si>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</si>
  <si>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</si>
  <si>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</si>
  <si>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</si>
  <si>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</si>
  <si>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</si>
  <si>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</si>
  <si>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</si>
  <si>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</si>
  <si>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</si>
  <si>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</si>
  <si>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</si>
  <si>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</si>
  <si>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</si>
  <si>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</si>
  <si>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</si>
  <si>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</si>
  <si>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</si>
  <si>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</si>
  <si>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</si>
  <si>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</si>
  <si>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</si>
  <si>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</si>
  <si>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</si>
  <si>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</si>
  <si>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</si>
  <si>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</si>
  <si>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</si>
  <si>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</si>
  <si>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</si>
  <si>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</si>
  <si>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</si>
  <si>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</si>
  <si>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</si>
  <si>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</si>
  <si>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</si>
  <si>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</si>
  <si>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</si>
  <si>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</si>
  <si>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</si>
  <si>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</si>
  <si>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</si>
  <si>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</si>
  <si>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</si>
  <si>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</si>
  <si>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</si>
  <si>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</si>
  <si>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</si>
  <si>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</si>
  <si>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</si>
  <si>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</si>
  <si>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</si>
  <si>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</si>
  <si>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</si>
  <si>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</si>
  <si>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</si>
  <si>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</si>
  <si>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</si>
  <si>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</si>
  <si>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</si>
  <si>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</si>
  <si>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</si>
  <si>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</si>
  <si>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</si>
  <si>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</si>
  <si>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</si>
  <si>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</si>
  <si>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</si>
  <si>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</si>
  <si>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</si>
  <si>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</si>
  <si>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</si>
  <si>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</si>
  <si>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</si>
  <si>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</si>
  <si>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</si>
  <si>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</si>
  <si>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</si>
  <si>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</si>
  <si>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</si>
  <si>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</si>
  <si>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</si>
  <si>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</si>
  <si>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</si>
  <si>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</si>
  <si>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</si>
  <si>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</si>
  <si>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</si>
  <si>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</si>
  <si>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</si>
  <si>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</si>
  <si>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</si>
  <si>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</si>
  <si>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</si>
  <si>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</si>
  <si>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</si>
  <si>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</si>
  <si>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</si>
  <si>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</si>
  <si>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</si>
  <si>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</si>
  <si>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</si>
  <si>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</si>
  <si>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</si>
  <si>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</si>
  <si>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</si>
  <si>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</si>
  <si>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</si>
  <si>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</si>
  <si>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</si>
  <si>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</si>
  <si>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</si>
  <si>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</si>
  <si>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</si>
  <si>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</si>
  <si>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</si>
  <si>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</si>
  <si>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</si>
  <si>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</si>
  <si>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</si>
  <si>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</si>
  <si>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</si>
  <si>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</si>
  <si>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</si>
  <si>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</si>
  <si>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</si>
  <si>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</si>
  <si>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</si>
  <si>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</si>
  <si>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</si>
  <si>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</si>
  <si>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</si>
  <si>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</si>
  <si>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</si>
  <si>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</si>
  <si>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</si>
  <si>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</si>
  <si>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</si>
  <si>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</si>
  <si>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</si>
  <si>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</si>
  <si>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</si>
  <si>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</si>
  <si>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</si>
  <si>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</si>
  <si>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</si>
  <si>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</si>
  <si>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</si>
  <si>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</si>
  <si>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</si>
  <si>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</si>
  <si>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</si>
  <si>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</si>
  <si>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</si>
  <si>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</si>
  <si>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</si>
  <si>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</si>
  <si>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</si>
  <si>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</si>
  <si>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</si>
  <si>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</si>
  <si>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</si>
  <si>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</si>
  <si>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</si>
  <si>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</si>
  <si>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</si>
  <si>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</si>
  <si>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</si>
  <si>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</si>
  <si>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</si>
  <si>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</si>
  <si>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</si>
  <si>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</si>
  <si>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</si>
  <si>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</si>
  <si>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</si>
  <si>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</si>
  <si>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</si>
  <si>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</si>
  <si>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</si>
  <si>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</si>
  <si>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</si>
  <si>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</si>
  <si>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</si>
  <si>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</si>
  <si>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</si>
  <si>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</si>
  <si>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</si>
  <si>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</si>
  <si>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</si>
  <si>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</si>
  <si>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</si>
  <si>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</si>
  <si>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</si>
  <si>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</si>
  <si>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</si>
  <si>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</si>
  <si>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</si>
  <si>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</si>
  <si>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</si>
  <si>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</si>
  <si>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</si>
  <si>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</si>
  <si>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</si>
  <si>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</si>
  <si>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</si>
  <si>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</si>
  <si>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</si>
  <si>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</si>
  <si>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</si>
  <si>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</si>
  <si>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</si>
  <si>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</si>
  <si>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</si>
  <si>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</si>
  <si>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</si>
  <si>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</si>
  <si>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</si>
  <si>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</si>
  <si>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</si>
  <si>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</si>
  <si>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</si>
  <si>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</si>
  <si>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</si>
  <si>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</si>
  <si>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</si>
  <si>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</si>
  <si>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</si>
  <si>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</si>
  <si>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</si>
  <si>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</si>
  <si>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</si>
  <si>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</si>
  <si>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</si>
  <si>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</si>
  <si>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</si>
  <si>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</si>
  <si>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</si>
  <si>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</si>
  <si>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</si>
  <si>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</si>
  <si>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</si>
  <si>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</si>
  <si>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</si>
  <si>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</si>
  <si>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</si>
  <si>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</si>
  <si>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</si>
  <si>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</si>
  <si>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</si>
  <si>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</si>
  <si>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</si>
  <si>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</si>
  <si>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</si>
  <si>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</si>
  <si>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</si>
  <si>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</si>
  <si>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</si>
  <si>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</si>
  <si>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</si>
  <si>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</si>
  <si>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</si>
  <si>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</si>
  <si>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</si>
  <si>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</si>
  <si>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</si>
  <si>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</si>
  <si>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</si>
  <si>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</si>
  <si>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</si>
  <si>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</si>
  <si>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</si>
  <si>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</si>
  <si>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</si>
  <si>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</si>
  <si>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</si>
  <si>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</si>
  <si>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</si>
  <si>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</si>
  <si>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</si>
  <si>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</si>
  <si>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</si>
  <si>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</si>
  <si>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</si>
  <si>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</si>
  <si>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</si>
  <si>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</si>
  <si>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</si>
  <si>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</si>
  <si>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</si>
  <si>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</si>
  <si>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</si>
  <si>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</si>
  <si>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</si>
  <si>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</si>
  <si>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</si>
  <si>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</si>
  <si>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</si>
  <si>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</si>
  <si>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</si>
  <si>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</si>
  <si>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</si>
  <si>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</si>
  <si>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</si>
  <si>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</si>
  <si>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</si>
  <si>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</si>
  <si>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</si>
  <si>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</si>
  <si>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</si>
  <si>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</si>
  <si>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</si>
  <si>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</si>
  <si>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</si>
  <si>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</si>
  <si>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</si>
  <si>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</si>
  <si>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</si>
  <si>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</si>
  <si>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</si>
  <si>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</si>
  <si>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</si>
  <si>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</si>
  <si>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</si>
  <si>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</si>
  <si>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</si>
  <si>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</si>
  <si>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</si>
  <si>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</si>
  <si>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</si>
  <si>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</si>
  <si>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</si>
  <si>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</si>
  <si>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</si>
  <si>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</si>
  <si>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</si>
  <si>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</si>
  <si>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</si>
  <si>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</si>
  <si>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</si>
  <si>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</si>
  <si>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</si>
  <si>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</si>
  <si>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</si>
  <si>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</si>
  <si>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</si>
  <si>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</si>
  <si>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</si>
  <si>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</si>
  <si>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</si>
  <si>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</si>
  <si>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</si>
  <si>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</si>
  <si>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</si>
  <si>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</si>
  <si>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</si>
  <si>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</si>
  <si>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</si>
  <si>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</si>
  <si>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</si>
  <si>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</si>
  <si>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</si>
  <si>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</si>
  <si>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</si>
  <si>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</si>
  <si>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</si>
  <si>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</si>
  <si>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</si>
  <si>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</si>
  <si>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</si>
  <si>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</si>
  <si>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</si>
  <si>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</si>
  <si>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</si>
  <si>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</si>
  <si>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</si>
  <si>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</si>
  <si>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</si>
  <si>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</si>
  <si>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</si>
  <si>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</si>
  <si>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</si>
  <si>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</si>
  <si>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</si>
  <si>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</si>
  <si>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</si>
  <si>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</si>
  <si>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</si>
  <si>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</si>
  <si>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</si>
  <si>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</si>
  <si>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</si>
  <si>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</si>
  <si>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</si>
  <si>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</si>
  <si>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</si>
  <si>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</si>
  <si>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</si>
  <si>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</si>
  <si>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</si>
  <si>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</si>
  <si>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</si>
  <si>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</si>
  <si>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</si>
  <si>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</si>
  <si>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</si>
  <si>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</si>
  <si>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</si>
  <si>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</si>
  <si>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</si>
  <si>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</si>
  <si>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</si>
  <si>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</si>
  <si>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</si>
  <si>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</si>
  <si>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</si>
  <si>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</si>
  <si>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</si>
  <si>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</si>
  <si>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</si>
  <si>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</si>
  <si>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</si>
  <si>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</si>
  <si>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</si>
  <si>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</si>
  <si>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</si>
  <si>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</si>
  <si>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</si>
  <si>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</si>
  <si>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</si>
  <si>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</si>
  <si>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</si>
  <si>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</si>
  <si>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</si>
  <si>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</si>
  <si>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</si>
  <si>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</si>
  <si>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</si>
  <si>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</si>
  <si>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</si>
  <si>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</si>
  <si>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</si>
  <si>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</si>
  <si>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</si>
  <si>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</si>
  <si>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</si>
  <si>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</si>
  <si>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</si>
  <si>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</si>
  <si>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</si>
  <si>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</si>
  <si>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</si>
  <si>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</si>
  <si>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</si>
  <si>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</si>
  <si>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</si>
  <si>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</si>
  <si>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</si>
  <si>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</si>
  <si>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</si>
  <si>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</si>
  <si>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</si>
  <si>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</si>
  <si>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</si>
  <si>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</si>
  <si>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</si>
  <si>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</si>
  <si>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</si>
  <si>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</si>
  <si>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</si>
  <si>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</si>
  <si>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</si>
  <si>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</si>
  <si>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</si>
  <si>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</si>
  <si>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</si>
  <si>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</si>
  <si>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</si>
  <si>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</si>
  <si>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</si>
  <si>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</si>
  <si>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</si>
  <si>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</si>
  <si>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</si>
  <si>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</si>
  <si>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</si>
  <si>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</si>
  <si>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</si>
  <si>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</si>
  <si>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</si>
  <si>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</si>
  <si>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</si>
  <si>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</si>
  <si>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</si>
  <si>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</si>
  <si>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</si>
  <si>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</si>
  <si>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</si>
  <si>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</si>
  <si>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</si>
  <si>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</si>
  <si>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</si>
  <si>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</si>
  <si>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</si>
  <si>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</si>
  <si>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</si>
  <si>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</si>
  <si>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</si>
  <si>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</si>
  <si>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</si>
  <si>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</si>
  <si>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</si>
  <si>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</si>
  <si>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</si>
  <si>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</si>
  <si>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</si>
  <si>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</si>
  <si>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</si>
  <si>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</si>
  <si>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</si>
  <si>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</si>
  <si>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</si>
  <si>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</si>
  <si>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</si>
  <si>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</si>
  <si>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</si>
  <si>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</si>
  <si>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</si>
  <si>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</si>
  <si>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</si>
  <si>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</si>
  <si>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</si>
  <si>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</si>
  <si>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</si>
  <si>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</si>
  <si>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</si>
  <si>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</si>
  <si>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</si>
  <si>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</si>
  <si>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</si>
  <si>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</si>
  <si>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</si>
  <si>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</si>
  <si>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</si>
  <si>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</si>
  <si>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</si>
  <si>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</si>
  <si>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</si>
  <si>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</si>
  <si>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</si>
  <si>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</si>
  <si>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</si>
  <si>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</si>
  <si>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</si>
  <si>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</si>
  <si>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</si>
  <si>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</si>
  <si>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</si>
  <si>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</si>
  <si>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</si>
  <si>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</si>
  <si>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</si>
  <si>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</si>
  <si>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</si>
  <si>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</si>
  <si>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</si>
  <si>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</si>
  <si>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</si>
  <si>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</si>
  <si>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</si>
  <si>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</si>
  <si>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</si>
  <si>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</si>
  <si>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</si>
  <si>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</si>
  <si>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</si>
  <si>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</si>
  <si>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</si>
  <si>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</si>
  <si>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</si>
  <si>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</si>
  <si>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</si>
  <si>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</si>
  <si>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</si>
  <si>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</si>
  <si>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</si>
  <si>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</si>
  <si>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</si>
  <si>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</si>
  <si>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</si>
  <si>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</si>
  <si>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</si>
  <si>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</si>
  <si>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</si>
  <si>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</si>
  <si>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</si>
  <si>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</si>
  <si>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</si>
  <si>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</si>
  <si>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</si>
  <si>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</si>
  <si>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</si>
  <si>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</si>
  <si>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</si>
  <si>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</si>
  <si>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</si>
  <si>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</si>
  <si>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</si>
  <si>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</si>
  <si>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</si>
  <si>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</si>
  <si>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</si>
  <si>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</si>
  <si>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</si>
  <si>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</si>
  <si>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</si>
  <si>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</si>
  <si>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</si>
  <si>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</si>
  <si>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</si>
  <si>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</si>
  <si>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</si>
  <si>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</si>
  <si>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</si>
  <si>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</si>
  <si>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</si>
  <si>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</si>
  <si>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</si>
  <si>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</si>
  <si>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</si>
  <si>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</si>
  <si>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</si>
  <si>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</si>
  <si>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</si>
  <si>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</si>
  <si>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</si>
  <si>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</si>
  <si>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</si>
  <si>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</si>
  <si>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</si>
  <si>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</si>
  <si>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</si>
  <si>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</si>
  <si>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</si>
  <si>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</si>
  <si>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</si>
  <si>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</si>
  <si>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</si>
  <si>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</si>
  <si>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</si>
  <si>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</si>
  <si>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</si>
  <si>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</si>
  <si>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</si>
  <si>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</si>
  <si>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</si>
  <si>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</si>
  <si>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</si>
  <si>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</si>
  <si>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</si>
  <si>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</si>
  <si>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</si>
  <si>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</si>
  <si>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</si>
  <si>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</si>
  <si>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</si>
  <si>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</si>
  <si>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</si>
  <si>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</si>
  <si>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</si>
  <si>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</si>
  <si>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</si>
  <si>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</si>
  <si>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</si>
  <si>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</si>
  <si>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</si>
  <si>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</si>
  <si>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</si>
  <si>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</si>
  <si>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</si>
  <si>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</si>
  <si>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</si>
  <si>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</si>
  <si>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</si>
  <si>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</si>
  <si>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</si>
  <si>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</si>
  <si>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</si>
  <si>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</si>
  <si>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</si>
  <si>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</si>
  <si>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</si>
  <si>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</si>
  <si>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</si>
  <si>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</si>
  <si>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</si>
  <si>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</si>
  <si>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</si>
  <si>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</si>
  <si>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</si>
  <si>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</si>
  <si>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</si>
  <si>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</si>
  <si>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</si>
  <si>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</si>
  <si>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</si>
  <si>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</si>
  <si>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</si>
  <si>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</si>
  <si>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</si>
  <si>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</si>
  <si>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</si>
  <si>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</si>
  <si>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</si>
  <si>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</si>
  <si>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</si>
  <si>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</si>
  <si>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</si>
  <si>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</si>
  <si>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</si>
  <si>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</si>
  <si>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</si>
  <si>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</si>
  <si>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</si>
  <si>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</si>
  <si>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</si>
  <si>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</si>
  <si>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</si>
  <si>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</si>
  <si>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</si>
  <si>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</si>
  <si>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</si>
  <si>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</si>
  <si>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</si>
  <si>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</si>
  <si>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</si>
  <si>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</si>
  <si>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</si>
  <si>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</si>
  <si>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</si>
  <si>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</si>
  <si>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</si>
  <si>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</si>
  <si>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</si>
  <si>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</si>
  <si>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</si>
  <si>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</si>
  <si>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</si>
  <si>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</si>
  <si>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</si>
  <si>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</si>
  <si>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</si>
  <si>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</si>
  <si>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</si>
  <si>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</si>
  <si>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</si>
  <si>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</si>
  <si>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</si>
  <si>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</si>
  <si>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</si>
  <si>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</si>
  <si>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</si>
  <si>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</si>
  <si>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</si>
  <si>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</si>
  <si>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</si>
  <si>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</si>
  <si>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</si>
  <si>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</si>
  <si>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</si>
  <si>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</si>
  <si>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</si>
  <si>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</si>
  <si>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</si>
  <si>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</si>
  <si>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</si>
  <si>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</si>
  <si>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</si>
  <si>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</si>
  <si>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</si>
  <si>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</si>
  <si>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</si>
  <si>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</si>
  <si>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</si>
  <si>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</si>
  <si>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</si>
  <si>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</si>
  <si>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</si>
  <si>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</si>
  <si>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</si>
  <si>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</si>
  <si>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</si>
  <si>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</si>
  <si>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</si>
  <si>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</si>
  <si>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</si>
  <si>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</si>
  <si>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</si>
  <si>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</si>
  <si>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</si>
  <si>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</si>
  <si>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</si>
  <si>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</si>
  <si>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</si>
  <si>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</si>
  <si>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</si>
  <si>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</si>
  <si>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</si>
  <si>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</si>
  <si>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</si>
  <si>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</si>
  <si>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</si>
  <si>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</si>
  <si>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</si>
  <si>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</si>
  <si>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</si>
  <si>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</si>
  <si>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</si>
  <si>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</si>
  <si>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</si>
  <si>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</si>
  <si>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</si>
  <si>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</si>
  <si>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</si>
  <si>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</si>
  <si>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</si>
  <si>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</si>
  <si>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</si>
  <si>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</si>
  <si>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</si>
  <si>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</si>
  <si>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</si>
  <si>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</si>
  <si>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</si>
  <si>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</si>
  <si>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</si>
  <si>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</si>
  <si>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</si>
  <si>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</si>
  <si>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</si>
  <si>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</si>
  <si>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</si>
  <si>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</si>
  <si>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</si>
  <si>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</si>
  <si>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</si>
  <si>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</si>
  <si>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</si>
  <si>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</si>
  <si>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</si>
  <si>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</si>
  <si>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</si>
  <si>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</si>
  <si>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</si>
  <si>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</si>
  <si>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</si>
  <si>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</si>
  <si>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</si>
  <si>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</si>
  <si>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</si>
  <si>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</si>
  <si>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</si>
  <si>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</si>
  <si>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</si>
  <si>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</si>
  <si>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</si>
  <si>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</si>
  <si>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</si>
  <si>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</si>
  <si>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</si>
  <si>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</si>
  <si>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</si>
  <si>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</si>
  <si>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</si>
  <si>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</si>
  <si>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</si>
  <si>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</si>
  <si>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</si>
  <si>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</si>
  <si>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</si>
  <si>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</si>
  <si>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</si>
  <si>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</si>
  <si>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</si>
  <si>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</si>
  <si>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</si>
  <si>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</si>
  <si>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</si>
  <si>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</si>
  <si>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</si>
  <si>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</si>
  <si>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</si>
  <si>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</si>
  <si>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</si>
  <si>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</si>
  <si>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</si>
  <si>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</si>
  <si>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</si>
  <si>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</si>
  <si>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</si>
  <si>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</si>
  <si>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</si>
  <si>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</si>
  <si>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</si>
  <si>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</si>
  <si>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</si>
  <si>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</si>
  <si>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</si>
  <si>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</si>
  <si>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</si>
  <si>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</si>
  <si>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</si>
  <si>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</si>
  <si>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</si>
  <si>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</si>
  <si>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</si>
  <si>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</si>
  <si>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</si>
  <si>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</si>
  <si>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</si>
  <si>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</si>
  <si>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</si>
  <si>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</si>
  <si>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</si>
  <si>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</si>
  <si>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</si>
  <si>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</si>
  <si>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</si>
  <si>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</si>
  <si>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</si>
  <si>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</si>
  <si>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</si>
  <si>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</si>
  <si>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</si>
  <si>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</si>
  <si>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</si>
  <si>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</si>
  <si>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</si>
  <si>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</si>
  <si>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</si>
  <si>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</si>
  <si>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</si>
  <si>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</si>
  <si>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</si>
  <si>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</si>
  <si>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</si>
  <si>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</si>
  <si>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</si>
  <si>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</si>
  <si>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</si>
  <si>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</si>
  <si>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</si>
  <si>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</si>
  <si>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</si>
  <si>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</si>
  <si>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</si>
  <si>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</si>
  <si>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</si>
  <si>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</si>
  <si>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</si>
  <si>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</si>
  <si>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</si>
  <si>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</si>
  <si>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</si>
  <si>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</si>
  <si>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</si>
  <si>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</si>
  <si>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</si>
  <si>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</si>
  <si>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</si>
  <si>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</si>
  <si>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</si>
  <si>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</si>
  <si>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</si>
  <si>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</si>
  <si>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</si>
  <si>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</si>
  <si>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</si>
  <si>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</si>
  <si>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</si>
  <si>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</si>
  <si>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</si>
  <si>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</si>
  <si>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</si>
  <si>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</si>
  <si>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</si>
  <si>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</si>
  <si>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</si>
  <si>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</si>
  <si>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</si>
  <si>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</si>
  <si>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</si>
  <si>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</si>
  <si>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</si>
  <si>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</si>
  <si>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</si>
  <si>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</si>
  <si>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</si>
  <si>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</si>
  <si>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</si>
  <si>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</si>
  <si>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</si>
  <si>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</si>
  <si>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</si>
  <si>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</si>
  <si>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</si>
  <si>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</si>
  <si>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</si>
  <si>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</si>
  <si>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</si>
  <si>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</si>
  <si>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</si>
  <si>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</si>
  <si>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</si>
  <si>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</si>
  <si>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</si>
  <si>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</si>
  <si>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</si>
  <si>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</si>
  <si>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</si>
  <si>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</si>
  <si>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</si>
  <si>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</si>
  <si>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</si>
  <si>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</si>
  <si>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</si>
  <si>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</si>
  <si>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</si>
  <si>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</si>
  <si>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</si>
  <si>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</si>
  <si>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</si>
  <si>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</si>
  <si>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</si>
  <si>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</si>
  <si>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</si>
  <si>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</si>
  <si>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</si>
  <si>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</si>
  <si>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</si>
  <si>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</si>
  <si>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</si>
  <si>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</si>
  <si>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</si>
  <si>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</si>
  <si>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</si>
  <si>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</si>
  <si>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</si>
  <si>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</si>
  <si>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</si>
  <si>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</si>
  <si>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</si>
  <si>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</si>
  <si>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</si>
  <si>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</si>
  <si>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</si>
  <si>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</si>
  <si>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</si>
  <si>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</si>
  <si>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</si>
  <si>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</si>
  <si>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</si>
  <si>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</si>
  <si>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</si>
  <si>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</si>
  <si>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</si>
  <si>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</si>
  <si>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</si>
  <si>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</si>
  <si>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</si>
  <si>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</si>
  <si>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</si>
  <si>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</si>
  <si>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</si>
  <si>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</si>
  <si>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</si>
  <si>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</si>
  <si>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</si>
  <si>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</si>
  <si>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</si>
  <si>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</si>
  <si>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</si>
  <si>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</si>
  <si>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</si>
  <si>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</si>
  <si>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</si>
  <si>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</si>
  <si>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</si>
  <si>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</si>
  <si>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</si>
  <si>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</si>
  <si>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</si>
  <si>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</si>
  <si>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</si>
  <si>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</si>
  <si>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</si>
  <si>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</si>
  <si>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</si>
  <si>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</si>
  <si>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</si>
  <si>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</si>
  <si>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</si>
  <si>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</si>
  <si>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</si>
  <si>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</si>
  <si>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</si>
  <si>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</si>
  <si>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</si>
  <si>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</si>
  <si>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</si>
  <si>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</si>
  <si>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</si>
  <si>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</si>
  <si>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</si>
  <si>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</si>
  <si>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</si>
  <si>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</si>
  <si>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</si>
  <si>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</si>
  <si>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</si>
  <si>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</si>
  <si>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</si>
  <si>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</si>
  <si>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</si>
  <si>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</si>
  <si>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</si>
  <si>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</si>
  <si>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</si>
  <si>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</si>
  <si>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</si>
  <si>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</si>
  <si>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</si>
  <si>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</si>
  <si>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</si>
  <si>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</si>
  <si>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</si>
  <si>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</si>
  <si>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</si>
  <si>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</si>
  <si>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</si>
  <si>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</si>
  <si>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</si>
  <si>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</si>
  <si>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</si>
  <si>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</si>
  <si>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</si>
  <si>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</si>
  <si>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</si>
  <si>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</si>
  <si>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</si>
  <si>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</si>
  <si>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</si>
  <si>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</si>
  <si>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</si>
  <si>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</si>
  <si>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</si>
  <si>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</si>
  <si>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</si>
  <si>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</si>
  <si>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</si>
  <si>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</si>
  <si>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</si>
  <si>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</si>
  <si>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</si>
  <si>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</si>
  <si>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</si>
  <si>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</si>
  <si>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</si>
  <si>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</si>
  <si>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</si>
  <si>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</si>
  <si>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</si>
  <si>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</si>
  <si>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</si>
  <si>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</si>
  <si>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</si>
  <si>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</si>
  <si>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</si>
  <si>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</si>
  <si>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</si>
  <si>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</si>
  <si>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</si>
  <si>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</si>
  <si>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</si>
  <si>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</si>
  <si>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</si>
  <si>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</si>
  <si>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</si>
  <si>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</si>
  <si>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</si>
  <si>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</si>
  <si>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</si>
  <si>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</si>
  <si>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</si>
  <si>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</si>
  <si>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</si>
  <si>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</si>
  <si>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</si>
  <si>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</si>
  <si>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</si>
  <si>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</si>
  <si>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</si>
  <si>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</si>
  <si>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</si>
  <si>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</si>
  <si>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</si>
  <si>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</si>
  <si>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</si>
  <si>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</si>
  <si>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</si>
  <si>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</si>
  <si>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</si>
  <si>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</si>
  <si>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</si>
  <si>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</si>
  <si>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</si>
  <si>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</si>
  <si>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</si>
  <si>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</si>
  <si>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</si>
  <si>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</si>
  <si>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</si>
  <si>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</si>
  <si>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</si>
  <si>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</si>
  <si>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</si>
  <si>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</si>
  <si>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</si>
  <si>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</si>
  <si>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</si>
  <si>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</si>
  <si>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</si>
  <si>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</si>
  <si>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</si>
  <si>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</si>
  <si>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</si>
  <si>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</si>
  <si>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</si>
  <si>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</si>
  <si>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</si>
  <si>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</si>
  <si>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</si>
  <si>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</si>
  <si>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</si>
  <si>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</si>
  <si>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</si>
  <si>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</si>
  <si>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</si>
  <si>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</si>
  <si>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</si>
  <si>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</si>
  <si>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</si>
  <si>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</si>
  <si>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</si>
  <si>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</si>
  <si>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</si>
  <si>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</si>
  <si>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</si>
  <si>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</si>
  <si>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</si>
  <si>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</si>
  <si>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</si>
  <si>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</si>
  <si>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</si>
  <si>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</si>
  <si>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</si>
  <si>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</si>
  <si>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</si>
  <si>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</si>
  <si>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</si>
  <si>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</si>
  <si>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</si>
  <si>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</si>
  <si>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</si>
  <si>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</si>
  <si>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</si>
  <si>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</si>
  <si>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</si>
  <si>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</si>
  <si>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</si>
  <si>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</si>
  <si>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</si>
  <si>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</si>
  <si>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</si>
  <si>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</si>
  <si>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</si>
  <si>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</si>
  <si>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</si>
  <si>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</si>
  <si>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</si>
  <si>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</si>
  <si>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</si>
  <si>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</si>
  <si>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</si>
  <si>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</si>
  <si>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</si>
  <si>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</si>
  <si>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</si>
  <si>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</si>
  <si>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</si>
  <si>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</si>
  <si>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</si>
  <si>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</si>
  <si>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</si>
  <si>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</si>
  <si>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</si>
  <si>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</si>
  <si>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</si>
  <si>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</si>
  <si>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</si>
  <si>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</si>
  <si>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</si>
  <si>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</si>
  <si>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</si>
  <si>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</si>
  <si>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</si>
  <si>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</si>
  <si>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</si>
  <si>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</si>
  <si>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</si>
  <si>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</si>
  <si>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</si>
  <si>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</si>
  <si>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</si>
  <si>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</si>
  <si>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</si>
  <si>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</si>
  <si>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</si>
  <si>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</si>
  <si>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</si>
  <si>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</si>
  <si>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</si>
  <si>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</si>
  <si>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</si>
  <si>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</si>
  <si>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</si>
  <si>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</si>
  <si>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</si>
  <si>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</si>
  <si>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</si>
  <si>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</si>
  <si>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</si>
  <si>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</si>
  <si>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</si>
  <si>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</si>
  <si>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</si>
  <si>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</si>
  <si>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</si>
  <si>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</si>
  <si>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</si>
  <si>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</si>
  <si>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</si>
  <si>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</si>
  <si>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</si>
  <si>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</si>
  <si>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</si>
  <si>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</si>
  <si>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</si>
  <si>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</si>
  <si>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</si>
  <si>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</si>
  <si>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</si>
  <si>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</si>
  <si>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</si>
  <si>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</si>
  <si>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</si>
  <si>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</si>
  <si>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</si>
  <si>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</si>
  <si>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</si>
  <si>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</si>
  <si>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</si>
  <si>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</si>
  <si>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</si>
  <si>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</si>
  <si>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</si>
  <si>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</si>
  <si>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</si>
  <si>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</si>
  <si>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</si>
  <si>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</si>
  <si>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</si>
  <si>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</si>
  <si>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</si>
  <si>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</si>
  <si>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</si>
  <si>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</si>
  <si>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</si>
  <si>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</si>
  <si>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</si>
  <si>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</si>
  <si>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</si>
  <si>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</si>
  <si>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</si>
  <si>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</si>
  <si>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</si>
  <si>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</si>
  <si>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</si>
  <si>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</si>
  <si>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</si>
  <si>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</si>
  <si>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</si>
  <si>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</si>
  <si>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</si>
  <si>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</si>
  <si>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</si>
  <si>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</si>
  <si>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</si>
  <si>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</si>
  <si>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</si>
  <si>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</si>
  <si>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</si>
  <si>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</si>
  <si>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</si>
  <si>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</si>
  <si>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</si>
  <si>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</si>
  <si>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</si>
  <si>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</si>
  <si>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</si>
  <si>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</si>
  <si>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</si>
  <si>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</si>
  <si>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</si>
  <si>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</si>
  <si>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</si>
  <si>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</si>
  <si>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</si>
  <si>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</si>
  <si>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</si>
  <si>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</si>
  <si>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</si>
  <si>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</si>
  <si>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</si>
  <si>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</si>
  <si>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</si>
  <si>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</si>
  <si>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</si>
  <si>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</si>
  <si>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</si>
  <si>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</si>
  <si>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</si>
  <si>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</si>
  <si>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</si>
  <si>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</si>
  <si>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</si>
  <si>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</si>
  <si>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</si>
  <si>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</si>
  <si>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</si>
  <si>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</si>
  <si>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</si>
  <si>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</si>
  <si>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</si>
  <si>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</si>
  <si>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</si>
  <si>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</si>
  <si>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</si>
  <si>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</si>
  <si>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</si>
  <si>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</si>
  <si>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</si>
  <si>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</si>
  <si>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</si>
  <si>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</si>
  <si>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</si>
  <si>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</si>
  <si>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</si>
  <si>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</si>
  <si>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</si>
  <si>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</si>
  <si>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</si>
  <si>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</si>
  <si>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</si>
  <si>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</si>
  <si>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</si>
  <si>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</si>
  <si>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</si>
  <si>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</si>
  <si>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</si>
  <si>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</si>
  <si>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</si>
  <si>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</si>
  <si>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</si>
  <si>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</si>
  <si>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</si>
  <si>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</si>
  <si>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</si>
  <si>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</si>
  <si>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</si>
  <si>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</si>
  <si>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</si>
  <si>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</si>
  <si>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</si>
  <si>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</si>
  <si>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</si>
  <si>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</si>
  <si>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</si>
  <si>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</si>
  <si>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</si>
  <si>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</si>
  <si>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</si>
  <si>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</si>
  <si>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</si>
  <si>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</si>
  <si>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</si>
  <si>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</si>
  <si>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</si>
  <si>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</si>
  <si>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</si>
  <si>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</si>
  <si>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</si>
  <si>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</si>
  <si>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</si>
  <si>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</si>
  <si>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</si>
  <si>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</si>
  <si>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</si>
  <si>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</si>
  <si>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</si>
  <si>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</si>
  <si>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</si>
  <si>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</si>
  <si>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</si>
  <si>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</si>
  <si>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</si>
  <si>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</si>
  <si>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</si>
  <si>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</si>
  <si>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</si>
  <si>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</si>
  <si>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</si>
  <si>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</si>
  <si>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</si>
  <si>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</si>
  <si>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</si>
  <si>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</si>
  <si>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</si>
  <si>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</si>
  <si>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</si>
  <si>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</si>
  <si>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</si>
  <si>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</si>
  <si>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</si>
  <si>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</si>
  <si>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</si>
  <si>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</si>
  <si>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</si>
  <si>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</si>
  <si>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</si>
  <si>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</si>
  <si>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</si>
  <si>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</si>
  <si>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</si>
  <si>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</si>
  <si>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</si>
  <si>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</si>
  <si>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</si>
  <si>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</si>
  <si>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</si>
  <si>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</si>
  <si>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</si>
  <si>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</si>
  <si>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</si>
  <si>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</si>
  <si>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</si>
  <si>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</si>
  <si>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</si>
  <si>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</si>
  <si>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</si>
  <si>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</si>
  <si>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</si>
  <si>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</si>
  <si>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</si>
  <si>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</si>
  <si>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</si>
  <si>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</si>
  <si>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</si>
  <si>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</si>
  <si>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</si>
  <si>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</si>
  <si>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</si>
  <si>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</si>
  <si>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</si>
  <si>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</si>
  <si>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</si>
  <si>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</si>
  <si>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</si>
  <si>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</si>
  <si>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</si>
  <si>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</si>
  <si>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</si>
  <si>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</si>
  <si>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</si>
  <si>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</si>
  <si>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</si>
  <si>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</si>
  <si>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</si>
  <si>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</si>
  <si>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</si>
  <si>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</si>
  <si>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</si>
  <si>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</si>
  <si>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</si>
  <si>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</si>
  <si>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</si>
  <si>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</si>
  <si>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</si>
  <si>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</si>
  <si>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</si>
  <si>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</si>
  <si>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</si>
  <si>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</si>
  <si>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</si>
  <si>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</si>
  <si>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</si>
  <si>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</si>
  <si>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</si>
  <si>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</si>
  <si>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</si>
  <si>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</si>
  <si>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</si>
  <si>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</si>
  <si>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</si>
  <si>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</si>
  <si>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</si>
  <si>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</si>
  <si>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</si>
  <si>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</si>
  <si>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</si>
  <si>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</si>
  <si>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</si>
  <si>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</si>
  <si>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</si>
  <si>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</si>
  <si>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</si>
  <si>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</si>
  <si>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</si>
  <si>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</si>
  <si>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</si>
  <si>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</si>
  <si>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</si>
  <si>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</si>
  <si>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</si>
  <si>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</si>
  <si>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</si>
  <si>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</si>
  <si>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</si>
  <si>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</si>
  <si>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</si>
  <si>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</si>
  <si>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</si>
  <si>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</si>
  <si>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</si>
  <si>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</si>
  <si>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</si>
  <si>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</si>
  <si>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</si>
  <si>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</si>
  <si>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</si>
  <si>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</si>
  <si>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</si>
  <si>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</si>
  <si>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</si>
  <si>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</si>
  <si>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</si>
  <si>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</si>
  <si>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</si>
  <si>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</si>
  <si>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</si>
  <si>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</si>
  <si>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</si>
  <si>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</si>
  <si>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</si>
  <si>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</si>
  <si>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</si>
  <si>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</si>
  <si>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</si>
  <si>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</si>
  <si>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</si>
  <si>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</si>
  <si>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</si>
  <si>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</si>
  <si>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</si>
  <si>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</si>
  <si>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</si>
  <si>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</si>
  <si>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</si>
  <si>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</si>
  <si>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</si>
  <si>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</si>
  <si>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</si>
  <si>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</si>
  <si>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</si>
  <si>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</si>
  <si>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</si>
  <si>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</si>
  <si>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</si>
  <si>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</si>
  <si>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</si>
  <si>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</si>
  <si>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</si>
  <si>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</si>
  <si>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</si>
  <si>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</si>
  <si>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</si>
  <si>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</si>
  <si>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</si>
  <si>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</si>
  <si>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</si>
  <si>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</si>
  <si>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</si>
  <si>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</si>
  <si>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</si>
  <si>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</si>
  <si>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</si>
  <si>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</si>
  <si>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</si>
  <si>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</si>
  <si>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</si>
  <si>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</si>
  <si>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</si>
  <si>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</si>
  <si>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</si>
  <si>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</si>
  <si>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</si>
  <si>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</si>
  <si>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</si>
  <si>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</si>
  <si>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</si>
  <si>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</si>
  <si>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</si>
  <si>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</si>
  <si>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</si>
  <si>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</si>
  <si>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</si>
  <si>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</si>
  <si>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</si>
  <si>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</si>
  <si>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</si>
  <si>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</si>
  <si>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</si>
  <si>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</si>
  <si>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</si>
  <si>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</si>
  <si>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</si>
  <si>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</si>
  <si>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</si>
  <si>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</si>
  <si>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</si>
  <si>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</si>
  <si>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</si>
  <si>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</si>
  <si>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</si>
  <si>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</si>
  <si>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</si>
  <si>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</si>
  <si>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</si>
  <si>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</si>
  <si>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</si>
  <si>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</si>
  <si>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</si>
  <si>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</si>
  <si>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</si>
  <si>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</si>
  <si>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</si>
  <si>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</si>
  <si>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</si>
  <si>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</si>
  <si>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</si>
  <si>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</si>
  <si>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</si>
  <si>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</si>
  <si>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</si>
  <si>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</si>
  <si>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</si>
  <si>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</si>
  <si>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</si>
  <si>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</si>
  <si>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</si>
  <si>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</si>
  <si>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</si>
  <si>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</si>
  <si>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</si>
  <si>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</si>
  <si>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</si>
  <si>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</si>
  <si>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</si>
  <si>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</si>
  <si>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</si>
  <si>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</si>
  <si>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</si>
  <si>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</si>
  <si>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</si>
  <si>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</si>
  <si>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</si>
  <si>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</si>
  <si>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</si>
  <si>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</si>
  <si>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</si>
  <si>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</si>
  <si>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</si>
  <si>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</si>
  <si>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</si>
  <si>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</si>
  <si>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</si>
  <si>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</si>
  <si>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</si>
  <si>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</si>
  <si>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</si>
  <si>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</si>
  <si>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</si>
  <si>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</si>
  <si>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</si>
  <si>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</si>
  <si>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</si>
  <si>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</si>
  <si>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</si>
  <si>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</si>
  <si>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</si>
  <si>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</si>
  <si>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</si>
  <si>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</si>
  <si>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</si>
  <si>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</si>
  <si>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</si>
  <si>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</si>
  <si>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</si>
  <si>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</si>
  <si>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</si>
  <si>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</si>
  <si>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</si>
  <si>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</si>
  <si>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</si>
  <si>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</si>
  <si>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</si>
  <si>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</si>
  <si>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</si>
  <si>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</si>
  <si>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</si>
  <si>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</si>
  <si>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</si>
  <si>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</si>
  <si>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</si>
  <si>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</si>
  <si>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</si>
  <si>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</si>
  <si>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</si>
  <si>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</si>
  <si>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</si>
  <si>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</si>
  <si>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</si>
  <si>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</si>
  <si>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</si>
  <si>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</si>
  <si>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</si>
  <si>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</si>
  <si>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</si>
  <si>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</si>
  <si>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</si>
  <si>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</si>
  <si>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</si>
  <si>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</si>
  <si>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</si>
  <si>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</si>
  <si>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</si>
  <si>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</si>
  <si>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</si>
  <si>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</si>
  <si>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</si>
  <si>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</si>
  <si>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</si>
  <si>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</si>
  <si>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</si>
  <si>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</si>
  <si>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</si>
  <si>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</si>
  <si>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</si>
  <si>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</si>
  <si>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</si>
  <si>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</si>
  <si>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</si>
  <si>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</si>
  <si>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</si>
  <si>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</si>
  <si>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</si>
  <si>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</si>
  <si>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</si>
  <si>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</si>
  <si>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</si>
  <si>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</si>
  <si>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</si>
  <si>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</si>
  <si>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</si>
  <si>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</si>
  <si>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</si>
  <si>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</si>
  <si>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</si>
  <si>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</si>
  <si>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</si>
  <si>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</si>
  <si>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</si>
  <si>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</si>
  <si>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</si>
  <si>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</si>
  <si>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</si>
  <si>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</si>
  <si>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</si>
  <si>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</si>
  <si>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</si>
  <si>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</si>
  <si>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</si>
  <si>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</si>
  <si>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</si>
  <si>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</si>
  <si>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</si>
  <si>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</si>
  <si>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</si>
  <si>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</si>
  <si>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</si>
  <si>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</si>
  <si>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</si>
  <si>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</si>
  <si>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</si>
  <si>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</si>
  <si>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</si>
  <si>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</si>
  <si>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</si>
  <si>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</si>
  <si>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</si>
  <si>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</si>
  <si>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</si>
  <si>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</si>
  <si>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</si>
  <si>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</si>
  <si>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</si>
  <si>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</si>
  <si>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</si>
  <si>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</si>
  <si>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</si>
  <si>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</si>
  <si>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</si>
  <si>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</si>
  <si>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</si>
  <si>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</si>
  <si>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</si>
  <si>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</si>
  <si>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</si>
  <si>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</si>
  <si>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</si>
  <si>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</si>
  <si>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</si>
  <si>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</si>
  <si>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</si>
  <si>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</si>
  <si>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</si>
  <si>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</si>
  <si>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</si>
  <si>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</si>
  <si>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</si>
  <si>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</si>
  <si>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</si>
  <si>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</si>
  <si>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</si>
  <si>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</si>
  <si>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</si>
  <si>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</si>
  <si>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</si>
  <si>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</si>
  <si>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</si>
  <si>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</si>
  <si>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</si>
  <si>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</si>
  <si>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</si>
  <si>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</si>
  <si>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</si>
  <si>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</si>
  <si>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</si>
  <si>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</si>
  <si>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</si>
  <si>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</si>
  <si>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</si>
  <si>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</si>
  <si>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</si>
  <si>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</si>
  <si>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</si>
  <si>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</si>
  <si>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</si>
  <si>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</si>
  <si>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</si>
  <si>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</si>
  <si>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</si>
  <si>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</si>
  <si>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</si>
  <si>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</si>
  <si>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</si>
  <si>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</si>
  <si>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</si>
  <si>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</si>
  <si>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</si>
  <si>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</si>
  <si>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</si>
  <si>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</si>
  <si>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</si>
  <si>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</si>
  <si>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</si>
  <si>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</si>
  <si>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</si>
  <si>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</si>
  <si>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</si>
  <si>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</si>
  <si>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</si>
  <si>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</si>
  <si>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</si>
  <si>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</si>
  <si>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</si>
  <si>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</si>
  <si>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</si>
  <si>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</si>
  <si>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</si>
  <si>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</si>
  <si>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</si>
  <si>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</si>
  <si>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</si>
  <si>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</si>
  <si>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</si>
  <si>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</si>
  <si>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</si>
  <si>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</si>
  <si>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</si>
  <si>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</si>
  <si>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</si>
  <si>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</si>
  <si>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</si>
  <si>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</si>
  <si>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</si>
  <si>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</si>
  <si>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</si>
  <si>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</si>
  <si>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</si>
  <si>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</si>
  <si>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</si>
  <si>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</si>
  <si>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</si>
  <si>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</si>
  <si>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</si>
  <si>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</si>
  <si>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</si>
  <si>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</si>
  <si>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</si>
  <si>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</si>
  <si>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</si>
  <si>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</si>
  <si>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</si>
  <si>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</si>
  <si>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</si>
  <si>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</si>
  <si>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</si>
  <si>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</si>
  <si>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</si>
  <si>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</si>
  <si>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</si>
  <si>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</si>
  <si>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</si>
  <si>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</si>
  <si>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</si>
  <si>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</si>
  <si>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</si>
  <si>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</si>
  <si>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</si>
  <si>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</si>
  <si>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</si>
  <si>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</si>
  <si>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</si>
  <si>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</si>
  <si>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</si>
  <si>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</si>
  <si>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</si>
  <si>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</si>
  <si>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</si>
  <si>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</si>
  <si>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</si>
  <si>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</si>
  <si>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</si>
  <si>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</si>
  <si>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</si>
  <si>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</si>
  <si>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</si>
  <si>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</si>
  <si>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</si>
  <si>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</si>
  <si>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</si>
  <si>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</si>
  <si>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</si>
  <si>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</si>
  <si>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</si>
  <si>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</si>
  <si>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</si>
  <si>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</si>
  <si>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</si>
  <si>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</si>
  <si>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</si>
  <si>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</si>
  <si>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</si>
  <si>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</si>
  <si>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</si>
  <si>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</si>
  <si>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</si>
  <si>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</si>
  <si>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</si>
  <si>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</si>
  <si>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</si>
  <si>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</si>
  <si>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</si>
  <si>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</si>
  <si>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</si>
  <si>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</si>
  <si>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</si>
  <si>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</si>
  <si>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</si>
  <si>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</si>
  <si>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</si>
  <si>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</si>
  <si>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</si>
  <si>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</si>
  <si>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</si>
  <si>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</si>
  <si>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</si>
  <si>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</si>
  <si>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</si>
  <si>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</si>
  <si>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</si>
  <si>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</si>
  <si>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</si>
  <si>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</si>
  <si>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</si>
  <si>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</si>
  <si>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</si>
  <si>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</si>
  <si>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</si>
  <si>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</si>
  <si>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</si>
  <si>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</si>
  <si>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</si>
  <si>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</si>
  <si>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</si>
  <si>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</si>
  <si>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</si>
  <si>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</si>
  <si>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</si>
  <si>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</si>
  <si>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</si>
  <si>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</si>
  <si>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</si>
  <si>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</si>
  <si>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</si>
  <si>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</si>
  <si>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</si>
  <si>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</si>
  <si>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</si>
  <si>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</si>
  <si>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</si>
  <si>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</si>
  <si>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</si>
  <si>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</si>
  <si>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</si>
  <si>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</si>
  <si>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</si>
  <si>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</si>
  <si>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</si>
  <si>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</si>
  <si>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</si>
  <si>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</si>
  <si>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</si>
  <si>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</si>
  <si>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</si>
  <si>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</si>
  <si>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</si>
  <si>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</si>
  <si>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</si>
  <si>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</si>
  <si>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</si>
  <si>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</si>
  <si>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</si>
  <si>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</si>
  <si>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</si>
  <si>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</si>
  <si>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</si>
  <si>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</si>
  <si>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</si>
  <si>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</si>
  <si>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</si>
  <si>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</si>
  <si>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</si>
  <si>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</si>
  <si>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</si>
  <si>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</si>
  <si>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</si>
  <si>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</si>
  <si>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</si>
  <si>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</si>
  <si>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</si>
  <si>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</si>
  <si>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</si>
  <si>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</si>
  <si>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</si>
  <si>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</si>
  <si>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</si>
  <si>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</si>
  <si>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</si>
  <si>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</si>
  <si>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</si>
  <si>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</si>
  <si>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</si>
  <si>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</si>
  <si>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</si>
  <si>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</si>
  <si>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</si>
  <si>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</si>
  <si>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</si>
  <si>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</si>
  <si>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</si>
  <si>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</si>
  <si>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</si>
  <si>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</si>
  <si>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</si>
  <si>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</si>
  <si>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</si>
  <si>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</si>
  <si>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</si>
  <si>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</si>
  <si>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</si>
  <si>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</si>
  <si>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</si>
  <si>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</si>
  <si>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</si>
  <si>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</si>
  <si>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</si>
  <si>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</si>
  <si>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</si>
  <si>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</si>
  <si>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</si>
  <si>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</si>
  <si>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</si>
  <si>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</si>
  <si>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</si>
  <si>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</si>
  <si>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</si>
  <si>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</si>
  <si>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</si>
  <si>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</si>
  <si>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</si>
  <si>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</si>
  <si>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</si>
  <si>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</si>
  <si>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</si>
  <si>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</si>
  <si>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</si>
  <si>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</si>
  <si>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</si>
  <si>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</si>
  <si>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</si>
  <si>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</si>
  <si>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</si>
  <si>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</si>
  <si>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</si>
  <si>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</si>
  <si>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</si>
  <si>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</si>
  <si>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</si>
  <si>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</si>
  <si>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</si>
  <si>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</si>
  <si>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</si>
  <si>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</si>
  <si>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</si>
  <si>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</si>
  <si>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</si>
  <si>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</si>
  <si>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</si>
  <si>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</si>
  <si>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</si>
  <si>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</si>
  <si>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</si>
  <si>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</si>
  <si>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</si>
  <si>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</si>
  <si>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</si>
  <si>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</si>
  <si>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</si>
  <si>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</si>
  <si>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</si>
  <si>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</si>
  <si>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</si>
  <si>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</si>
  <si>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</si>
  <si>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</si>
  <si>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</si>
  <si>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</si>
  <si>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</si>
  <si>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</si>
  <si>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</si>
  <si>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</si>
  <si>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</si>
  <si>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</si>
  <si>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</si>
  <si>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</si>
  <si>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</si>
  <si>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</si>
  <si>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</si>
  <si>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</si>
  <si>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</si>
  <si>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</si>
  <si>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</si>
  <si>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</si>
  <si>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</si>
  <si>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</si>
  <si>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</si>
  <si>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</si>
  <si>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</si>
  <si>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</si>
  <si>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</si>
  <si>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</si>
  <si>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</si>
  <si>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</si>
  <si>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</si>
  <si>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</si>
  <si>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</si>
  <si>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</si>
  <si>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</si>
  <si>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</si>
  <si>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</si>
  <si>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</si>
  <si>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</si>
  <si>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</si>
  <si>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</si>
  <si>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</si>
  <si>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</si>
  <si>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</si>
  <si>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</si>
  <si>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</si>
  <si>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</si>
  <si>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</si>
  <si>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</si>
  <si>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</si>
  <si>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</si>
  <si>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</si>
  <si>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</si>
  <si>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</si>
  <si>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</si>
  <si>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</si>
  <si>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</si>
  <si>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</si>
  <si>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</si>
  <si>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</si>
  <si>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</si>
  <si>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</si>
  <si>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</si>
  <si>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</si>
  <si>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</si>
  <si>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</si>
  <si>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</si>
  <si>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</si>
  <si>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</si>
  <si>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</si>
  <si>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</si>
  <si>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</si>
  <si>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</si>
  <si>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</si>
  <si>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</si>
  <si>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</si>
  <si>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</si>
  <si>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</si>
  <si>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</si>
  <si>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</si>
  <si>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</si>
  <si>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</si>
  <si>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</si>
  <si>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</si>
  <si>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</si>
  <si>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</si>
  <si>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</si>
  <si>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</si>
  <si>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</si>
  <si>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</si>
  <si>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</si>
  <si>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</si>
  <si>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</si>
  <si>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</si>
  <si>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</si>
  <si>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</si>
  <si>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</si>
  <si>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</si>
  <si>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</si>
  <si>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</si>
  <si>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</si>
  <si>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</si>
  <si>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</si>
  <si>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</si>
  <si>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</si>
  <si>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</si>
  <si>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</si>
  <si>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</si>
  <si>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</si>
  <si>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</si>
  <si>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</si>
  <si>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</si>
  <si>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</si>
  <si>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</si>
  <si>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</si>
  <si>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</si>
  <si>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</si>
  <si>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</si>
  <si>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</si>
  <si>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</si>
  <si>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</si>
  <si>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</si>
  <si>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</si>
  <si>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</si>
  <si>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</si>
  <si>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</si>
  <si>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</si>
  <si>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</si>
  <si>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</si>
  <si>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</si>
  <si>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</si>
  <si>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</si>
  <si>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</si>
  <si>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</si>
  <si>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</si>
  <si>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</si>
  <si>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</si>
  <si>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</si>
  <si>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</si>
  <si>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</si>
  <si>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</si>
  <si>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</si>
  <si>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</si>
  <si>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</si>
  <si>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</si>
  <si>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</si>
  <si>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</si>
  <si>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</si>
  <si>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</si>
  <si>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</si>
  <si>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</si>
  <si>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</si>
  <si>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</si>
  <si>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</si>
  <si>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</si>
  <si>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</si>
  <si>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</si>
  <si>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</si>
  <si>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</si>
  <si>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</si>
  <si>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</si>
  <si>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</si>
  <si>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</si>
  <si>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</si>
  <si>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</si>
  <si>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</si>
  <si>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</si>
  <si>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</si>
  <si>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</si>
  <si>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</si>
  <si>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</si>
  <si>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</si>
  <si>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</si>
  <si>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</si>
  <si>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</si>
  <si>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</si>
  <si>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</si>
  <si>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</si>
  <si>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</si>
  <si>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</si>
  <si>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</si>
  <si>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</si>
  <si>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</si>
  <si>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</si>
  <si>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</si>
  <si>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</si>
  <si>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</si>
  <si>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</si>
  <si>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</si>
  <si>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</si>
  <si>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</si>
  <si>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</si>
  <si>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</si>
  <si>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</si>
  <si>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</si>
  <si>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</si>
  <si>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</si>
  <si>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</si>
  <si>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</si>
  <si>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</si>
  <si>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</si>
  <si>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</si>
  <si>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</si>
  <si>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</si>
  <si>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</si>
  <si>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</si>
  <si>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</si>
  <si>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</si>
  <si>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</si>
  <si>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</si>
  <si>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</si>
  <si>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</si>
  <si>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</si>
  <si>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</si>
  <si>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</si>
  <si>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</si>
  <si>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</si>
  <si>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</si>
  <si>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</si>
  <si>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</si>
  <si>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</si>
  <si>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</si>
  <si>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</si>
  <si>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</si>
  <si>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</si>
  <si>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</si>
  <si>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</si>
  <si>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</si>
  <si>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</si>
  <si>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</si>
  <si>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</si>
  <si>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</si>
  <si>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</si>
  <si>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</si>
  <si>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</si>
  <si>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</si>
  <si>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</si>
  <si>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</si>
  <si>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</si>
  <si>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</si>
  <si>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</si>
  <si>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</si>
  <si>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</si>
  <si>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</si>
  <si>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</si>
  <si>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</si>
  <si>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</si>
  <si>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</si>
  <si>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</si>
  <si>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</si>
  <si>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</si>
  <si>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</si>
  <si>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</si>
  <si>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</si>
  <si>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</si>
  <si>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</si>
  <si>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</si>
  <si>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</si>
  <si>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</si>
  <si>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</si>
  <si>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</si>
  <si>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</si>
  <si>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</si>
  <si>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</si>
  <si>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</si>
  <si>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</si>
  <si>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</si>
  <si>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</si>
  <si>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</si>
  <si>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</si>
  <si>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</si>
  <si>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</si>
  <si>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</si>
  <si>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</si>
  <si>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</si>
  <si>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</si>
  <si>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</si>
  <si>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</si>
  <si>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</si>
  <si>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</si>
  <si>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</si>
  <si>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</si>
  <si>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</si>
  <si>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</si>
  <si>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</si>
  <si>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</si>
  <si>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</si>
  <si>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</si>
  <si>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</si>
  <si>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</si>
  <si>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</si>
  <si>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</si>
  <si>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</si>
  <si>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</si>
  <si>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</si>
  <si>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</si>
  <si>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</si>
  <si>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</si>
  <si>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</si>
  <si>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</si>
  <si>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</si>
  <si>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</si>
  <si>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</si>
  <si>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</si>
  <si>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</si>
  <si>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</si>
  <si>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</si>
  <si>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</si>
  <si>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</si>
  <si>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</si>
  <si>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</si>
  <si>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</si>
  <si>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</si>
  <si>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</si>
  <si>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</si>
  <si>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</si>
  <si>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</si>
  <si>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</si>
  <si>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</si>
  <si>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</si>
  <si>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</si>
  <si>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</si>
  <si>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</si>
  <si>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</si>
  <si>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</si>
  <si>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</si>
  <si>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</si>
  <si>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</si>
  <si>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</si>
  <si>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</si>
  <si>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</si>
  <si>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</si>
  <si>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</si>
  <si>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</si>
  <si>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</si>
  <si>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</si>
  <si>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</si>
  <si>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</si>
  <si>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</si>
  <si>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</si>
  <si>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</si>
  <si>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</si>
  <si>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</si>
  <si>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</si>
  <si>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</si>
  <si>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</si>
  <si>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</si>
  <si>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</si>
  <si>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</si>
  <si>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</si>
  <si>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</si>
  <si>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</si>
  <si>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</si>
  <si>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</si>
  <si>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</si>
  <si>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</si>
  <si>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</si>
  <si>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</si>
  <si>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</si>
  <si>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</si>
  <si>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</si>
  <si>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</si>
  <si>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</si>
  <si>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</si>
  <si>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</si>
  <si>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</si>
  <si>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</si>
  <si>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</si>
  <si>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</si>
  <si>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</si>
  <si>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</si>
  <si>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</si>
  <si>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</si>
  <si>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</si>
  <si>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</si>
  <si>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</si>
  <si>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</si>
  <si>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</si>
  <si>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</si>
  <si>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</si>
  <si>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</si>
  <si>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</si>
  <si>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</si>
  <si>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</si>
  <si>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</si>
  <si>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</si>
  <si>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</si>
  <si>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</si>
  <si>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</si>
  <si>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</si>
  <si>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</si>
  <si>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</si>
  <si>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</si>
  <si>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</si>
  <si>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</si>
  <si>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</si>
  <si>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</si>
  <si>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</si>
  <si>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</si>
  <si>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</si>
  <si>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</si>
  <si>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</si>
  <si>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</si>
  <si>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</si>
  <si>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</si>
  <si>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</si>
  <si>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</si>
  <si>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</si>
  <si>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</si>
  <si>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</si>
  <si>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</si>
  <si>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</si>
  <si>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</si>
  <si>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</si>
  <si>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</si>
  <si>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</si>
  <si>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</si>
  <si>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</si>
  <si>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</si>
  <si>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</si>
  <si>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</si>
  <si>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</si>
  <si>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</si>
  <si>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</si>
  <si>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</si>
  <si>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</si>
  <si>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</si>
  <si>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</si>
  <si>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</si>
  <si>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</si>
  <si>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</si>
  <si>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</si>
  <si>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</si>
  <si>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</si>
  <si>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</si>
  <si>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</si>
  <si>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</si>
  <si>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</si>
  <si>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</si>
  <si>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</si>
  <si>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</si>
  <si>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</si>
  <si>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</si>
  <si>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</si>
  <si>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</si>
  <si>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</si>
  <si>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</si>
  <si>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</si>
  <si>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</si>
  <si>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</si>
  <si>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</si>
  <si>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</si>
  <si>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</si>
  <si>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</si>
  <si>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</si>
  <si>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</si>
  <si>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</si>
  <si>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</si>
  <si>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</si>
  <si>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</si>
  <si>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</si>
  <si>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</si>
  <si>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</si>
  <si>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</si>
  <si>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</si>
  <si>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</si>
  <si>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</si>
  <si>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</si>
  <si>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</si>
  <si>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</si>
  <si>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</si>
  <si>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</si>
  <si>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</si>
  <si>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</si>
  <si>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</si>
  <si>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</si>
  <si>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</si>
  <si>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</si>
  <si>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</si>
  <si>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</si>
  <si>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</si>
  <si>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</si>
  <si>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</si>
  <si>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</si>
  <si>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</si>
  <si>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</si>
  <si>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</si>
  <si>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</si>
  <si>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</si>
  <si>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</si>
  <si>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</si>
  <si>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</si>
  <si>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</si>
  <si>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</si>
  <si>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</si>
  <si>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</si>
  <si>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</si>
  <si>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</si>
  <si>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</si>
  <si>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</si>
  <si>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</si>
  <si>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</si>
  <si>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</si>
  <si>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</si>
  <si>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</si>
  <si>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</si>
  <si>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</si>
  <si>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</si>
  <si>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</si>
  <si>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</si>
  <si>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</si>
  <si>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</si>
  <si>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</si>
  <si>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</si>
  <si>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</si>
  <si>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</si>
  <si>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</si>
  <si>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</si>
  <si>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</si>
  <si>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</si>
  <si>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</si>
  <si>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</si>
  <si>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</si>
  <si>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</si>
  <si>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</si>
  <si>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</si>
  <si>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</si>
  <si>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</si>
  <si>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</si>
  <si>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</si>
  <si>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</si>
  <si>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</si>
  <si>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</si>
  <si>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</si>
  <si>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</si>
  <si>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</si>
  <si>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</si>
  <si>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</si>
  <si>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</si>
  <si>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</si>
  <si>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</si>
  <si>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</si>
  <si>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</si>
  <si>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</si>
  <si>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</si>
  <si>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</si>
  <si>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</si>
  <si>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</si>
  <si>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</si>
  <si>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</si>
  <si>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</si>
  <si>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</si>
  <si>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</si>
  <si>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</si>
  <si>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</si>
  <si>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>1347373#1</t>
  </si>
  <si>
    <t>Bioquimica.cl</t>
  </si>
  <si>
    <t>2392382#1</t>
  </si>
  <si>
    <t>Cobitat</t>
  </si>
  <si>
    <t>3867287#1</t>
  </si>
  <si>
    <t>Gomez Roco</t>
  </si>
  <si>
    <t>1329080#1</t>
  </si>
  <si>
    <t>EXO S.A. - Soluciones Tecnológicas</t>
  </si>
  <si>
    <t>2394114#1</t>
  </si>
  <si>
    <t>Carpeal</t>
  </si>
  <si>
    <t>4543458#1</t>
  </si>
  <si>
    <t>Cospb</t>
  </si>
  <si>
    <t>4590983#1</t>
  </si>
  <si>
    <t>Filabe</t>
  </si>
  <si>
    <t>3876430#1</t>
  </si>
  <si>
    <t>Santateresita</t>
  </si>
  <si>
    <t>2446700#3</t>
  </si>
  <si>
    <t>C.E.P. Santa Maria De Brena E.I.R.L.</t>
  </si>
  <si>
    <t>1264047#1</t>
  </si>
  <si>
    <t>Frigerio Nelson Horacio</t>
  </si>
  <si>
    <t>1843590#1</t>
  </si>
  <si>
    <t>Andariega SRL</t>
  </si>
  <si>
    <t>1629451#1</t>
  </si>
  <si>
    <t>ISCOT Services</t>
  </si>
  <si>
    <t>2308890#1</t>
  </si>
  <si>
    <t>Bestchem</t>
  </si>
  <si>
    <t>902412#1</t>
  </si>
  <si>
    <t>Alubrysl</t>
  </si>
  <si>
    <t>1101658#1</t>
  </si>
  <si>
    <t>Plastigas Mar del Plata SA</t>
  </si>
  <si>
    <t>2143072#1</t>
  </si>
  <si>
    <t>suministro de obras</t>
  </si>
  <si>
    <t>942879#1</t>
  </si>
  <si>
    <t>MoRPH Argentina</t>
  </si>
  <si>
    <t>1746171#1</t>
  </si>
  <si>
    <t>ARS Technologies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</si>
</sst>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12417959-256e-427e-a82e-cb9d8ee1f4d0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m/>
      </sharedItems>
    </cacheField>
    <cacheField name="Country" numFmtId="0">
      <sharedItems containsBlank="1">
        <s v="Mexico"/>
        <s v="Nicaragua"/>
        <s v="Belize"/>
        <s v="Honduras"/>
        <s v="Costa Rica"/>
        <s v="Panama"/>
        <s v="Guatemala"/>
        <m/>
      </sharedItems>
    </cacheField>
    <cacheField name="Investigator" numFmtId="0">
      <sharedItems containsBlank="1">
        <s v="Francisco"/>
        <s v="Maria Celeste"/>
        <s v="Noel"/>
        <s v="Antonella"/>
        <s v="Clara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m/>
      </sharedItems>
    </cacheField>
    <cacheField name="Investigator" numFmtId="0">
      <sharedItems containsBlank="1">
        <s v="Mariadelaida"/>
        <s v="Rafael"/>
        <s v="Enrique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ountry" axis="axisRow" dataField="1" compact="0" outline="0" multipleItemSelectionAllowed="1" showAll="0" sortType="ascending">
      <items>
        <item x="7"/>
        <item x="2"/>
        <item x="4"/>
        <item x="6"/>
        <item x="3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</pivotField>
    <pivotField name="Country" axis="axisRow" dataField="1" compact="0" outline="0" multipleItemSelectionAllowed="1" showAll="0" sortType="ascending">
      <items>
        <item x="6"/>
        <item x="3"/>
        <item x="4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12417959-256e-427e-a82e-cb9d8ee1f4d0}" id="{313724f6-ae47-4947-ae25-43e5bb4b5ba4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18</v>
      </c>
      <c r="F19" s="246">
        <f t="shared" ref="F19:F21" si="1">C19-E19</f>
        <v>12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22</v>
      </c>
      <c r="L19" s="33">
        <f t="shared" ref="L19:L23" si="2">I19-K19</f>
        <v>-17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3</v>
      </c>
      <c r="F20" s="246">
        <f t="shared" si="1"/>
        <v>12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13</v>
      </c>
      <c r="F21" s="246">
        <f t="shared" si="1"/>
        <v>2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6</v>
      </c>
      <c r="L21" s="33">
        <f t="shared" si="2"/>
        <v>14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17</v>
      </c>
      <c r="L22" s="33">
        <f t="shared" si="2"/>
        <v>-2</v>
      </c>
    </row>
    <row r="23" outlineLevel="1">
      <c r="D23" s="10"/>
      <c r="E23" s="37" t="s">
        <v>41</v>
      </c>
      <c r="F23" s="38">
        <f>SUM(F19:F21)</f>
        <v>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3</v>
      </c>
      <c r="L23" s="33">
        <f t="shared" si="2"/>
        <v>7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8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/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/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/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/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/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/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/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/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/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 t="s">
        <v>22</v>
      </c>
      <c r="F16" s="402" t="s">
        <v>2344</v>
      </c>
      <c r="G16" s="61"/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 t="s">
        <v>19</v>
      </c>
      <c r="F17" s="274" t="s">
        <v>2344</v>
      </c>
      <c r="G17" s="61"/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/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/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 t="s">
        <v>16</v>
      </c>
      <c r="F20" s="274" t="s">
        <v>2344</v>
      </c>
      <c r="G20" s="61"/>
      <c r="H20" s="269"/>
      <c r="J20" s="382">
        <v>46174.0</v>
      </c>
      <c r="K20" s="273" t="s">
        <v>3745</v>
      </c>
      <c r="L20" s="273" t="s">
        <v>3746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3747</v>
      </c>
      <c r="D21" s="430" t="s">
        <v>3748</v>
      </c>
      <c r="E21" s="431" t="s">
        <v>22</v>
      </c>
      <c r="F21" s="58" t="s">
        <v>12</v>
      </c>
      <c r="G21" s="61"/>
      <c r="H21" s="269"/>
      <c r="J21" s="380">
        <v>46174.0</v>
      </c>
      <c r="K21" s="294" t="s">
        <v>3749</v>
      </c>
      <c r="L21" s="294" t="s">
        <v>3750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3751</v>
      </c>
      <c r="D22" s="477" t="s">
        <v>3752</v>
      </c>
      <c r="E22" s="58" t="s">
        <v>22</v>
      </c>
      <c r="F22" s="58" t="s">
        <v>2349</v>
      </c>
      <c r="G22" s="61"/>
      <c r="H22" s="269"/>
      <c r="J22" s="382">
        <v>46174.0</v>
      </c>
      <c r="K22" s="273" t="s">
        <v>3753</v>
      </c>
      <c r="L22" s="273" t="s">
        <v>3754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3755</v>
      </c>
      <c r="D23" s="405" t="s">
        <v>3756</v>
      </c>
      <c r="E23" s="478" t="s">
        <v>22</v>
      </c>
      <c r="F23" s="58" t="s">
        <v>12</v>
      </c>
      <c r="G23" s="61"/>
      <c r="H23" s="269"/>
      <c r="J23" s="403">
        <v>46175.0</v>
      </c>
      <c r="K23" s="294" t="s">
        <v>3757</v>
      </c>
      <c r="L23" s="294" t="s">
        <v>3758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3759</v>
      </c>
      <c r="D24" s="373" t="s">
        <v>3760</v>
      </c>
      <c r="E24" s="58" t="s">
        <v>32</v>
      </c>
      <c r="F24" s="58" t="s">
        <v>2349</v>
      </c>
      <c r="G24" s="109"/>
      <c r="H24" s="269"/>
      <c r="J24" s="401">
        <v>46175.0</v>
      </c>
      <c r="K24" s="273" t="s">
        <v>3761</v>
      </c>
      <c r="L24" s="273" t="s">
        <v>3762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3763</v>
      </c>
      <c r="D25" s="430" t="s">
        <v>3764</v>
      </c>
      <c r="E25" s="431" t="s">
        <v>32</v>
      </c>
      <c r="F25" s="58" t="s">
        <v>12</v>
      </c>
      <c r="G25" s="61"/>
      <c r="H25" s="269"/>
      <c r="J25" s="403">
        <v>46175.0</v>
      </c>
      <c r="K25" s="294" t="s">
        <v>3765</v>
      </c>
      <c r="L25" s="294" t="s">
        <v>3766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3767</v>
      </c>
      <c r="D26" s="294" t="s">
        <v>3768</v>
      </c>
      <c r="E26" s="391" t="s">
        <v>32</v>
      </c>
      <c r="F26" s="58" t="s">
        <v>12</v>
      </c>
      <c r="G26" s="61"/>
      <c r="H26" s="269"/>
      <c r="J26" s="401">
        <v>46175.0</v>
      </c>
      <c r="K26" s="273" t="s">
        <v>3769</v>
      </c>
      <c r="L26" s="273" t="s">
        <v>3770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3771</v>
      </c>
      <c r="D27" s="273" t="s">
        <v>3772</v>
      </c>
      <c r="E27" s="402" t="s">
        <v>32</v>
      </c>
      <c r="F27" s="58" t="s">
        <v>12</v>
      </c>
      <c r="G27" s="61"/>
      <c r="H27" s="269"/>
      <c r="J27" s="403">
        <v>46175.0</v>
      </c>
      <c r="K27" s="294" t="s">
        <v>3773</v>
      </c>
      <c r="L27" s="294" t="s">
        <v>3774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3775</v>
      </c>
      <c r="D28" s="373" t="s">
        <v>3776</v>
      </c>
      <c r="E28" s="58" t="s">
        <v>32</v>
      </c>
      <c r="F28" s="58" t="s">
        <v>9</v>
      </c>
      <c r="G28" s="61"/>
      <c r="H28" s="269"/>
      <c r="J28" s="401">
        <v>46175.0</v>
      </c>
      <c r="K28" s="273" t="s">
        <v>3777</v>
      </c>
      <c r="L28" s="273" t="s">
        <v>3778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3779</v>
      </c>
      <c r="D29" s="373" t="s">
        <v>3780</v>
      </c>
      <c r="E29" s="58" t="s">
        <v>22</v>
      </c>
      <c r="F29" s="58" t="s">
        <v>9</v>
      </c>
      <c r="G29" s="61"/>
      <c r="H29" s="269"/>
      <c r="J29" s="403">
        <v>46175.0</v>
      </c>
      <c r="K29" s="294" t="s">
        <v>3781</v>
      </c>
      <c r="L29" s="294" t="s">
        <v>3782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3783</v>
      </c>
      <c r="D30" s="373" t="s">
        <v>3784</v>
      </c>
      <c r="E30" s="58" t="s">
        <v>32</v>
      </c>
      <c r="F30" s="58" t="s">
        <v>9</v>
      </c>
      <c r="G30" s="109"/>
      <c r="H30" s="269"/>
      <c r="J30" s="401">
        <v>46175.0</v>
      </c>
      <c r="K30" s="273" t="s">
        <v>3785</v>
      </c>
      <c r="L30" s="273" t="s">
        <v>3786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3787</v>
      </c>
      <c r="D31" s="373" t="s">
        <v>3788</v>
      </c>
      <c r="E31" s="58" t="s">
        <v>19</v>
      </c>
      <c r="F31" s="58" t="s">
        <v>9</v>
      </c>
      <c r="G31" s="61"/>
      <c r="H31" s="269"/>
      <c r="J31" s="382">
        <v>46175.0</v>
      </c>
      <c r="K31" s="273" t="s">
        <v>3789</v>
      </c>
      <c r="L31" s="273" t="s">
        <v>3790</v>
      </c>
      <c r="M31" s="398" t="s">
        <v>23</v>
      </c>
      <c r="N31" s="431" t="s">
        <v>2338</v>
      </c>
      <c r="O31" s="61"/>
      <c r="P31" s="269"/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3791</v>
      </c>
      <c r="D32" s="373" t="s">
        <v>3792</v>
      </c>
      <c r="E32" s="58" t="s">
        <v>22</v>
      </c>
      <c r="F32" s="58" t="s">
        <v>9</v>
      </c>
      <c r="G32" s="61"/>
      <c r="H32" s="269"/>
      <c r="J32" s="380">
        <v>46175.0</v>
      </c>
      <c r="K32" s="294" t="s">
        <v>3793</v>
      </c>
      <c r="L32" s="294" t="s">
        <v>3794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3795</v>
      </c>
      <c r="D33" s="373" t="s">
        <v>3796</v>
      </c>
      <c r="E33" s="58" t="s">
        <v>19</v>
      </c>
      <c r="F33" s="58" t="s">
        <v>9</v>
      </c>
      <c r="G33" s="109"/>
      <c r="H33" s="269"/>
      <c r="J33" s="382">
        <v>46175.0</v>
      </c>
      <c r="K33" s="273" t="s">
        <v>3797</v>
      </c>
      <c r="L33" s="273" t="s">
        <v>3798</v>
      </c>
      <c r="M33" s="398" t="s">
        <v>23</v>
      </c>
      <c r="N33" s="431" t="s">
        <v>2338</v>
      </c>
      <c r="O33" s="61"/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3799</v>
      </c>
      <c r="D34" s="373" t="s">
        <v>3800</v>
      </c>
      <c r="E34" s="58" t="s">
        <v>22</v>
      </c>
      <c r="F34" s="58" t="s">
        <v>9</v>
      </c>
      <c r="G34" s="61"/>
      <c r="H34" s="269"/>
      <c r="J34" s="380">
        <v>46175.0</v>
      </c>
      <c r="K34" s="294" t="s">
        <v>3801</v>
      </c>
      <c r="L34" s="294" t="s">
        <v>3802</v>
      </c>
      <c r="M34" s="396" t="s">
        <v>11</v>
      </c>
      <c r="N34" s="391" t="s">
        <v>2338</v>
      </c>
      <c r="O34" s="61"/>
      <c r="P34" s="269"/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3803</v>
      </c>
      <c r="D35" s="373" t="s">
        <v>3804</v>
      </c>
      <c r="E35" s="58" t="s">
        <v>24</v>
      </c>
      <c r="F35" s="58" t="s">
        <v>9</v>
      </c>
      <c r="G35" s="61"/>
      <c r="H35" s="269"/>
      <c r="J35" s="382">
        <v>46175.0</v>
      </c>
      <c r="K35" s="273" t="s">
        <v>3805</v>
      </c>
      <c r="L35" s="273" t="s">
        <v>3806</v>
      </c>
      <c r="M35" s="398" t="s">
        <v>21</v>
      </c>
      <c r="N35" s="431" t="s">
        <v>2338</v>
      </c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344"/>
      <c r="G36" s="61"/>
      <c r="H36" s="269"/>
      <c r="J36" s="380">
        <v>46175.0</v>
      </c>
      <c r="K36" s="294" t="s">
        <v>3807</v>
      </c>
      <c r="L36" s="294" t="s">
        <v>3808</v>
      </c>
      <c r="M36" s="396" t="s">
        <v>18</v>
      </c>
      <c r="N36" s="391" t="s">
        <v>2338</v>
      </c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344"/>
      <c r="G37" s="109"/>
      <c r="H37" s="269"/>
      <c r="J37" s="270">
        <v>46175.0</v>
      </c>
      <c r="K37" s="109" t="s">
        <v>3809</v>
      </c>
      <c r="L37" s="109" t="s">
        <v>3810</v>
      </c>
      <c r="M37" s="58" t="s">
        <v>11</v>
      </c>
      <c r="N37" s="58" t="s">
        <v>20</v>
      </c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/>
      <c r="C38" s="109"/>
      <c r="D38" s="373"/>
      <c r="E38" s="58"/>
      <c r="F38" s="344"/>
      <c r="G38" s="61"/>
      <c r="H38" s="269"/>
      <c r="J38" s="270">
        <v>46175.0</v>
      </c>
      <c r="K38" s="109" t="s">
        <v>3811</v>
      </c>
      <c r="L38" s="109" t="s">
        <v>3812</v>
      </c>
      <c r="M38" s="58" t="s">
        <v>11</v>
      </c>
      <c r="N38" s="58" t="s">
        <v>20</v>
      </c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/>
      <c r="C39" s="109"/>
      <c r="D39" s="373"/>
      <c r="E39" s="58"/>
      <c r="F39" s="344"/>
      <c r="G39" s="61"/>
      <c r="H39" s="269"/>
      <c r="J39" s="270">
        <v>46175.0</v>
      </c>
      <c r="K39" s="109" t="s">
        <v>3813</v>
      </c>
      <c r="L39" s="109" t="s">
        <v>3814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/>
      <c r="C40" s="109"/>
      <c r="D40" s="373"/>
      <c r="E40" s="58"/>
      <c r="F40" s="344"/>
      <c r="G40" s="109"/>
      <c r="H40" s="269"/>
      <c r="J40" s="270">
        <v>46175.0</v>
      </c>
      <c r="K40" s="109" t="s">
        <v>3815</v>
      </c>
      <c r="L40" s="109" t="s">
        <v>3816</v>
      </c>
      <c r="M40" s="58" t="s">
        <v>11</v>
      </c>
      <c r="N40" s="58" t="s">
        <v>20</v>
      </c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344"/>
      <c r="G41" s="61"/>
      <c r="H41" s="269"/>
      <c r="J41" s="270">
        <v>46175.0</v>
      </c>
      <c r="K41" s="109" t="s">
        <v>3817</v>
      </c>
      <c r="L41" s="109" t="s">
        <v>3818</v>
      </c>
      <c r="M41" s="58" t="s">
        <v>11</v>
      </c>
      <c r="N41" s="58" t="s">
        <v>20</v>
      </c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/>
      <c r="C42" s="109"/>
      <c r="D42" s="373"/>
      <c r="E42" s="58"/>
      <c r="F42" s="344"/>
      <c r="G42" s="109"/>
      <c r="H42" s="269"/>
      <c r="J42" s="270">
        <v>46175.0</v>
      </c>
      <c r="K42" s="109" t="s">
        <v>3819</v>
      </c>
      <c r="L42" s="109" t="s">
        <v>3820</v>
      </c>
      <c r="M42" s="58" t="s">
        <v>11</v>
      </c>
      <c r="N42" s="58" t="s">
        <v>20</v>
      </c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344"/>
      <c r="G43" s="61"/>
      <c r="H43" s="269"/>
      <c r="J43" s="270">
        <v>46175.0</v>
      </c>
      <c r="K43" s="109" t="s">
        <v>3821</v>
      </c>
      <c r="L43" s="109" t="s">
        <v>3822</v>
      </c>
      <c r="M43" s="58" t="s">
        <v>23</v>
      </c>
      <c r="N43" s="58" t="s">
        <v>20</v>
      </c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344"/>
      <c r="G44" s="61"/>
      <c r="H44" s="269"/>
      <c r="J44" s="270">
        <v>46175.0</v>
      </c>
      <c r="K44" s="109" t="s">
        <v>3823</v>
      </c>
      <c r="L44" s="109" t="s">
        <v>3824</v>
      </c>
      <c r="M44" s="58" t="s">
        <v>23</v>
      </c>
      <c r="N44" s="58" t="s">
        <v>20</v>
      </c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344"/>
      <c r="G45" s="109"/>
      <c r="H45" s="269"/>
      <c r="J45" s="270">
        <v>46175.0</v>
      </c>
      <c r="K45" s="109" t="s">
        <v>3825</v>
      </c>
      <c r="L45" s="109" t="s">
        <v>3826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344"/>
      <c r="G46" s="61"/>
      <c r="H46" s="269"/>
      <c r="J46" s="270">
        <v>46176.0</v>
      </c>
      <c r="K46" s="109" t="s">
        <v>3827</v>
      </c>
      <c r="L46" s="109" t="s">
        <v>3828</v>
      </c>
      <c r="M46" s="58" t="s">
        <v>11</v>
      </c>
      <c r="N46" s="58" t="s">
        <v>20</v>
      </c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>
        <v>46176.0</v>
      </c>
      <c r="K47" s="109" t="s">
        <v>3829</v>
      </c>
      <c r="L47" s="109" t="s">
        <v>3830</v>
      </c>
      <c r="M47" s="58" t="s">
        <v>11</v>
      </c>
      <c r="N47" s="58" t="s">
        <v>20</v>
      </c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>
        <v>46176.0</v>
      </c>
      <c r="K48" s="109" t="s">
        <v>3831</v>
      </c>
      <c r="L48" s="109" t="s">
        <v>3832</v>
      </c>
      <c r="M48" s="58" t="s">
        <v>11</v>
      </c>
      <c r="N48" s="58" t="s">
        <v>20</v>
      </c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>
        <v>46176.0</v>
      </c>
      <c r="K49" s="109" t="s">
        <v>3833</v>
      </c>
      <c r="L49" s="109" t="s">
        <v>3834</v>
      </c>
      <c r="M49" s="58" t="s">
        <v>11</v>
      </c>
      <c r="N49" s="58" t="s">
        <v>20</v>
      </c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2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>
        <v>46176.0</v>
      </c>
      <c r="K50" s="109" t="s">
        <v>3835</v>
      </c>
      <c r="L50" s="109" t="s">
        <v>3836</v>
      </c>
      <c r="M50" s="58" t="s">
        <v>11</v>
      </c>
      <c r="N50" s="58" t="s">
        <v>20</v>
      </c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3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>
        <v>46176.0</v>
      </c>
      <c r="K51" s="109" t="s">
        <v>3837</v>
      </c>
      <c r="L51" s="109" t="s">
        <v>3838</v>
      </c>
      <c r="M51" s="58" t="s">
        <v>11</v>
      </c>
      <c r="N51" s="58" t="s">
        <v>20</v>
      </c>
      <c r="O51" s="61"/>
      <c r="P51" s="269"/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2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>
        <v>46176.0</v>
      </c>
      <c r="K52" s="109" t="s">
        <v>3839</v>
      </c>
      <c r="L52" s="109" t="s">
        <v>3840</v>
      </c>
      <c r="M52" s="58" t="s">
        <v>11</v>
      </c>
      <c r="N52" s="58" t="s">
        <v>20</v>
      </c>
      <c r="O52" s="61"/>
      <c r="P52" s="269"/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3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>
        <v>46176.0</v>
      </c>
      <c r="K53" s="109" t="s">
        <v>3841</v>
      </c>
      <c r="L53" s="109" t="s">
        <v>3842</v>
      </c>
      <c r="M53" s="58" t="s">
        <v>11</v>
      </c>
      <c r="N53" s="58" t="s">
        <v>20</v>
      </c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2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270"/>
      <c r="K54" s="109"/>
      <c r="L54" s="297"/>
      <c r="M54" s="58"/>
      <c r="N54" s="58"/>
      <c r="O54" s="109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4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270"/>
      <c r="K55" s="109"/>
      <c r="L55" s="109"/>
      <c r="M55" s="58"/>
      <c r="N55" s="58"/>
      <c r="O55" s="61"/>
      <c r="P55" s="269"/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344"/>
      <c r="V57" s="58"/>
      <c r="W57" s="494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270"/>
      <c r="K63" s="109"/>
      <c r="L63" s="109"/>
      <c r="M63" s="344"/>
      <c r="N63" s="344"/>
      <c r="O63" s="61"/>
      <c r="P63" s="298"/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270"/>
      <c r="K64" s="109"/>
      <c r="L64" s="109"/>
      <c r="M64" s="58"/>
      <c r="N64" s="58"/>
      <c r="O64" s="61"/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/>
      <c r="K65" s="384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270"/>
      <c r="K75" s="109"/>
      <c r="L75" s="495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