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tc={fed7b931-e22d-4828-802c-347d3813cbf9}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fed7b931-e22d-4828-802c-347d3813cbf9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<sst xmlns="http://schemas.openxmlformats.org/spreadsheetml/2006/main" count="8688" uniqueCount="3876">
  <si>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</si>
  <si>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</si>
  <si>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</si>
  <si>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</si>
  <si>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</si>
  <si>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</si>
  <si>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</si>
  <si>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</si>
  <si>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</si>
  <si>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</si>
  <si>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</si>
  <si>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</si>
  <si>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</si>
  <si>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</si>
  <si>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</si>
  <si>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</si>
  <si>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</si>
  <si>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</si>
  <si>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</si>
  <si>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</si>
  <si>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</si>
  <si>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</si>
  <si>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</si>
  <si>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</si>
  <si>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</si>
  <si>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</si>
  <si>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</si>
  <si>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</si>
  <si>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</si>
  <si>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</si>
  <si>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</si>
  <si>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</si>
  <si>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</si>
  <si>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</si>
  <si>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</si>
  <si>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</si>
  <si>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</si>
  <si>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</si>
  <si>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</si>
  <si>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</si>
  <si>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</si>
  <si>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</si>
  <si>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</si>
  <si>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</si>
  <si>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</si>
  <si>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</si>
  <si>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</si>
  <si>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</si>
  <si>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</si>
  <si>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</si>
  <si>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</si>
  <si>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</si>
  <si>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</si>
  <si>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</si>
  <si>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</si>
  <si>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</si>
  <si>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</si>
  <si>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</si>
  <si>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</si>
  <si>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</si>
  <si>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</si>
  <si>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</si>
  <si>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</si>
  <si>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</si>
  <si>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</si>
  <si>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</si>
  <si>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</si>
  <si>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</si>
  <si>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</si>
  <si>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</si>
  <si>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</si>
  <si>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</si>
  <si>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</si>
  <si>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</si>
  <si>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</si>
  <si>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</si>
  <si>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</si>
  <si>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</si>
  <si>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</si>
  <si>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</si>
  <si>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</si>
  <si>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</si>
  <si>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</si>
  <si>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</si>
  <si>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</si>
  <si>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</si>
  <si>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</si>
  <si>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</si>
  <si>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</si>
  <si>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</si>
  <si>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</si>
  <si>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</si>
  <si>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</si>
  <si>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</si>
  <si>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</si>
  <si>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</si>
  <si>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</si>
  <si>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</si>
  <si>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</si>
  <si>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</si>
  <si>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</si>
  <si>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</si>
  <si>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</si>
  <si>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</si>
  <si>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</si>
  <si>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</si>
  <si>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</si>
  <si>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</si>
  <si>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</si>
  <si>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</si>
  <si>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</si>
  <si>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</si>
  <si>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</si>
  <si>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</si>
  <si>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</si>
  <si>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</si>
  <si>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</si>
  <si>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</si>
  <si>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</si>
  <si>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</si>
  <si>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</si>
  <si>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</si>
  <si>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</si>
  <si>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</si>
  <si>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</si>
  <si>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</si>
  <si>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</si>
  <si>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</si>
  <si>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</si>
  <si>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</si>
  <si>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</si>
  <si>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</si>
  <si>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</si>
  <si>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</si>
  <si>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</si>
  <si>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</si>
  <si>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</si>
  <si>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</si>
  <si>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</si>
  <si>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</si>
  <si>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</si>
  <si>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</si>
  <si>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</si>
  <si>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</si>
  <si>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</si>
  <si>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</si>
  <si>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</si>
  <si>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</si>
  <si>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</si>
  <si>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</si>
  <si>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</si>
  <si>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</si>
  <si>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</si>
  <si>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</si>
  <si>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</si>
  <si>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</si>
  <si>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</si>
  <si>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</si>
  <si>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</si>
  <si>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</si>
  <si>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</si>
  <si>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</si>
  <si>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</si>
  <si>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</si>
  <si>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</si>
  <si>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</si>
  <si>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</si>
  <si>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</si>
  <si>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</si>
  <si>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</si>
  <si>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</si>
  <si>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</si>
  <si>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</si>
  <si>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</si>
  <si>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</si>
  <si>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</si>
  <si>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</si>
  <si>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</si>
  <si>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</si>
  <si>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</si>
  <si>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</si>
  <si>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</si>
  <si>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</si>
  <si>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</si>
  <si>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</si>
  <si>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</si>
  <si>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</si>
  <si>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</si>
  <si>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</si>
  <si>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</si>
  <si>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</si>
  <si>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</si>
  <si>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</si>
  <si>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</si>
  <si>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</si>
  <si>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</si>
  <si>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</si>
  <si>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</si>
  <si>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</si>
  <si>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</si>
  <si>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</si>
  <si>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</si>
  <si>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</si>
  <si>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</si>
  <si>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</si>
  <si>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</si>
  <si>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</si>
  <si>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</si>
  <si>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</si>
  <si>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</si>
  <si>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</si>
  <si>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</si>
  <si>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</si>
  <si>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</si>
  <si>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</si>
  <si>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</si>
  <si>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</si>
  <si>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</si>
  <si>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</si>
  <si>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</si>
  <si>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</si>
  <si>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</si>
  <si>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</si>
  <si>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</si>
  <si>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</si>
  <si>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</si>
  <si>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</si>
  <si>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</si>
  <si>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</si>
  <si>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</si>
  <si>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</si>
  <si>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</si>
  <si>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</si>
  <si>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</si>
  <si>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</si>
  <si>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</si>
  <si>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</si>
  <si>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</si>
  <si>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</si>
  <si>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</si>
  <si>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</si>
  <si>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</si>
  <si>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</si>
  <si>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</si>
  <si>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</si>
  <si>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</si>
  <si>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</si>
  <si>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</si>
  <si>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</si>
  <si>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</si>
  <si>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</si>
  <si>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</si>
  <si>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</si>
  <si>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</si>
  <si>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</si>
  <si>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</si>
  <si>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</si>
  <si>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</si>
  <si>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</si>
  <si>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</si>
  <si>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</si>
  <si>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</si>
  <si>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</si>
  <si>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</si>
  <si>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</si>
  <si>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</si>
  <si>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</si>
  <si>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</si>
  <si>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</si>
  <si>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</si>
  <si>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</si>
  <si>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</si>
  <si>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</si>
  <si>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</si>
  <si>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</si>
  <si>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</si>
  <si>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</si>
  <si>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</si>
  <si>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</si>
  <si>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</si>
  <si>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</si>
  <si>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</si>
  <si>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</si>
  <si>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</si>
  <si>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</si>
  <si>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</si>
  <si>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</si>
  <si>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</si>
  <si>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</si>
  <si>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</si>
  <si>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</si>
  <si>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</si>
  <si>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</si>
  <si>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</si>
  <si>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</si>
  <si>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</si>
  <si>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</si>
  <si>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</si>
  <si>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</si>
  <si>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</si>
  <si>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</si>
  <si>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</si>
  <si>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</si>
  <si>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</si>
  <si>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</si>
  <si>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</si>
  <si>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</si>
  <si>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</si>
  <si>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</si>
  <si>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</si>
  <si>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</si>
  <si>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</si>
  <si>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</si>
  <si>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</si>
  <si>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</si>
  <si>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</si>
  <si>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</si>
  <si>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</si>
  <si>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</si>
  <si>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</si>
  <si>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</si>
  <si>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</si>
  <si>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</si>
  <si>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</si>
  <si>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</si>
  <si>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</si>
  <si>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</si>
  <si>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</si>
  <si>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</si>
  <si>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</si>
  <si>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</si>
  <si>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</si>
  <si>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</si>
  <si>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</si>
  <si>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</si>
  <si>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</si>
  <si>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</si>
  <si>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</si>
  <si>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</si>
  <si>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</si>
  <si>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</si>
  <si>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</si>
  <si>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</si>
  <si>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</si>
  <si>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</si>
  <si>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</si>
  <si>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</si>
  <si>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</si>
  <si>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</si>
  <si>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</si>
  <si>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</si>
  <si>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</si>
  <si>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</si>
  <si>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</si>
  <si>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</si>
  <si>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</si>
  <si>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</si>
  <si>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</si>
  <si>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</si>
  <si>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</si>
  <si>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</si>
  <si>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</si>
  <si>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</si>
  <si>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</si>
  <si>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</si>
  <si>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</si>
  <si>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</si>
  <si>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</si>
  <si>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</si>
  <si>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</si>
  <si>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</si>
  <si>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</si>
  <si>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</si>
  <si>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</si>
  <si>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</si>
  <si>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</si>
  <si>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</si>
  <si>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</si>
  <si>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</si>
  <si>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</si>
  <si>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</si>
  <si>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</si>
  <si>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</si>
  <si>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</si>
  <si>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</si>
  <si>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</si>
  <si>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</si>
  <si>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</si>
  <si>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</si>
  <si>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</si>
  <si>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</si>
  <si>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</si>
  <si>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</si>
  <si>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</si>
  <si>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</si>
  <si>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</si>
  <si>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</si>
  <si>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</si>
  <si>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</si>
  <si>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</si>
  <si>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</si>
  <si>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</si>
  <si>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</si>
  <si>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</si>
  <si>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</si>
  <si>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</si>
  <si>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</si>
  <si>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</si>
  <si>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</si>
  <si>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</si>
  <si>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</si>
  <si>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</si>
  <si>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</si>
  <si>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</si>
  <si>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</si>
  <si>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</si>
  <si>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</si>
  <si>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</si>
  <si>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</si>
  <si>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</si>
  <si>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</si>
  <si>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</si>
  <si>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</si>
  <si>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</si>
  <si>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</si>
  <si>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</si>
  <si>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</si>
  <si>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</si>
  <si>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</si>
  <si>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</si>
  <si>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</si>
  <si>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</si>
  <si>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</si>
  <si>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</si>
  <si>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</si>
  <si>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</si>
  <si>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</si>
  <si>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</si>
  <si>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</si>
  <si>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</si>
  <si>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</si>
  <si>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</si>
  <si>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</si>
  <si>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</si>
  <si>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</si>
  <si>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</si>
  <si>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</si>
  <si>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</si>
  <si>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</si>
  <si>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</si>
  <si>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</si>
  <si>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</si>
  <si>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</si>
  <si>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</si>
  <si>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</si>
  <si>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</si>
  <si>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</si>
  <si>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</si>
  <si>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</si>
  <si>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</si>
  <si>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</si>
  <si>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</si>
  <si>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</si>
  <si>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</si>
  <si>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</si>
  <si>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</si>
  <si>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</si>
  <si>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</si>
  <si>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</si>
  <si>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</si>
  <si>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</si>
  <si>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</si>
  <si>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</si>
  <si>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</si>
  <si>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</si>
  <si>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</si>
  <si>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</si>
  <si>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</si>
  <si>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</si>
  <si>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</si>
  <si>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</si>
  <si>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</si>
  <si>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</si>
  <si>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</si>
  <si>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</si>
  <si>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</si>
  <si>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</si>
  <si>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</si>
  <si>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</si>
  <si>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</si>
  <si>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</si>
  <si>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</si>
  <si>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</si>
  <si>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</si>
  <si>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</si>
  <si>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</si>
  <si>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</si>
  <si>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</si>
  <si>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</si>
  <si>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</si>
  <si>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</si>
  <si>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</si>
  <si>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</si>
  <si>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</si>
  <si>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</si>
  <si>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</si>
  <si>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</si>
  <si>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</si>
  <si>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</si>
  <si>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</si>
  <si>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</si>
  <si>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</si>
  <si>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</si>
  <si>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</si>
  <si>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</si>
  <si>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</si>
  <si>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</si>
  <si>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</si>
  <si>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</si>
  <si>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</si>
  <si>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</si>
  <si>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</si>
  <si>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</si>
  <si>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</si>
  <si>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</si>
  <si>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</si>
  <si>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</si>
  <si>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</si>
  <si>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</si>
  <si>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</si>
  <si>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</si>
  <si>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</si>
  <si>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</si>
  <si>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</si>
  <si>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</si>
  <si>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</si>
  <si>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</si>
  <si>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</si>
  <si>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</si>
  <si>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</si>
  <si>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</si>
  <si>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</si>
  <si>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</si>
  <si>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</si>
  <si>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</si>
  <si>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</si>
  <si>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</si>
  <si>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</si>
  <si>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</si>
  <si>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</si>
  <si>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</si>
  <si>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</si>
  <si>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</si>
  <si>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</si>
  <si>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</si>
  <si>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</si>
  <si>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</si>
  <si>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</si>
  <si>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</si>
  <si>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</si>
  <si>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</si>
  <si>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</si>
  <si>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</si>
  <si>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</si>
  <si>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</si>
  <si>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</si>
  <si>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</si>
  <si>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</si>
  <si>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</si>
  <si>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</si>
  <si>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</si>
  <si>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</si>
  <si>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</si>
  <si>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</si>
  <si>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</si>
  <si>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</si>
  <si>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</si>
  <si>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</si>
  <si>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</si>
  <si>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</si>
  <si>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</si>
  <si>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</si>
  <si>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</si>
  <si>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</si>
  <si>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</si>
  <si>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</si>
  <si>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</si>
  <si>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</si>
  <si>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</si>
  <si>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</si>
  <si>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</si>
  <si>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</si>
  <si>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</si>
  <si>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</si>
  <si>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</si>
  <si>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</si>
  <si>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</si>
  <si>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</si>
  <si>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</si>
  <si>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</si>
  <si>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</si>
  <si>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</si>
  <si>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</si>
  <si>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</si>
  <si>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</si>
  <si>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</si>
  <si>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</si>
  <si>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</si>
  <si>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</si>
  <si>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</si>
  <si>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</si>
  <si>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</si>
  <si>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</si>
  <si>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</si>
  <si>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</si>
  <si>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</si>
  <si>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</si>
  <si>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</si>
  <si>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</si>
  <si>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</si>
  <si>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</si>
  <si>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</si>
  <si>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</si>
  <si>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</si>
  <si>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</si>
  <si>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</si>
  <si>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</si>
  <si>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</si>
  <si>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</si>
  <si>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</si>
  <si>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</si>
  <si>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</si>
  <si>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</si>
  <si>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</si>
  <si>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</si>
  <si>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</si>
  <si>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</si>
  <si>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</si>
  <si>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</si>
  <si>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</si>
  <si>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</si>
  <si>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</si>
  <si>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</si>
  <si>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</si>
  <si>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</si>
  <si>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</si>
  <si>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</si>
  <si>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</si>
  <si>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</si>
  <si>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</si>
  <si>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</si>
  <si>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</si>
  <si>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</si>
  <si>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</si>
  <si>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</si>
  <si>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</si>
  <si>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</si>
  <si>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</si>
  <si>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</si>
  <si>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</si>
  <si>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</si>
  <si>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</si>
  <si>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</si>
  <si>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</si>
  <si>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</si>
  <si>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</si>
  <si>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</si>
  <si>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</si>
  <si>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</si>
  <si>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</si>
  <si>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</si>
  <si>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</si>
  <si>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</si>
  <si>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</si>
  <si>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</si>
  <si>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</si>
  <si>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</si>
  <si>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</si>
  <si>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</si>
  <si>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</si>
  <si>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</si>
  <si>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</si>
  <si>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</si>
  <si>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</si>
  <si>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</si>
  <si>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</si>
  <si>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</si>
  <si>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</si>
  <si>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</si>
  <si>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</si>
  <si>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</si>
  <si>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</si>
  <si>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</si>
  <si>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</si>
  <si>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</si>
  <si>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</si>
  <si>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</si>
  <si>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</si>
  <si>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</si>
  <si>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</si>
  <si>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</si>
  <si>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</si>
  <si>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</si>
  <si>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</si>
  <si>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</si>
  <si>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</si>
  <si>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</si>
  <si>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</si>
  <si>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</si>
  <si>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</si>
  <si>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</si>
  <si>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</si>
  <si>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</si>
  <si>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</si>
  <si>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</si>
  <si>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</si>
  <si>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</si>
  <si>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</si>
  <si>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</si>
  <si>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</si>
  <si>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</si>
  <si>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</si>
  <si>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</si>
  <si>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</si>
  <si>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</si>
  <si>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</si>
  <si>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</si>
  <si>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</si>
  <si>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</si>
  <si>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</si>
  <si>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</si>
  <si>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</si>
  <si>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</si>
  <si>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</si>
  <si>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</si>
  <si>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</si>
  <si>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</si>
  <si>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</si>
  <si>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</si>
  <si>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</si>
  <si>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</si>
  <si>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</si>
  <si>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</si>
  <si>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</si>
  <si>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</si>
  <si>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</si>
  <si>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</si>
  <si>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</si>
  <si>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</si>
  <si>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</si>
  <si>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</si>
  <si>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</si>
  <si>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</si>
  <si>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</si>
  <si>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</si>
  <si>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</si>
  <si>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</si>
  <si>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</si>
  <si>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</si>
  <si>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</si>
  <si>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</si>
  <si>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</si>
  <si>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</si>
  <si>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</si>
  <si>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</si>
  <si>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</si>
  <si>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</si>
  <si>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</si>
  <si>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</si>
  <si>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</si>
  <si>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</si>
  <si>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</si>
  <si>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</si>
  <si>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</si>
  <si>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</si>
  <si>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</si>
  <si>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</si>
  <si>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</si>
  <si>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</si>
  <si>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</si>
  <si>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</si>
  <si>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</si>
  <si>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</si>
  <si>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</si>
  <si>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</si>
  <si>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</si>
  <si>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</si>
  <si>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</si>
  <si>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</si>
  <si>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</si>
  <si>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</si>
  <si>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</si>
  <si>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</si>
  <si>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</si>
  <si>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</si>
  <si>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</si>
  <si>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</si>
  <si>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</si>
  <si>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</si>
  <si>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</si>
  <si>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</si>
  <si>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</si>
  <si>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</si>
  <si>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</si>
  <si>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</si>
  <si>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</si>
  <si>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</si>
  <si>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</si>
  <si>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</si>
  <si>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</si>
  <si>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</si>
  <si>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</si>
  <si>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</si>
  <si>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</si>
  <si>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</si>
  <si>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</si>
  <si>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</si>
  <si>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</si>
  <si>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</si>
  <si>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</si>
  <si>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</si>
  <si>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</si>
  <si>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</si>
  <si>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</si>
  <si>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</si>
  <si>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</si>
  <si>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</si>
  <si>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</si>
  <si>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</si>
  <si>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</si>
  <si>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</si>
  <si>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</si>
  <si>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</si>
  <si>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</si>
  <si>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</si>
  <si>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</si>
  <si>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</si>
  <si>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</si>
  <si>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</si>
  <si>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</si>
  <si>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</si>
  <si>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</si>
  <si>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</si>
  <si>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</si>
  <si>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</si>
  <si>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</si>
  <si>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</si>
  <si>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</si>
  <si>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</si>
  <si>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</si>
  <si>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</si>
  <si>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</si>
  <si>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</si>
  <si>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</si>
  <si>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</si>
  <si>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</si>
  <si>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</si>
  <si>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</si>
  <si>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</si>
  <si>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</si>
  <si>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</si>
  <si>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</si>
  <si>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</si>
  <si>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</si>
  <si>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</si>
  <si>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</si>
  <si>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</si>
  <si>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</si>
  <si>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</si>
  <si>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</si>
  <si>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</si>
  <si>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</si>
  <si>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</si>
  <si>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</si>
  <si>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</si>
  <si>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</si>
  <si>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</si>
  <si>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</si>
  <si>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</si>
  <si>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</si>
  <si>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</si>
  <si>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</si>
  <si>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</si>
  <si>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</si>
  <si>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</si>
  <si>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</si>
  <si>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</si>
  <si>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</si>
  <si>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</si>
  <si>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</si>
  <si>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</si>
  <si>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</si>
  <si>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</si>
  <si>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</si>
  <si>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</si>
  <si>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</si>
  <si>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</si>
  <si>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</si>
  <si>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</si>
  <si>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</si>
  <si>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</si>
  <si>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</si>
  <si>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</si>
  <si>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</si>
  <si>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</si>
  <si>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</si>
  <si>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</si>
  <si>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</si>
  <si>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</si>
  <si>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</si>
  <si>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</si>
  <si>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</si>
  <si>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</si>
  <si>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</si>
  <si>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</si>
  <si>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</si>
  <si>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</si>
  <si>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</si>
  <si>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</si>
  <si>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</si>
  <si>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</si>
  <si>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</si>
  <si>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</si>
  <si>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</si>
  <si>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</si>
  <si>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</si>
  <si>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</si>
  <si>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</si>
  <si>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</si>
  <si>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</si>
  <si>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</si>
  <si>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</si>
  <si>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</si>
  <si>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</si>
  <si>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</si>
  <si>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</si>
  <si>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</si>
  <si>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</si>
  <si>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</si>
  <si>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</si>
  <si>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</si>
  <si>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</si>
  <si>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</si>
  <si>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</si>
  <si>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</si>
  <si>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</si>
  <si>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</si>
  <si>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</si>
  <si>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</si>
  <si>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</si>
  <si>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</si>
  <si>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</si>
  <si>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</si>
  <si>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</si>
  <si>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</si>
  <si>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</si>
  <si>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</si>
  <si>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</si>
  <si>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</si>
  <si>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</si>
  <si>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</si>
  <si>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</si>
  <si>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</si>
  <si>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</si>
  <si>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</si>
  <si>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</si>
  <si>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</si>
  <si>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</si>
  <si>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</si>
  <si>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</si>
  <si>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</si>
  <si>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</si>
  <si>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</si>
  <si>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</si>
  <si>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</si>
  <si>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</si>
  <si>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</si>
  <si>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</si>
  <si>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</si>
  <si>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</si>
  <si>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</si>
  <si>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</si>
  <si>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</si>
  <si>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</si>
  <si>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</si>
  <si>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</si>
  <si>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</si>
  <si>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</si>
  <si>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</si>
  <si>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</si>
  <si>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</si>
  <si>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</si>
  <si>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</si>
  <si>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</si>
  <si>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</si>
  <si>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</si>
  <si>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</si>
  <si>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</si>
  <si>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</si>
  <si>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</si>
  <si>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</si>
  <si>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</si>
  <si>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</si>
  <si>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</si>
  <si>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</si>
  <si>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</si>
  <si>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</si>
  <si>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</si>
  <si>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</si>
  <si>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</si>
  <si>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</si>
  <si>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</si>
  <si>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</si>
  <si>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</si>
  <si>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</si>
  <si>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</si>
  <si>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</si>
  <si>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</si>
  <si>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</si>
  <si>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</si>
  <si>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</si>
  <si>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</si>
  <si>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</si>
  <si>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</si>
  <si>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</si>
  <si>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</si>
  <si>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</si>
  <si>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</si>
  <si>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</si>
  <si>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</si>
  <si>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</si>
  <si>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</si>
  <si>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</si>
  <si>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</si>
  <si>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</si>
  <si>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</si>
  <si>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</si>
  <si>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</si>
  <si>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</si>
  <si>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</si>
  <si>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</si>
  <si>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</si>
  <si>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</si>
  <si>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</si>
  <si>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</si>
  <si>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</si>
  <si>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</si>
  <si>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</si>
  <si>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</si>
  <si>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</si>
  <si>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</si>
  <si>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</si>
  <si>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</si>
  <si>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</si>
  <si>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</si>
  <si>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</si>
  <si>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</si>
  <si>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</si>
  <si>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</si>
  <si>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</si>
  <si>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</si>
  <si>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</si>
  <si>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</si>
  <si>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</si>
  <si>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</si>
  <si>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</si>
  <si>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</si>
  <si>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</si>
  <si>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</si>
  <si>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</si>
  <si>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</si>
  <si>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</si>
  <si>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</si>
  <si>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</si>
  <si>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</si>
  <si>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</si>
  <si>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</si>
  <si>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</si>
  <si>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</si>
  <si>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</si>
  <si>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</si>
  <si>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</si>
  <si>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</si>
  <si>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</si>
  <si>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</si>
  <si>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</si>
  <si>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</si>
  <si>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</si>
  <si>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</si>
  <si>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</si>
  <si>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</si>
  <si>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</si>
  <si>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</si>
  <si>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</si>
  <si>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</si>
  <si>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</si>
  <si>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</si>
  <si>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</si>
  <si>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</si>
  <si>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</si>
  <si>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</si>
  <si>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</si>
  <si>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</si>
  <si>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</si>
  <si>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</si>
  <si>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</si>
  <si>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</si>
  <si>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</si>
  <si>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</si>
  <si>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</si>
  <si>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</si>
  <si>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</si>
  <si>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</si>
  <si>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</si>
  <si>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</si>
  <si>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</si>
  <si>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</si>
  <si>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</si>
  <si>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</si>
  <si>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</si>
  <si>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</si>
  <si>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</si>
  <si>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</si>
  <si>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</si>
  <si>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</si>
  <si>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</si>
  <si>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</si>
  <si>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</si>
  <si>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</si>
  <si>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</si>
  <si>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</si>
  <si>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</si>
  <si>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</si>
  <si>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</si>
  <si>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</si>
  <si>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</si>
  <si>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</si>
  <si>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</si>
  <si>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</si>
  <si>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</si>
  <si>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</si>
  <si>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</si>
  <si>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</si>
  <si>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</si>
  <si>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</si>
  <si>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</si>
  <si>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</si>
  <si>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</si>
  <si>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</si>
  <si>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</si>
  <si>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</si>
  <si>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</si>
  <si>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</si>
  <si>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</si>
  <si>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</si>
  <si>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</si>
  <si>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</si>
  <si>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</si>
  <si>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</si>
  <si>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</si>
  <si>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</si>
  <si>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</si>
  <si>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</si>
  <si>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</si>
  <si>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</si>
  <si>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</si>
  <si>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</si>
  <si>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</si>
  <si>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</si>
  <si>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</si>
  <si>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</si>
  <si>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</si>
  <si>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</si>
  <si>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</si>
  <si>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</si>
  <si>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</si>
  <si>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</si>
  <si>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</si>
  <si>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</si>
  <si>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</si>
  <si>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</si>
  <si>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</si>
  <si>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</si>
  <si>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</si>
  <si>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</si>
  <si>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</si>
  <si>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</si>
  <si>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</si>
  <si>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</si>
  <si>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</si>
  <si>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</si>
  <si>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</si>
  <si>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</si>
  <si>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</si>
  <si>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</si>
  <si>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</si>
  <si>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</si>
  <si>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</si>
  <si>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</si>
  <si>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</si>
  <si>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</si>
  <si>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</si>
  <si>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</si>
  <si>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</si>
  <si>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</si>
  <si>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</si>
  <si>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</si>
  <si>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</si>
  <si>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</si>
  <si>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</si>
  <si>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</si>
  <si>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</si>
  <si>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</si>
  <si>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</si>
  <si>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</si>
  <si>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</si>
  <si>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</si>
  <si>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</si>
  <si>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</si>
  <si>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</si>
  <si>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</si>
  <si>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</si>
  <si>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</si>
  <si>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</si>
  <si>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</si>
  <si>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</si>
  <si>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</si>
  <si>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</si>
  <si>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</si>
  <si>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</si>
  <si>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</si>
  <si>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</si>
  <si>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</si>
  <si>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</si>
  <si>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</si>
  <si>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</si>
  <si>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</si>
  <si>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</si>
  <si>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</si>
  <si>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</si>
  <si>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</si>
  <si>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</si>
  <si>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</si>
  <si>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</si>
  <si>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</si>
  <si>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</si>
  <si>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</si>
  <si>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</si>
  <si>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</si>
  <si>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</si>
  <si>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</si>
  <si>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</si>
  <si>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</si>
  <si>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</si>
  <si>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</si>
  <si>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</si>
  <si>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</si>
  <si>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</si>
  <si>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</si>
  <si>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</si>
  <si>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</si>
  <si>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</si>
  <si>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</si>
  <si>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</si>
  <si>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</si>
  <si>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</si>
  <si>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</si>
  <si>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</si>
  <si>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</si>
  <si>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</si>
  <si>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</si>
  <si>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</si>
  <si>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</si>
  <si>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</si>
  <si>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</si>
  <si>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</si>
  <si>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</si>
  <si>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</si>
  <si>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</si>
  <si>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</si>
  <si>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</si>
  <si>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</si>
  <si>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</si>
  <si>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</si>
  <si>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</si>
  <si>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</si>
  <si>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</si>
  <si>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</si>
  <si>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</si>
  <si>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</si>
  <si>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</si>
  <si>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</si>
  <si>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</si>
  <si>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</si>
  <si>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</si>
  <si>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</si>
  <si>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</si>
  <si>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</si>
  <si>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</si>
  <si>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</si>
  <si>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</si>
  <si>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</si>
  <si>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</si>
  <si>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</si>
  <si>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</si>
  <si>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</si>
  <si>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</si>
  <si>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</si>
  <si>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</si>
  <si>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</si>
  <si>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</si>
  <si>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</si>
  <si>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</si>
  <si>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</si>
  <si>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</si>
  <si>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</si>
  <si>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</si>
  <si>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</si>
  <si>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</si>
  <si>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</si>
  <si>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</si>
  <si>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</si>
  <si>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</si>
  <si>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</si>
  <si>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</si>
  <si>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</si>
  <si>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</si>
  <si>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</si>
  <si>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</si>
  <si>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</si>
  <si>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</si>
  <si>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</si>
  <si>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</si>
  <si>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</si>
  <si>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</si>
  <si>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</si>
  <si>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</si>
  <si>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</si>
  <si>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</si>
  <si>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</si>
  <si>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</si>
  <si>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</si>
  <si>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</si>
  <si>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</si>
  <si>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</si>
  <si>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</si>
  <si>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</si>
  <si>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</si>
  <si>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</si>
  <si>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</si>
  <si>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</si>
  <si>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</si>
  <si>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</si>
  <si>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</si>
  <si>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</si>
  <si>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</si>
  <si>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</si>
  <si>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</si>
  <si>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</si>
  <si>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</si>
  <si>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</si>
  <si>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</si>
  <si>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</si>
  <si>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</si>
  <si>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</si>
  <si>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</si>
  <si>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</si>
  <si>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</si>
  <si>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</si>
  <si>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</si>
  <si>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</si>
  <si>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</si>
  <si>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</si>
  <si>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</si>
  <si>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</si>
  <si>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</si>
  <si>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</si>
  <si>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</si>
  <si>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</si>
  <si>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</si>
  <si>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</si>
  <si>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</si>
  <si>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</si>
  <si>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</si>
  <si>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</si>
  <si>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</si>
  <si>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</si>
  <si>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</si>
  <si>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</si>
  <si>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</si>
  <si>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</si>
  <si>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</si>
  <si>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</si>
  <si>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</si>
  <si>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</si>
  <si>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</si>
  <si>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</si>
  <si>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</si>
  <si>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</si>
  <si>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</si>
  <si>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</si>
  <si>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</si>
  <si>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</si>
  <si>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</si>
  <si>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</si>
  <si>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</si>
  <si>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</si>
  <si>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</si>
  <si>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</si>
  <si>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</si>
  <si>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</si>
  <si>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</si>
  <si>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</si>
  <si>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</si>
  <si>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</si>
  <si>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</si>
  <si>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</si>
  <si>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</si>
  <si>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</si>
  <si>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</si>
  <si>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</si>
  <si>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</si>
  <si>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</si>
  <si>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</si>
  <si>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</si>
  <si>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</si>
  <si>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</si>
  <si>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</si>
  <si>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</si>
  <si>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</si>
  <si>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</si>
  <si>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</si>
  <si>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</si>
  <si>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</si>
  <si>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</si>
  <si>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</si>
  <si>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</si>
  <si>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</si>
  <si>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</si>
  <si>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</si>
  <si>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</si>
  <si>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</si>
  <si>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</si>
  <si>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</si>
  <si>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</si>
  <si>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</si>
  <si>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</si>
  <si>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</si>
  <si>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</si>
  <si>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</si>
  <si>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</si>
  <si>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</si>
  <si>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</si>
  <si>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</si>
  <si>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</si>
  <si>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</si>
  <si>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</si>
  <si>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</si>
  <si>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</si>
  <si>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</si>
  <si>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</si>
  <si>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</si>
  <si>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</si>
  <si>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</si>
  <si>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</si>
  <si>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</si>
  <si>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</si>
  <si>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</si>
  <si>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</si>
  <si>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</si>
  <si>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</si>
  <si>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</si>
  <si>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</si>
  <si>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</si>
  <si>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</si>
  <si>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</si>
  <si>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</si>
  <si>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</si>
  <si>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</si>
  <si>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</si>
  <si>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</si>
  <si>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</si>
  <si>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</si>
  <si>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</si>
  <si>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</si>
  <si>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</si>
  <si>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</si>
  <si>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</si>
  <si>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</si>
  <si>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</si>
  <si>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</si>
  <si>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</si>
  <si>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</si>
  <si>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</si>
  <si>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</si>
  <si>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</si>
  <si>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</si>
  <si>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</si>
  <si>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</si>
  <si>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</si>
  <si>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</si>
  <si>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</si>
  <si>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</si>
  <si>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</si>
  <si>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</si>
  <si>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</si>
  <si>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</si>
  <si>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</si>
  <si>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</si>
  <si>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</si>
  <si>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</si>
  <si>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</si>
  <si>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</si>
  <si>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</si>
  <si>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</si>
  <si>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</si>
  <si>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</si>
  <si>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</si>
  <si>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</si>
  <si>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</si>
  <si>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</si>
  <si>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</si>
  <si>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</si>
  <si>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</si>
  <si>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</si>
  <si>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</si>
  <si>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</si>
  <si>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</si>
  <si>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</si>
  <si>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</si>
  <si>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</si>
  <si>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</si>
  <si>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</si>
  <si>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</si>
  <si>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</si>
  <si>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</si>
  <si>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</si>
  <si>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</si>
  <si>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</si>
  <si>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</si>
  <si>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</si>
  <si>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</si>
  <si>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</si>
  <si>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</si>
  <si>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</si>
  <si>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</si>
  <si>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</si>
  <si>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</si>
  <si>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</si>
  <si>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</si>
  <si>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</si>
  <si>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</si>
  <si>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</si>
  <si>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</si>
  <si>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</si>
  <si>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</si>
  <si>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</si>
  <si>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</si>
  <si>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</si>
  <si>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</si>
  <si>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</si>
  <si>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</si>
  <si>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</si>
  <si>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</si>
  <si>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</si>
  <si>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</si>
  <si>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</si>
  <si>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</si>
  <si>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</si>
  <si>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</si>
  <si>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</si>
  <si>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</si>
  <si>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</si>
  <si>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</si>
  <si>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</si>
  <si>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</si>
  <si>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</si>
  <si>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</si>
  <si>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</si>
  <si>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</si>
  <si>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</si>
  <si>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</si>
  <si>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</si>
  <si>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</si>
  <si>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</si>
  <si>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</si>
  <si>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</si>
  <si>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</si>
  <si>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</si>
  <si>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</si>
  <si>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</si>
  <si>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</si>
  <si>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</si>
  <si>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</si>
  <si>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</si>
  <si>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</si>
  <si>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</si>
  <si>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</si>
  <si>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</si>
  <si>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</si>
  <si>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</si>
  <si>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</si>
  <si>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</si>
  <si>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</si>
  <si>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</si>
  <si>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</si>
  <si>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</si>
  <si>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</si>
  <si>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</si>
  <si>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</si>
  <si>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</si>
  <si>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</si>
  <si>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</si>
  <si>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</si>
  <si>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</si>
  <si>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</si>
  <si>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</si>
  <si>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</si>
  <si>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</si>
  <si>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</si>
  <si>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</si>
  <si>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</si>
  <si>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</si>
  <si>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</si>
  <si>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</si>
  <si>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</si>
  <si>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</si>
  <si>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</si>
  <si>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</si>
  <si>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</si>
  <si>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</si>
  <si>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</si>
  <si>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</si>
  <si>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</si>
  <si>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</si>
  <si>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</si>
  <si>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</si>
  <si>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</si>
  <si>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</si>
  <si>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</si>
  <si>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</si>
  <si>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</si>
  <si>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</si>
  <si>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</si>
  <si>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</si>
  <si>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</si>
  <si>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</si>
  <si>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</si>
  <si>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</si>
  <si>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</si>
  <si>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</si>
  <si>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</si>
  <si>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</si>
  <si>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</si>
  <si>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</si>
  <si>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</si>
  <si>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</si>
  <si>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</si>
  <si>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</si>
  <si>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</si>
  <si>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</si>
  <si>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</si>
  <si>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</si>
  <si>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</si>
  <si>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</si>
  <si>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</si>
  <si>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</si>
  <si>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</si>
  <si>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</si>
  <si>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</si>
  <si>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</si>
  <si>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</si>
  <si>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</si>
  <si>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</si>
  <si>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</si>
  <si>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</si>
  <si>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</si>
  <si>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</si>
  <si>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</si>
  <si>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</si>
  <si>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</si>
  <si>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</si>
  <si>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</si>
  <si>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</si>
  <si>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</si>
  <si>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</si>
  <si>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</si>
  <si>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</si>
  <si>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</si>
  <si>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</si>
  <si>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</si>
  <si>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</si>
  <si>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</si>
  <si>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</si>
  <si>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</si>
  <si>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</si>
  <si>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</si>
  <si>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</si>
  <si>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</si>
  <si>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</si>
  <si>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</si>
  <si>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</si>
  <si>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</si>
  <si>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</si>
  <si>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</si>
  <si>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</si>
  <si>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</si>
  <si>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</si>
  <si>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</si>
  <si>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</si>
  <si>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</si>
  <si>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</si>
  <si>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</si>
  <si>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</si>
  <si>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</si>
  <si>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</si>
  <si>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</si>
  <si>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</si>
  <si>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</si>
  <si>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</si>
  <si>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</si>
  <si>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</si>
  <si>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</si>
  <si>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</si>
  <si>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</si>
  <si>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</si>
  <si>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</si>
  <si>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</si>
  <si>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</si>
  <si>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</si>
  <si>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</si>
  <si>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</si>
  <si>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</si>
  <si>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</si>
  <si>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</si>
  <si>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</si>
  <si>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</si>
  <si>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</si>
  <si>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</si>
  <si>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</si>
  <si>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</si>
  <si>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</si>
  <si>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</si>
  <si>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</si>
  <si>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</si>
  <si>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</si>
  <si>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</si>
  <si>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</si>
  <si>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</si>
  <si>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</si>
  <si>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</si>
  <si>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</si>
  <si>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</si>
  <si>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</si>
  <si>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</si>
  <si>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</si>
  <si>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</si>
  <si>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</si>
  <si>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</si>
  <si>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</si>
  <si>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</si>
  <si>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</si>
  <si>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</si>
  <si>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</si>
  <si>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</si>
  <si>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</si>
  <si>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</si>
  <si>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</si>
  <si>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</si>
  <si>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</si>
  <si>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</si>
  <si>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</si>
  <si>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</si>
  <si>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</si>
  <si>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</si>
  <si>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</si>
  <si>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</si>
  <si>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</si>
  <si>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</si>
  <si>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</si>
  <si>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</si>
  <si>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</si>
  <si>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</si>
  <si>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</si>
  <si>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</si>
  <si>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</si>
  <si>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</si>
  <si>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</si>
  <si>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</si>
  <si>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</si>
  <si>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</si>
  <si>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</si>
  <si>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</si>
  <si>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</si>
  <si>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</si>
  <si>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</si>
  <si>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</si>
  <si>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</si>
  <si>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</si>
  <si>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</si>
  <si>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</si>
  <si>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</si>
  <si>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</si>
  <si>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</si>
  <si>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</si>
  <si>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</si>
  <si>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</si>
  <si>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</si>
  <si>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</si>
  <si>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</si>
  <si>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</si>
  <si>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</si>
  <si>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</si>
  <si>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</si>
  <si>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</si>
  <si>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</si>
  <si>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</si>
  <si>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</si>
  <si>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</si>
  <si>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</si>
  <si>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</si>
  <si>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</si>
  <si>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</si>
  <si>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</si>
  <si>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</si>
  <si>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</si>
  <si>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</si>
  <si>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</si>
  <si>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</si>
  <si>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</si>
  <si>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</si>
  <si>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</si>
  <si>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</si>
  <si>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</si>
  <si>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</si>
  <si>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</si>
  <si>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</si>
  <si>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</si>
  <si>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</si>
  <si>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</si>
  <si>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</si>
  <si>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</si>
  <si>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</si>
  <si>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</si>
  <si>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</si>
  <si>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</si>
  <si>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</si>
  <si>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</si>
  <si>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</si>
  <si>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</si>
  <si>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</si>
  <si>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</si>
  <si>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</si>
  <si>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</si>
  <si>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</si>
  <si>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</si>
  <si>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</si>
  <si>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</si>
  <si>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</si>
  <si>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</si>
  <si>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</si>
  <si>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</si>
  <si>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</si>
  <si>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</si>
  <si>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</si>
  <si>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</si>
  <si>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</si>
  <si>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</si>
  <si>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</si>
  <si>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</si>
  <si>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</si>
  <si>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</si>
  <si>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</si>
  <si>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</si>
  <si>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</si>
  <si>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</si>
  <si>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</si>
  <si>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</si>
  <si>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</si>
  <si>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</si>
  <si>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</si>
  <si>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</si>
  <si>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</si>
  <si>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</si>
  <si>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</si>
  <si>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</si>
  <si>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</si>
  <si>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</si>
  <si>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</si>
  <si>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</si>
  <si>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</si>
  <si>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</si>
  <si>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</si>
  <si>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</si>
  <si>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</si>
  <si>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</si>
  <si>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</si>
  <si>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</si>
  <si>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</si>
  <si>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</si>
  <si>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</si>
  <si>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</si>
  <si>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</si>
  <si>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</si>
  <si>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</si>
  <si>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</si>
  <si>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</si>
  <si>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</si>
  <si>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</si>
  <si>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</si>
  <si>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</si>
  <si>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</si>
  <si>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</si>
  <si>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</si>
  <si>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</si>
  <si>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</si>
  <si>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</si>
  <si>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</si>
  <si>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</si>
  <si>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</si>
  <si>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</si>
  <si>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</si>
  <si>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</si>
  <si>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</si>
  <si>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</si>
  <si>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</si>
  <si>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</si>
  <si>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</si>
  <si>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</si>
  <si>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</si>
  <si>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</si>
  <si>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</si>
  <si>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</si>
  <si>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</si>
  <si>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</si>
  <si>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</si>
  <si>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</si>
  <si>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</si>
  <si>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</si>
  <si>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</si>
  <si>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</si>
  <si>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</si>
  <si>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</si>
  <si>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</si>
  <si>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</si>
  <si>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</si>
  <si>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</si>
  <si>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</si>
  <si>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</si>
  <si>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</si>
  <si>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</si>
  <si>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</si>
  <si>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</si>
  <si>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</si>
  <si>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</si>
  <si>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</si>
  <si>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</si>
  <si>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</si>
  <si>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</si>
  <si>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</si>
  <si>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</si>
  <si>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</si>
  <si>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</si>
  <si>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</si>
  <si>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</si>
  <si>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</si>
  <si>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</si>
  <si>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</si>
  <si>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</si>
  <si>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</si>
  <si>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</si>
  <si>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</si>
  <si>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</si>
  <si>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</si>
  <si>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</si>
  <si>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</si>
  <si>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</si>
  <si>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</si>
  <si>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</si>
  <si>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</si>
  <si>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</si>
  <si>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</si>
  <si>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</si>
  <si>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</si>
  <si>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</si>
  <si>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</si>
  <si>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</si>
  <si>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</si>
  <si>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</si>
  <si>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</si>
  <si>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</si>
  <si>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</si>
  <si>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</si>
  <si>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</si>
  <si>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</si>
  <si>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</si>
  <si>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</si>
  <si>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</si>
  <si>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</si>
  <si>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</si>
  <si>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</si>
  <si>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</si>
  <si>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</si>
  <si>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</si>
  <si>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</si>
  <si>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</si>
  <si>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</si>
  <si>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</si>
  <si>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</si>
  <si>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</si>
  <si>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</si>
  <si>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</si>
  <si>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</si>
  <si>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</si>
  <si>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</si>
  <si>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</si>
  <si>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</si>
  <si>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</si>
  <si>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</si>
  <si>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</si>
  <si>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</si>
  <si>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</si>
  <si>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</si>
  <si>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</si>
  <si>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</si>
  <si>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</si>
  <si>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</si>
  <si>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</si>
  <si>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</si>
  <si>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</si>
  <si>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</si>
  <si>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</si>
  <si>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</si>
  <si>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</si>
  <si>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</si>
  <si>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</si>
  <si>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</si>
  <si>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</si>
  <si>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</si>
  <si>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</si>
  <si>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</si>
  <si>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</si>
  <si>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</si>
  <si>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</si>
  <si>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</si>
  <si>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</si>
  <si>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</si>
  <si>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</si>
  <si>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</si>
  <si>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</si>
  <si>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</si>
  <si>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</si>
  <si>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</si>
  <si>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</si>
  <si>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</si>
  <si>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</si>
  <si>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</si>
  <si>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</si>
  <si>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</si>
  <si>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</si>
  <si>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</si>
  <si>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</si>
  <si>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</si>
  <si>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</si>
  <si>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</si>
  <si>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</si>
  <si>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</si>
  <si>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</si>
  <si>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</si>
  <si>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</si>
  <si>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</si>
  <si>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</si>
  <si>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</si>
  <si>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</si>
  <si>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</si>
  <si>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</si>
  <si>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</si>
  <si>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</si>
  <si>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</si>
  <si>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</si>
  <si>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</si>
  <si>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</si>
  <si>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</si>
  <si>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</si>
  <si>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</si>
  <si>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</si>
  <si>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</si>
  <si>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</si>
  <si>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</si>
  <si>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</si>
  <si>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</si>
  <si>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</si>
  <si>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</si>
  <si>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</si>
  <si>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</si>
  <si>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</si>
  <si>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</si>
  <si>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</si>
  <si>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</si>
  <si>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</si>
  <si>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</si>
  <si>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</si>
  <si>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</si>
  <si>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</si>
  <si>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</si>
  <si>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</si>
  <si>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</si>
  <si>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</si>
  <si>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</si>
  <si>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</si>
  <si>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</si>
  <si>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</si>
  <si>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</si>
  <si>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</si>
  <si>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</si>
  <si>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</si>
  <si>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</si>
  <si>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</si>
  <si>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</si>
  <si>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</si>
  <si>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</si>
  <si>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</si>
  <si>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</si>
  <si>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</si>
  <si>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</si>
  <si>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</si>
  <si>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</si>
  <si>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</si>
  <si>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</si>
  <si>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</si>
  <si>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</si>
  <si>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</si>
  <si>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</si>
  <si>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</si>
  <si>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</si>
  <si>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</si>
  <si>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</si>
  <si>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</si>
  <si>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</si>
  <si>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</si>
  <si>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</si>
  <si>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</si>
  <si>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</si>
  <si>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</si>
  <si>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</si>
  <si>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</si>
  <si>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</si>
  <si>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</si>
  <si>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</si>
  <si>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</si>
  <si>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</si>
  <si>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</si>
  <si>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</si>
  <si>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</si>
  <si>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</si>
  <si>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</si>
  <si>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</si>
  <si>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</si>
  <si>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</si>
  <si>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</si>
  <si>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</si>
  <si>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</si>
  <si>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</si>
  <si>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</si>
  <si>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</si>
  <si>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</si>
  <si>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</si>
  <si>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</si>
  <si>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</si>
  <si>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</si>
  <si>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</si>
  <si>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</si>
  <si>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</si>
  <si>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</si>
  <si>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</si>
  <si>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</si>
  <si>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</si>
  <si>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</si>
  <si>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</si>
  <si>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</si>
  <si>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</si>
  <si>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</si>
  <si>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</si>
  <si>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</si>
  <si>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</si>
  <si>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</si>
  <si>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</si>
  <si>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</si>
  <si>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</si>
  <si>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</si>
  <si>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</si>
  <si>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</si>
  <si>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</si>
  <si>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</si>
  <si>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</si>
  <si>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</si>
  <si>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</si>
  <si>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</si>
  <si>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</si>
  <si>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</si>
  <si>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</si>
  <si>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</si>
  <si>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</si>
  <si>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</si>
  <si>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</si>
  <si>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</si>
  <si>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</si>
  <si>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</si>
  <si>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</si>
  <si>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</si>
  <si>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</si>
  <si>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</si>
  <si>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</si>
  <si>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</si>
  <si>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</si>
  <si>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</si>
  <si>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</si>
  <si>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</si>
  <si>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</si>
  <si>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</si>
  <si>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</si>
  <si>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</si>
  <si>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</si>
  <si>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</si>
  <si>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</si>
  <si>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</si>
  <si>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</si>
  <si>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</si>
  <si>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</si>
  <si>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</si>
  <si>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</si>
  <si>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</si>
  <si>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</si>
  <si>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</si>
  <si>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</si>
  <si>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</si>
  <si>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</si>
  <si>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</si>
  <si>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</si>
  <si>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</si>
  <si>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</si>
  <si>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</si>
  <si>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</si>
  <si>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</si>
  <si>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</si>
  <si>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</si>
  <si>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</si>
  <si>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</si>
  <si>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</si>
  <si>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</si>
  <si>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</si>
  <si>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</si>
  <si>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</si>
  <si>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</si>
  <si>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</si>
  <si>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</si>
  <si>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</si>
  <si>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</si>
  <si>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</si>
  <si>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</si>
  <si>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</si>
  <si>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</si>
  <si>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</si>
  <si>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</si>
  <si>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</si>
  <si>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</si>
  <si>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</si>
  <si>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</si>
  <si>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</si>
  <si>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</si>
  <si>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</si>
  <si>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</si>
  <si>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</si>
  <si>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</si>
  <si>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</si>
  <si>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</si>
  <si>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</si>
  <si>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</si>
  <si>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</si>
  <si>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</si>
  <si>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</si>
  <si>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</si>
  <si>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</si>
  <si>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</si>
  <si>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</si>
  <si>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</si>
  <si>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</si>
  <si>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</si>
  <si>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</si>
  <si>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</si>
  <si>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</si>
  <si>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</si>
  <si>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</si>
  <si>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</si>
  <si>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</si>
  <si>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</si>
  <si>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</si>
  <si>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</si>
  <si>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</si>
  <si>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</si>
  <si>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</si>
  <si>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</si>
  <si>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</si>
  <si>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</si>
  <si>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</si>
  <si>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</si>
  <si>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</si>
  <si>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</si>
  <si>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</si>
  <si>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</si>
  <si>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</si>
  <si>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</si>
  <si>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</si>
  <si>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</si>
  <si>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</si>
  <si>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</si>
  <si>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</si>
  <si>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</si>
  <si>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</si>
  <si>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</si>
  <si>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</si>
  <si>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</si>
  <si>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</si>
  <si>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</si>
  <si>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</si>
  <si>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</si>
  <si>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</si>
  <si>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</si>
  <si>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</si>
  <si>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</si>
  <si>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</si>
  <si>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</si>
  <si>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</si>
  <si>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</si>
  <si>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</si>
  <si>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</si>
  <si>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</si>
  <si>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</si>
  <si>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</si>
  <si>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</si>
  <si>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</si>
  <si>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</si>
  <si>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</si>
  <si>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</si>
  <si>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</si>
  <si>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</si>
  <si>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</si>
  <si>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</si>
  <si>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</si>
  <si>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</si>
  <si>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</si>
  <si>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</si>
  <si>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</si>
  <si>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</si>
  <si>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</si>
  <si>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</si>
  <si>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</si>
  <si>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</si>
  <si>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</si>
  <si>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</si>
  <si>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</si>
  <si>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</si>
  <si>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</si>
  <si>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</si>
  <si>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</si>
  <si>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</si>
  <si>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</si>
  <si>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</si>
  <si>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</si>
  <si>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</si>
  <si>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</si>
  <si>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</si>
  <si>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</si>
  <si>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</si>
  <si>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</si>
  <si>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</si>
  <si>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</si>
  <si>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</si>
  <si>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</si>
  <si>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</si>
  <si>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</si>
  <si>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</si>
  <si>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</si>
  <si>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</si>
  <si>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</si>
  <si>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</si>
  <si>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</si>
  <si>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</si>
  <si>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</si>
  <si>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</si>
  <si>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</si>
  <si>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</si>
  <si>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</si>
  <si>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</si>
  <si>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</si>
  <si>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</si>
  <si>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</si>
  <si>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</si>
  <si>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</si>
  <si>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</si>
  <si>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</si>
  <si>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</si>
  <si>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</si>
  <si>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</si>
  <si>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</si>
  <si>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</si>
  <si>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</si>
  <si>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</si>
  <si>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</si>
  <si>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</si>
  <si>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</si>
  <si>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</si>
  <si>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</si>
  <si>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</si>
  <si>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</si>
  <si>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</si>
  <si>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</si>
  <si>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</si>
  <si>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</si>
  <si>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</si>
  <si>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</si>
  <si>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</si>
  <si>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</si>
  <si>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</si>
  <si>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</si>
  <si>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</si>
  <si>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</si>
  <si>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</si>
  <si>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</si>
  <si>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</si>
  <si>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</si>
  <si>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</si>
  <si>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</si>
  <si>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</si>
  <si>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</si>
  <si>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</si>
  <si>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</si>
  <si>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</si>
  <si>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</si>
  <si>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</si>
  <si>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</si>
  <si>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</si>
  <si>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</si>
  <si>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</si>
  <si>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</si>
  <si>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</si>
  <si>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</si>
  <si>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</si>
  <si>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</si>
  <si>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</si>
  <si>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</si>
  <si>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</si>
  <si>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</si>
  <si>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</si>
  <si>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</si>
  <si>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</si>
  <si>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</si>
  <si>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</si>
  <si>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</si>
  <si>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</si>
  <si>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</si>
  <si>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</si>
  <si>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</si>
  <si>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</si>
  <si>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</si>
  <si>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</si>
  <si>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</si>
  <si>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</si>
  <si>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</si>
  <si>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</si>
  <si>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</si>
  <si>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</si>
  <si>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</si>
  <si>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</si>
  <si>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</si>
  <si>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</si>
  <si>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</si>
  <si>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</si>
  <si>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</si>
  <si>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</si>
  <si>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</si>
  <si>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</si>
  <si>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</si>
  <si>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</si>
  <si>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</si>
  <si>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</si>
  <si>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</si>
  <si>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</si>
  <si>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</si>
  <si>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</si>
  <si>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</si>
  <si>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</si>
  <si>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</si>
  <si>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</si>
  <si>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</si>
  <si>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</si>
  <si>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</si>
  <si>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</si>
  <si>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</si>
  <si>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</si>
  <si>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</si>
  <si>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</si>
  <si>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</si>
  <si>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</si>
  <si>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</si>
  <si>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</si>
  <si>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</si>
  <si>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</si>
  <si>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</si>
  <si>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</si>
  <si>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</si>
  <si>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</si>
  <si>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</si>
  <si>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</si>
  <si>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</si>
  <si>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</si>
  <si>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</si>
  <si>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</si>
  <si>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</si>
  <si>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</si>
  <si>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</si>
  <si>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</si>
  <si>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</si>
  <si>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</si>
  <si>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</si>
  <si>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</si>
  <si>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</si>
  <si>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</si>
  <si>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</si>
  <si>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</si>
  <si>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</si>
  <si>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</si>
  <si>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</si>
  <si>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</si>
  <si>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</si>
  <si>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</si>
  <si>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</si>
  <si>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</si>
  <si>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</si>
  <si>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</si>
  <si>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</si>
  <si>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</si>
  <si>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</si>
  <si>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</si>
  <si>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</si>
  <si>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</si>
  <si>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</si>
  <si>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</si>
  <si>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</si>
  <si>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</si>
  <si>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</si>
  <si>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</si>
  <si>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</si>
  <si>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</si>
  <si>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</si>
  <si>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</si>
  <si>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</si>
  <si>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</si>
  <si>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</si>
  <si>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</si>
  <si>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</si>
  <si>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</si>
  <si>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</si>
  <si>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</si>
  <si>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</si>
  <si>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</si>
  <si>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</si>
  <si>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</si>
  <si>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</si>
  <si>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</si>
  <si>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</si>
  <si>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</si>
  <si>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</si>
  <si>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</si>
  <si>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</si>
  <si>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</si>
  <si>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</si>
  <si>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</si>
  <si>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</si>
  <si>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</si>
  <si>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</si>
  <si>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</si>
  <si>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</si>
  <si>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</si>
  <si>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</si>
  <si>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</si>
  <si>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</si>
  <si>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</si>
  <si>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</si>
  <si>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</si>
  <si>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</si>
  <si>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</si>
  <si>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</si>
  <si>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</si>
  <si>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</si>
  <si>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</si>
  <si>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</si>
  <si>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</si>
  <si>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</si>
  <si>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</si>
  <si>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</si>
  <si>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</si>
  <si>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</si>
  <si>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</si>
  <si>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</si>
  <si>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</si>
  <si>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</si>
  <si>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</si>
  <si>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</si>
  <si>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</si>
  <si>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</si>
  <si>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</si>
  <si>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</si>
  <si>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</si>
  <si>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</si>
  <si>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</si>
  <si>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</si>
  <si>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</si>
  <si>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</si>
  <si>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</si>
  <si>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</si>
  <si>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</si>
  <si>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</si>
  <si>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</si>
  <si>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</si>
  <si>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</si>
  <si>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</si>
  <si>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</si>
  <si>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</si>
  <si>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</si>
  <si>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</si>
  <si>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</si>
  <si>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</si>
  <si>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</si>
  <si>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</si>
  <si>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</si>
  <si>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</si>
  <si>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</si>
  <si>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</si>
  <si>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</si>
  <si>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</si>
  <si>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</si>
  <si>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</si>
  <si>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</si>
  <si>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</si>
  <si>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</si>
  <si>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</si>
  <si>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</si>
  <si>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</si>
  <si>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</si>
  <si>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</si>
  <si>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</si>
  <si>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</si>
  <si>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</si>
  <si>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</si>
  <si>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</si>
  <si>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</si>
  <si>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</si>
  <si>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</si>
  <si>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</si>
  <si>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</si>
  <si>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</si>
  <si>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</si>
  <si>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</si>
  <si>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</si>
  <si>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</si>
  <si>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</si>
  <si>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</si>
  <si>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</si>
  <si>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</si>
  <si>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</si>
  <si>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</si>
  <si>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</si>
  <si>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</si>
  <si>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</si>
  <si>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</si>
  <si>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</si>
  <si>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</si>
  <si>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</si>
  <si>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</si>
  <si>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</si>
  <si>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</si>
  <si>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</si>
  <si>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</si>
  <si>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</si>
  <si>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</si>
  <si>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</si>
  <si>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</si>
  <si>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</si>
  <si>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</si>
  <si>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</si>
  <si>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</si>
  <si>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</si>
  <si>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</si>
  <si>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</si>
  <si>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</si>
  <si>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</si>
  <si>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</si>
  <si>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</si>
  <si>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</si>
  <si>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</si>
  <si>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</si>
  <si>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</si>
  <si>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</si>
  <si>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</si>
  <si>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</si>
  <si>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</si>
  <si>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</si>
  <si>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</si>
  <si>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</si>
  <si>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</si>
  <si>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</si>
  <si>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</si>
  <si>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</si>
  <si>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</si>
  <si>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</si>
  <si>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</si>
  <si>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</si>
  <si>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</si>
  <si>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</si>
  <si>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</si>
  <si>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</si>
  <si>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</si>
  <si>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</si>
  <si>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</si>
  <si>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</si>
  <si>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</si>
  <si>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</si>
  <si>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</si>
  <si>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</si>
  <si>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</si>
  <si>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</si>
  <si>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</si>
  <si>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</si>
  <si>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</si>
  <si>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</si>
  <si>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</si>
  <si>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</si>
  <si>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</si>
  <si>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</si>
  <si>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</si>
  <si>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</si>
  <si>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</si>
  <si>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</si>
  <si>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</si>
  <si>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</si>
  <si>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</si>
  <si>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</si>
  <si>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</si>
  <si>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</si>
  <si>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</si>
  <si>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</si>
  <si>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</si>
  <si>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</si>
  <si>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</si>
  <si>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</si>
  <si>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</si>
  <si>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</si>
  <si>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</si>
  <si>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</si>
  <si>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</si>
  <si>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</si>
  <si>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</si>
  <si>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</si>
  <si>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</si>
  <si>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</si>
  <si>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</si>
  <si>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</si>
  <si>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</si>
  <si>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</si>
  <si>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</si>
  <si>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</si>
  <si>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</si>
  <si>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</si>
  <si>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</si>
  <si>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</si>
  <si>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</si>
  <si>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</si>
  <si>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</si>
  <si>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</si>
  <si>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</si>
  <si>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</si>
  <si>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</si>
  <si>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</si>
  <si>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</si>
  <si>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</si>
  <si>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</si>
  <si>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</si>
  <si>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</si>
  <si>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</si>
  <si>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</si>
  <si>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</si>
  <si>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</si>
  <si>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</si>
  <si>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</si>
  <si>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</si>
  <si>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</si>
  <si>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</si>
  <si>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</si>
  <si>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</si>
  <si>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</si>
  <si>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</si>
  <si>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</si>
  <si>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</si>
  <si>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</si>
  <si>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</si>
  <si>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</si>
  <si>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</si>
  <si>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</si>
  <si>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</si>
  <si>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</si>
  <si>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</si>
  <si>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</si>
  <si>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</si>
  <si>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</si>
  <si>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</si>
  <si>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</si>
  <si>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</si>
  <si>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</si>
  <si>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</si>
  <si>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</si>
  <si>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</si>
  <si>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</si>
  <si>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</si>
  <si>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</si>
  <si>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</si>
  <si>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</si>
  <si>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</si>
  <si>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</si>
  <si>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</si>
  <si>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</si>
  <si>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</si>
  <si>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</si>
  <si>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</si>
  <si>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</si>
  <si>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</si>
  <si>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</si>
  <si>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</si>
  <si>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</si>
  <si>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</si>
  <si>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</si>
  <si>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</si>
  <si>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</si>
  <si>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</si>
  <si>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</si>
  <si>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</si>
  <si>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</si>
  <si>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</si>
  <si>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</si>
  <si>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</si>
  <si>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</si>
  <si>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</si>
  <si>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</si>
  <si>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</si>
  <si>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</si>
  <si>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</si>
  <si>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</si>
  <si>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</si>
  <si>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</si>
  <si>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</si>
  <si>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</si>
  <si>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</si>
  <si>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</si>
  <si>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</si>
  <si>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</si>
  <si>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</si>
  <si>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</si>
  <si>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</si>
  <si>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</si>
  <si>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</si>
  <si>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</si>
  <si>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</si>
  <si>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</si>
  <si>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</si>
  <si>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</si>
  <si>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</si>
  <si>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</si>
  <si>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</si>
  <si>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</si>
  <si>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</si>
  <si>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</si>
  <si>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</si>
  <si>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</si>
  <si>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</si>
  <si>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</si>
  <si>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</si>
  <si>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</si>
  <si>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</si>
  <si>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</si>
  <si>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</si>
  <si>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</si>
  <si>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</si>
  <si>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</si>
  <si>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</si>
  <si>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</si>
  <si>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</si>
  <si>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</si>
  <si>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</si>
  <si>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</si>
  <si>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</si>
  <si>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</si>
  <si>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</si>
  <si>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</si>
  <si>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</si>
  <si>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</si>
  <si>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</si>
  <si>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</si>
  <si>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</si>
  <si>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</si>
  <si>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</si>
  <si>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</si>
  <si>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</si>
  <si>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</si>
  <si>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</si>
  <si>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</si>
  <si>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</si>
  <si>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</si>
  <si>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</si>
  <si>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</si>
  <si>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</si>
  <si>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</si>
  <si>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</si>
  <si>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</si>
  <si>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</si>
  <si>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</si>
  <si>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</si>
  <si>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</si>
  <si>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</si>
  <si>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</si>
  <si>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</si>
  <si>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</si>
  <si>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</si>
  <si>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</si>
  <si>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</si>
  <si>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</si>
  <si>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</si>
  <si>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</si>
  <si>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</si>
  <si>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</si>
  <si>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</si>
  <si>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</si>
  <si>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</si>
  <si>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</si>
  <si>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</si>
  <si>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</si>
  <si>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</si>
  <si>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</si>
  <si>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</si>
  <si>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</si>
  <si>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</si>
  <si>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</si>
  <si>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</si>
  <si>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</si>
  <si>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</si>
  <si>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</si>
  <si>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</si>
  <si>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</si>
  <si>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</si>
  <si>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</si>
  <si>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</si>
  <si>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</si>
  <si>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</si>
  <si>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</si>
  <si>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</si>
  <si>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</si>
  <si>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</si>
  <si>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</si>
  <si>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</si>
  <si>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</si>
  <si>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</si>
  <si>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</si>
  <si>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</si>
  <si>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</si>
  <si>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</si>
  <si>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</si>
  <si>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</si>
  <si>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</si>
  <si>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</si>
  <si>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</si>
  <si>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</si>
  <si>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</si>
  <si>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</si>
  <si>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</si>
  <si>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</si>
  <si>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</si>
  <si>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</si>
  <si>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</si>
  <si>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</si>
  <si>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</si>
  <si>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</si>
  <si>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</si>
  <si>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</si>
  <si>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</si>
  <si>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</si>
  <si>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</si>
  <si>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</si>
  <si>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</si>
  <si>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</si>
  <si>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</si>
  <si>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</si>
  <si>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</si>
  <si>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</si>
  <si>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</si>
  <si>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</si>
  <si>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</si>
  <si>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</si>
  <si>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</si>
  <si>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</si>
  <si>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</si>
  <si>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</si>
  <si>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</si>
  <si>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</si>
  <si>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</si>
  <si>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</si>
  <si>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</si>
  <si>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</si>
  <si>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</si>
  <si>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</si>
  <si>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</si>
  <si>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</si>
  <si>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</si>
  <si>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</si>
  <si>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</si>
  <si>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</si>
  <si>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</si>
  <si>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</si>
  <si>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</si>
  <si>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</si>
  <si>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</si>
  <si>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</si>
  <si>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</si>
  <si>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</si>
  <si>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</si>
  <si>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</si>
  <si>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</si>
  <si>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</si>
  <si>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</si>
  <si>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</si>
  <si>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</si>
  <si>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</si>
  <si>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</si>
  <si>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</si>
  <si>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</si>
  <si>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</si>
  <si>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</si>
  <si>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</si>
  <si>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</si>
  <si>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</si>
  <si>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</si>
  <si>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</si>
  <si>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</si>
  <si>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</si>
  <si>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</si>
  <si>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</si>
  <si>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</si>
  <si>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</si>
  <si>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</si>
  <si>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</si>
  <si>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</si>
  <si>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</si>
  <si>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</si>
  <si>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</si>
  <si>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</si>
  <si>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</si>
  <si>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</si>
  <si>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</si>
  <si>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</si>
  <si>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</si>
  <si>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</si>
  <si>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</si>
  <si>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</si>
  <si>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</si>
  <si>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</si>
  <si>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</si>
  <si>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</si>
  <si>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</si>
  <si>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</si>
  <si>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</si>
  <si>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</si>
  <si>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</si>
  <si>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</si>
  <si>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</si>
  <si>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</si>
  <si>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</si>
  <si>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</si>
  <si>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</si>
  <si>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</si>
  <si>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</si>
  <si>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</si>
  <si>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</si>
  <si>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</si>
  <si>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</si>
  <si>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</si>
  <si>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</si>
  <si>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</si>
  <si>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</si>
  <si>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</si>
  <si>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</si>
  <si>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</si>
  <si>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</si>
  <si>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</si>
  <si>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</si>
  <si>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</si>
  <si>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</si>
  <si>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</si>
  <si>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</si>
  <si>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</si>
  <si>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</si>
  <si>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</si>
  <si>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</si>
  <si>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</si>
  <si>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</si>
  <si>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</si>
  <si>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</si>
  <si>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</si>
  <si>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</si>
  <si>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</si>
  <si>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</si>
  <si>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</si>
  <si>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</si>
  <si>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</si>
  <si>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</si>
  <si>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</si>
  <si>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</si>
  <si>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</si>
  <si>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</si>
  <si>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</si>
  <si>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</si>
  <si>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</si>
  <si>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</si>
  <si>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</si>
  <si>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</si>
  <si>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</si>
  <si>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</si>
  <si>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</si>
  <si>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</si>
  <si>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</si>
  <si>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</si>
  <si>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</si>
  <si>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</si>
  <si>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</si>
  <si>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</si>
  <si>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</si>
  <si>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</si>
  <si>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</si>
  <si>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</si>
  <si>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</si>
  <si>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</si>
  <si>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</si>
  <si>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</si>
  <si>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</si>
  <si>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</si>
  <si>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</si>
  <si>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</si>
  <si>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</si>
  <si>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</si>
  <si>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</si>
  <si>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</si>
  <si>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</si>
  <si>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</si>
  <si>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</si>
  <si>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</si>
  <si>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</si>
  <si>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</si>
  <si>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</si>
  <si>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</si>
  <si>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</si>
  <si>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</si>
  <si>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</si>
  <si>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</si>
  <si>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</si>
  <si>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</si>
  <si>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</si>
  <si>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</si>
  <si>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</si>
  <si>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</si>
  <si>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</si>
  <si>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</si>
  <si>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</si>
  <si>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</si>
  <si>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</si>
  <si>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</si>
  <si>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</si>
  <si>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</si>
  <si>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</si>
  <si>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</si>
  <si>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</si>
  <si>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</si>
  <si>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</si>
  <si>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</si>
  <si>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</si>
  <si>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</si>
  <si>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</si>
  <si>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</si>
  <si>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</si>
  <si>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</si>
  <si>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</si>
  <si>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</si>
  <si>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</si>
  <si>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</si>
  <si>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</si>
  <si>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</si>
  <si>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</si>
  <si>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</si>
  <si>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</si>
  <si>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</si>
  <si>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</si>
  <si>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</si>
  <si>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</si>
  <si>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</si>
  <si>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</si>
  <si>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</si>
  <si>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</si>
  <si>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</si>
  <si>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</si>
  <si>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</si>
  <si>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</si>
  <si>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</si>
  <si>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</si>
  <si>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</si>
  <si>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</si>
  <si>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</si>
  <si>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</si>
  <si>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</si>
  <si>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</si>
  <si>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</si>
  <si>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</si>
  <si>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</si>
  <si>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</si>
  <si>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</si>
  <si>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</si>
  <si>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</si>
  <si>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</si>
  <si>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</si>
  <si>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</si>
  <si>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</si>
  <si>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</si>
  <si>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</si>
  <si>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</si>
  <si>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</si>
  <si>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</si>
  <si>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</si>
  <si>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</si>
  <si>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</si>
  <si>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</si>
  <si>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</si>
  <si>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</si>
  <si>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</si>
  <si>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</si>
  <si>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</si>
  <si>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</si>
  <si>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</si>
  <si>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</si>
  <si>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</si>
  <si>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</si>
  <si>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</si>
  <si>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</si>
  <si>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</si>
  <si>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</si>
  <si>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</si>
  <si>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</si>
  <si>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</si>
  <si>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</si>
  <si>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</si>
  <si>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</si>
  <si>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</si>
  <si>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</si>
  <si>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</si>
  <si>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</si>
  <si>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</si>
  <si>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</si>
  <si>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</si>
  <si>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</si>
  <si>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</si>
  <si>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</si>
  <si>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</si>
  <si>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</si>
  <si>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</si>
  <si>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</si>
  <si>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</si>
  <si>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</si>
  <si>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</si>
  <si>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</si>
  <si>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</si>
  <si>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</si>
  <si>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</si>
  <si>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</si>
  <si>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</si>
  <si>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</si>
  <si>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</si>
  <si>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</si>
  <si>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</si>
  <si>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</si>
  <si>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</si>
  <si>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</si>
  <si>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</si>
  <si>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</si>
  <si>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</si>
  <si>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</si>
  <si>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</si>
  <si>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</si>
  <si>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</si>
  <si>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</si>
  <si>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</si>
  <si>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</si>
  <si>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</si>
  <si>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</si>
  <si>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</si>
  <si>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</si>
  <si>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</si>
  <si>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</si>
  <si>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</si>
  <si>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</si>
  <si>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</si>
  <si>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</si>
  <si>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</si>
  <si>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</si>
  <si>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</si>
  <si>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</si>
  <si>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</si>
  <si>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</si>
  <si>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</si>
  <si>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</si>
  <si>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</si>
  <si>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</si>
  <si>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</si>
  <si>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</si>
  <si>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</si>
  <si>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</si>
  <si>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</si>
  <si>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</si>
  <si>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</si>
  <si>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</si>
  <si>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</si>
  <si>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</si>
  <si>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</si>
  <si>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</si>
  <si>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</si>
  <si>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</si>
  <si>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</si>
  <si>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</si>
  <si>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</si>
  <si>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</si>
  <si>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</si>
  <si>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</si>
  <si>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</si>
  <si>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</si>
  <si>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</si>
  <si>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</si>
  <si>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</si>
  <si>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</si>
  <si>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</si>
  <si>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</si>
  <si>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</si>
  <si>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</si>
  <si>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</si>
  <si>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</si>
  <si>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</si>
  <si>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</si>
  <si>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</si>
  <si>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</si>
  <si>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</si>
  <si>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</si>
  <si>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</si>
  <si>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</si>
  <si>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</si>
  <si>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</si>
  <si>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</si>
  <si>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</si>
  <si>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</si>
  <si>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</si>
  <si>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</si>
  <si>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</si>
  <si>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</si>
  <si>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</si>
  <si>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</si>
  <si>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</si>
  <si>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</si>
  <si>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</si>
  <si>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</si>
  <si>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</si>
  <si>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</si>
  <si>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</si>
  <si>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</si>
  <si>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</si>
  <si>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</si>
  <si>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</si>
  <si>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</si>
  <si>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</si>
  <si>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</si>
  <si>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</si>
  <si>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</si>
  <si>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</si>
  <si>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</si>
  <si>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</si>
  <si>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</si>
  <si>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</si>
  <si>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</si>
  <si>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</si>
  <si>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</si>
  <si>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</si>
  <si>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</si>
  <si>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</si>
  <si>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</si>
  <si>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</si>
  <si>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</si>
  <si>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</si>
  <si>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</si>
  <si>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</si>
  <si>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</si>
  <si>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</si>
  <si>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</si>
  <si>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</si>
  <si>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</si>
  <si>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</si>
  <si>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</si>
  <si>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</si>
  <si>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</si>
  <si>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</si>
  <si>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</si>
  <si>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</si>
  <si>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</si>
  <si>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</si>
  <si>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</si>
  <si>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</si>
  <si>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</si>
  <si>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</si>
  <si>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</si>
  <si>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</si>
  <si>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</si>
  <si>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</si>
  <si>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</si>
  <si>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</si>
  <si>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</si>
  <si>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</si>
  <si>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</si>
  <si>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</si>
  <si>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</si>
  <si>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</si>
  <si>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</si>
  <si>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</si>
  <si>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</si>
  <si>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</si>
  <si>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</si>
  <si>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</si>
  <si>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</si>
  <si>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</si>
  <si>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</si>
  <si>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</si>
  <si>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</si>
  <si>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</si>
  <si>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</si>
  <si>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</si>
  <si>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</si>
  <si>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</si>
  <si>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</si>
  <si>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</si>
  <si>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</si>
  <si>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</si>
  <si>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</si>
  <si>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</si>
  <si>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</si>
  <si>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</si>
  <si>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</si>
  <si>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</si>
  <si>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</si>
  <si>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</si>
  <si>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</si>
  <si>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</si>
  <si>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</si>
  <si>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</si>
  <si>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</si>
  <si>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</si>
  <si>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</si>
  <si>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</si>
  <si>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</si>
  <si>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</si>
  <si>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</si>
  <si>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</si>
  <si>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</si>
  <si>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</si>
  <si>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</si>
  <si>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</si>
  <si>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</si>
  <si>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</si>
  <si>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</si>
  <si>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</si>
  <si>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</si>
  <si>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</si>
  <si>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</si>
  <si>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</si>
  <si>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</si>
  <si>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</si>
  <si>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</si>
  <si>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</si>
  <si>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</si>
  <si>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</si>
  <si>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</si>
  <si>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</si>
  <si>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</si>
  <si>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</si>
  <si>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</si>
  <si>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</si>
  <si>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</si>
  <si>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</si>
  <si>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</si>
  <si>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</si>
  <si>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</si>
  <si>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</si>
  <si>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</si>
  <si>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</si>
  <si>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</si>
  <si>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</si>
  <si>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</si>
  <si>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</si>
  <si>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</si>
  <si>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</si>
  <si>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</si>
  <si>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</si>
  <si>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</si>
  <si>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</si>
  <si>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</si>
  <si>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</si>
  <si>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</si>
  <si>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</si>
  <si>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</si>
  <si>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</si>
  <si>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</si>
  <si>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</si>
  <si>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</si>
  <si>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</si>
  <si>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</si>
  <si>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</si>
  <si>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</si>
  <si>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</si>
  <si>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</si>
  <si>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</si>
  <si>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</si>
  <si>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</si>
  <si>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</si>
  <si>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</si>
  <si>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</si>
  <si>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</si>
  <si>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</si>
  <si>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</si>
  <si>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</si>
  <si>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</si>
  <si>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</si>
  <si>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</si>
  <si>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</si>
  <si>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</si>
  <si>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</si>
  <si>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</si>
  <si>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</si>
  <si>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</si>
  <si>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</si>
  <si>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</si>
  <si>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</si>
  <si>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</si>
  <si>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</si>
  <si>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</si>
  <si>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</si>
  <si>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</si>
  <si>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</si>
  <si>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</si>
  <si>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</si>
  <si>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</si>
  <si>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</si>
  <si>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</si>
  <si>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</si>
  <si>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</si>
  <si>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</si>
  <si>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</si>
  <si>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</si>
  <si>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</si>
  <si>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</si>
  <si>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</si>
  <si>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</si>
  <si>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</si>
  <si>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</si>
  <si>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</si>
  <si>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</si>
  <si>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</si>
  <si>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</si>
  <si>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</si>
  <si>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</si>
  <si>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</si>
  <si>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</si>
  <si>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</si>
  <si>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</si>
  <si>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</si>
  <si>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</si>
  <si>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</si>
  <si>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</si>
  <si>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</si>
  <si>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</si>
  <si>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</si>
  <si>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</si>
  <si>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</si>
  <si>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</si>
  <si>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</si>
  <si>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</si>
  <si>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</si>
  <si>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</si>
  <si>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</si>
  <si>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</si>
  <si>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</si>
  <si>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</si>
  <si>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</si>
  <si>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</si>
  <si>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</si>
  <si>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</si>
  <si>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</si>
  <si>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</si>
  <si>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</si>
  <si>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</si>
  <si>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</si>
  <si>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</si>
  <si>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</si>
  <si>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</si>
  <si>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</si>
  <si>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</si>
  <si>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</si>
  <si>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</si>
  <si>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</si>
  <si>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</si>
  <si>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</si>
  <si>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</si>
  <si>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</si>
  <si>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</si>
  <si>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</si>
  <si>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</si>
  <si>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</si>
  <si>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</si>
  <si>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</si>
  <si>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</si>
  <si>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</si>
  <si>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</si>
  <si>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</si>
  <si>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</si>
  <si>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</si>
  <si>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</si>
  <si>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</si>
  <si>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</si>
  <si>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</si>
  <si>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</si>
  <si>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</si>
  <si>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</si>
  <si>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</si>
  <si>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</si>
  <si>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</si>
  <si>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</si>
  <si>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</si>
  <si>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</si>
  <si>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</si>
  <si>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</si>
  <si>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</si>
  <si>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</si>
  <si>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</si>
  <si>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</si>
  <si>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</si>
  <si>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</si>
  <si>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</si>
  <si>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</si>
  <si>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</si>
  <si>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</si>
  <si>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</si>
  <si>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</si>
  <si>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</si>
  <si>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</si>
  <si>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3888634#1</t>
  </si>
  <si>
    <t>Black Palm Development Corp.</t>
  </si>
  <si>
    <t>4588269#1</t>
  </si>
  <si>
    <t>Gesfinanciera</t>
  </si>
  <si>
    <t>4537947#1</t>
  </si>
  <si>
    <t>Ferrymac</t>
  </si>
  <si>
    <t>4546353#1</t>
  </si>
  <si>
    <t>Soluvial.cl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</si>
  <si>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</si>
  <si>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</si>
  <si>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</si>
  <si>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</si>
  <si>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</si>
  <si>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</si>
  <si>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</si>
  <si>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</si>
  <si>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</si>
  <si>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</si>
  <si>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4544141#1</t>
  </si>
  <si>
    <t>Evita's cabinets</t>
  </si>
  <si>
    <t>1678727#1</t>
  </si>
  <si>
    <t>Segura Julian Matias</t>
  </si>
  <si>
    <t>4631125#1</t>
  </si>
  <si>
    <t>Alkimiamx</t>
  </si>
  <si>
    <t>711103#1</t>
  </si>
  <si>
    <t>Obrando</t>
  </si>
  <si>
    <t>4329205#1</t>
  </si>
  <si>
    <t>FT Williams and Associates</t>
  </si>
  <si>
    <t>4531902#1</t>
  </si>
  <si>
    <t>Esing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</si>
  <si>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</si>
  <si>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</si>
  <si>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</si>
  <si>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</si>
  <si>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</si>
  <si>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4577231#1</t>
  </si>
  <si>
    <t>Basilmx</t>
  </si>
  <si>
    <t>3259214#1, 574394#1</t>
  </si>
  <si>
    <t>Cristian Rodriguez Miranda</t>
  </si>
  <si>
    <t>An additional case was identified and investigated</t>
  </si>
  <si>
    <t>4566098#1</t>
  </si>
  <si>
    <t>Bmdsistemas</t>
  </si>
  <si>
    <t>1858096#1, 1792296#1</t>
  </si>
  <si>
    <t>Stop Jeans</t>
  </si>
  <si>
    <t>4539336#1</t>
  </si>
  <si>
    <t>Dipaz</t>
  </si>
  <si>
    <t>4422409#1</t>
  </si>
  <si>
    <t>Adarquitectura</t>
  </si>
  <si>
    <t>4535822#1</t>
  </si>
  <si>
    <t>Visbeen Architects</t>
  </si>
  <si>
    <t>4535875#1</t>
  </si>
  <si>
    <t>Arquiframme</t>
  </si>
  <si>
    <t>4532350#1</t>
  </si>
  <si>
    <t>Tgamex</t>
  </si>
  <si>
    <t>4568128#1</t>
  </si>
  <si>
    <t>Arteplac</t>
  </si>
  <si>
    <t>4638342#1</t>
  </si>
  <si>
    <t>Dharius</t>
  </si>
  <si>
    <t>4547359#1</t>
  </si>
  <si>
    <t>As269898</t>
  </si>
  <si>
    <t>3405547#1</t>
  </si>
  <si>
    <t>Brilliantmindshn</t>
  </si>
  <si>
    <t>4529979#1</t>
  </si>
  <si>
    <t>Omnitracssa</t>
  </si>
  <si>
    <t>4567866#1</t>
  </si>
  <si>
    <t>Tuca</t>
  </si>
  <si>
    <t>4571015#1</t>
  </si>
  <si>
    <t>Ceciliademadonna</t>
  </si>
  <si>
    <t>Additional case for Universidad De Buenos AiresA</t>
  </si>
  <si>
    <t>4549848#1</t>
  </si>
  <si>
    <t>Cmrcimbras</t>
  </si>
  <si>
    <t>4478992#1, 1129100#1</t>
  </si>
  <si>
    <t>Jvconstructor</t>
  </si>
  <si>
    <t>4597917#1</t>
  </si>
  <si>
    <t>Dolphoxco</t>
  </si>
  <si>
    <t>Duplicate case, sent back for reinvestigation and contact augmentation</t>
  </si>
  <si>
    <t>4448312#1</t>
  </si>
  <si>
    <t>Lagunasnorte</t>
  </si>
  <si>
    <t>4600789#1</t>
  </si>
  <si>
    <t>Nuumbra</t>
  </si>
  <si>
    <t>4504033#1</t>
  </si>
  <si>
    <t>Probela La Molina</t>
  </si>
  <si>
    <t>4567075#1</t>
  </si>
  <si>
    <t>Caev</t>
  </si>
  <si>
    <t>1840584#1</t>
  </si>
  <si>
    <t>Trucks tract USA</t>
  </si>
  <si>
    <t>4597300#1</t>
  </si>
  <si>
    <t>Pireos</t>
  </si>
  <si>
    <t>4488759#1</t>
  </si>
  <si>
    <t>Assaabloy</t>
  </si>
  <si>
    <t>189561#2</t>
  </si>
  <si>
    <t>Enacal</t>
  </si>
  <si>
    <t>4570145#1</t>
  </si>
  <si>
    <t>Bavikon</t>
  </si>
  <si>
    <t>2418649#1</t>
  </si>
  <si>
    <t>Tecno Lite</t>
  </si>
  <si>
    <t>4448993#1</t>
  </si>
  <si>
    <t>GRUPO MOLICOM</t>
  </si>
  <si>
    <t>3858152#1</t>
  </si>
  <si>
    <t>Cafesoluble</t>
  </si>
  <si>
    <t>441299#4</t>
  </si>
  <si>
    <t>maquiprocesos</t>
  </si>
  <si>
    <t>1084322#3</t>
  </si>
  <si>
    <t>Centro CAD Nicaragua</t>
  </si>
  <si>
    <t>2446667#2</t>
  </si>
  <si>
    <t>Industrias Altos Sociedad Anonima Cerrada</t>
  </si>
  <si>
    <t>576639#1</t>
  </si>
  <si>
    <t>Zegesa</t>
  </si>
  <si>
    <t>4294850#1</t>
  </si>
  <si>
    <t>INTEGRA RETAIL</t>
  </si>
  <si>
    <t>4576429#1</t>
  </si>
  <si>
    <t>Tilde Studio</t>
  </si>
  <si>
    <t>4546586#1</t>
  </si>
  <si>
    <t>Kaizen360pe</t>
  </si>
  <si>
    <t>4384525#1</t>
  </si>
  <si>
    <t>Ramac</t>
  </si>
  <si>
    <t>2145417#1</t>
  </si>
  <si>
    <t>Ultramodular</t>
  </si>
  <si>
    <t>552169#1</t>
  </si>
  <si>
    <t>Ricardo Esteban Castellon Bogran</t>
  </si>
  <si>
    <t>878469#1</t>
  </si>
  <si>
    <t>Miranda Arquitectos</t>
  </si>
  <si>
    <t>4587314#1</t>
  </si>
  <si>
    <t>Opuscenter</t>
  </si>
  <si>
    <t>4615441#1</t>
  </si>
  <si>
    <t>Prodemco</t>
  </si>
  <si>
    <t>1264286#1</t>
  </si>
  <si>
    <t>Expo Imagen Hn</t>
  </si>
  <si>
    <t>1714541#1</t>
  </si>
  <si>
    <t>Thomasjefferson</t>
  </si>
  <si>
    <t xml:space="preserve">526888#1
</t>
  </si>
  <si>
    <t>Noma</t>
  </si>
  <si>
    <t>4609791#1</t>
  </si>
  <si>
    <t>Wave Arquitectura</t>
  </si>
  <si>
    <t>4319853#1</t>
  </si>
  <si>
    <t>Slacorp</t>
  </si>
  <si>
    <t>610537#1</t>
  </si>
  <si>
    <t>Tecinci</t>
  </si>
  <si>
    <t>2416836#1</t>
  </si>
  <si>
    <t>SMARTSOLAR</t>
  </si>
  <si>
    <t>1347373#1</t>
  </si>
  <si>
    <t>Bioquimica.cl</t>
  </si>
  <si>
    <t>4528943#1</t>
  </si>
  <si>
    <t>Construccionescct</t>
  </si>
  <si>
    <t>2392382#1</t>
  </si>
  <si>
    <t>Cobitat</t>
  </si>
  <si>
    <t>4589085#1</t>
  </si>
  <si>
    <t>Omeinteriors</t>
  </si>
  <si>
    <t>3867287#1</t>
  </si>
  <si>
    <t>Gomez Roco</t>
  </si>
  <si>
    <t>4562412#1</t>
  </si>
  <si>
    <t>Aesarquitectos</t>
  </si>
  <si>
    <t>1329080#1</t>
  </si>
  <si>
    <t>EXO S.A. - Soluciones Tecnológicas</t>
  </si>
  <si>
    <t>1830401#2</t>
  </si>
  <si>
    <t>DelCampo School</t>
  </si>
  <si>
    <t>2394114#1</t>
  </si>
  <si>
    <t>Carpeal</t>
  </si>
  <si>
    <t>4543458#1</t>
  </si>
  <si>
    <t>Cospb</t>
  </si>
  <si>
    <t>4590983#1</t>
  </si>
  <si>
    <t>Filabe</t>
  </si>
  <si>
    <t>3876430#1</t>
  </si>
  <si>
    <t>Santateresita</t>
  </si>
  <si>
    <t>2446700#3</t>
  </si>
  <si>
    <t>C.E.P. Santa Maria De Brena E.I.R.L.</t>
  </si>
  <si>
    <t>1264047#1</t>
  </si>
  <si>
    <t>Frigerio Nelson Horacio</t>
  </si>
  <si>
    <t>1843590#1</t>
  </si>
  <si>
    <t>Andariega SRL</t>
  </si>
  <si>
    <t>1629451#1</t>
  </si>
  <si>
    <t>ISCOT Services</t>
  </si>
  <si>
    <t>2308890#1</t>
  </si>
  <si>
    <t>Bestchem</t>
  </si>
  <si>
    <t>902412#1</t>
  </si>
  <si>
    <t>Alubrysl</t>
  </si>
  <si>
    <t>1101658#1</t>
  </si>
  <si>
    <t>Plastigas Mar del Plata SA</t>
  </si>
  <si>
    <t>2143072#1</t>
  </si>
  <si>
    <t>suministro de obras</t>
  </si>
  <si>
    <t>942879#1</t>
  </si>
  <si>
    <t>MoRPH Argentina</t>
  </si>
  <si>
    <t>1746171#1</t>
  </si>
  <si>
    <t>ARS Technologies</t>
  </si>
  <si>
    <t>1209330#1</t>
  </si>
  <si>
    <t>Construcmaderas</t>
  </si>
  <si>
    <t>1143647#1</t>
  </si>
  <si>
    <t>Huge</t>
  </si>
  <si>
    <t>752966#2</t>
  </si>
  <si>
    <t>Intenisa</t>
  </si>
  <si>
    <t>3048020#1</t>
  </si>
  <si>
    <t>Ola</t>
  </si>
  <si>
    <t>1548843#1</t>
  </si>
  <si>
    <t>Blau</t>
  </si>
  <si>
    <t>1748428#2</t>
  </si>
  <si>
    <t>todoloquebusco</t>
  </si>
  <si>
    <t>1591630#1</t>
  </si>
  <si>
    <t>Uniples S.A.</t>
  </si>
  <si>
    <t>533004#3</t>
  </si>
  <si>
    <t>Redcol S.A.</t>
  </si>
  <si>
    <t>1023639#1</t>
  </si>
  <si>
    <t>Ecuavisa</t>
  </si>
  <si>
    <t>1414832#1</t>
  </si>
  <si>
    <t>Apeec</t>
  </si>
  <si>
    <t>1477809#1</t>
  </si>
  <si>
    <t>Sinergiagrupo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</si>
</sst>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50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0" fillId="0" fontId="46" numFmtId="49" xfId="0" applyAlignment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29" fillId="0" fontId="31" numFmtId="0" xfId="0" applyAlignment="1" applyBorder="1" applyFont="1">
      <alignment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e97ec269-7783-4856-a96e-345adb7a12e8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2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m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m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</sharedItems>
    </cacheField>
    <cacheField name="Investigator" numFmtId="0">
      <sharedItems containsBlank="1">
        <s v="Francisco"/>
        <s v="Maria Celeste"/>
        <s v="Noel"/>
        <s v="Antonella"/>
        <s v="Clar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09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m/>
      </sharedItems>
    </cacheField>
    <cacheField name="Country" numFmtId="0">
      <sharedItems containsBlank="1">
        <s v="Paraguay"/>
        <s v="Chile"/>
        <s v="Colombia"/>
        <s v="Argentina"/>
        <s v="Bolivia"/>
        <s v="Peru"/>
        <s v="Ecuador"/>
        <m/>
      </sharedItems>
    </cacheField>
    <cacheField name="Investigator" numFmtId="0">
      <sharedItems containsBlank="1">
        <s v="Mariadelaida"/>
        <s v="Rafael"/>
        <s v="Enrique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t="default"/>
      </items>
    </pivotField>
    <pivotField name="Country" axis="axisRow" dataField="1" compact="0" outline="0" multipleItemSelectionAllowed="1" showAll="0" sortType="ascending">
      <items>
        <item x="7"/>
        <item x="3"/>
        <item x="4"/>
        <item x="1"/>
        <item x="2"/>
        <item x="6"/>
        <item x="0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2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09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8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e97ec269-7783-4856-a96e-345adb7a12e8}" id="{fed7b931-e22d-4828-802c-347d3813cbf9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19</v>
      </c>
      <c r="F19" s="246">
        <f t="shared" ref="F19:F21" si="1">C19-E19</f>
        <v>11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22</v>
      </c>
      <c r="L19" s="33">
        <f t="shared" ref="L19:L23" si="2">I19-K19</f>
        <v>-17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3</v>
      </c>
      <c r="F20" s="246">
        <f t="shared" si="1"/>
        <v>12</v>
      </c>
      <c r="G20" s="10"/>
      <c r="H20" s="22" t="s">
        <v>18</v>
      </c>
      <c r="I20" s="36">
        <v>10.0</v>
      </c>
      <c r="J20" s="10"/>
      <c r="K20" s="33">
        <f>SUMIF($K$4:$K$17, H20,$L$4:$L$17)</f>
        <v>5</v>
      </c>
      <c r="L20" s="33">
        <f t="shared" si="2"/>
        <v>5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14</v>
      </c>
      <c r="F21" s="246">
        <f t="shared" si="1"/>
        <v>1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13</v>
      </c>
      <c r="L21" s="33">
        <f t="shared" si="2"/>
        <v>7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18</v>
      </c>
      <c r="L22" s="33">
        <f t="shared" si="2"/>
        <v>-3</v>
      </c>
    </row>
    <row r="23" outlineLevel="1">
      <c r="D23" s="10"/>
      <c r="E23" s="37" t="s">
        <v>41</v>
      </c>
      <c r="F23" s="38">
        <f>SUM(F19:F21)</f>
        <v>24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5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4" width="22.63" outlineLevel="1"/>
    <col customWidth="1" min="15" max="15" width="26.88" outlineLevel="1"/>
    <col customWidth="1" min="16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 t="s">
        <v>21</v>
      </c>
      <c r="N2" s="58" t="s">
        <v>20</v>
      </c>
      <c r="O2" s="109" t="s">
        <v>3669</v>
      </c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3670</v>
      </c>
      <c r="D3" s="273" t="s">
        <v>3671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3672</v>
      </c>
      <c r="L3" s="109" t="s">
        <v>3673</v>
      </c>
      <c r="M3" s="58" t="s">
        <v>18</v>
      </c>
      <c r="N3" s="58" t="s">
        <v>20</v>
      </c>
      <c r="O3" s="61"/>
      <c r="P3" s="269" t="b">
        <v>1</v>
      </c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3674</v>
      </c>
      <c r="D4" s="373" t="s">
        <v>3675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3676</v>
      </c>
      <c r="L4" s="317" t="s">
        <v>3677</v>
      </c>
      <c r="M4" s="58" t="s">
        <v>18</v>
      </c>
      <c r="N4" s="58" t="s">
        <v>20</v>
      </c>
      <c r="O4" s="61"/>
      <c r="P4" s="269" t="b">
        <v>1</v>
      </c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3678</v>
      </c>
      <c r="D5" s="373" t="s">
        <v>3679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3680</v>
      </c>
      <c r="L5" s="109" t="s">
        <v>3681</v>
      </c>
      <c r="M5" s="58" t="s">
        <v>27</v>
      </c>
      <c r="N5" s="58" t="s">
        <v>20</v>
      </c>
      <c r="O5" s="109" t="s">
        <v>3682</v>
      </c>
      <c r="P5" s="298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3683</v>
      </c>
      <c r="D6" s="273" t="s">
        <v>3684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3685</v>
      </c>
      <c r="L6" s="109" t="s">
        <v>3686</v>
      </c>
      <c r="M6" s="58" t="s">
        <v>27</v>
      </c>
      <c r="N6" s="58" t="s">
        <v>20</v>
      </c>
      <c r="O6" s="109" t="s">
        <v>3687</v>
      </c>
      <c r="P6" s="298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3688</v>
      </c>
      <c r="D7" s="373" t="s">
        <v>3689</v>
      </c>
      <c r="E7" s="58" t="s">
        <v>22</v>
      </c>
      <c r="F7" s="58" t="s">
        <v>2347</v>
      </c>
      <c r="G7" s="61"/>
      <c r="H7" s="269"/>
      <c r="J7" s="270">
        <v>46174.0</v>
      </c>
      <c r="K7" s="109" t="s">
        <v>3690</v>
      </c>
      <c r="L7" s="109" t="s">
        <v>3691</v>
      </c>
      <c r="M7" s="58" t="s">
        <v>11</v>
      </c>
      <c r="N7" s="58" t="s">
        <v>20</v>
      </c>
      <c r="O7" s="61"/>
      <c r="P7" s="269" t="b">
        <v>1</v>
      </c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3692</v>
      </c>
      <c r="D8" s="457" t="s">
        <v>3693</v>
      </c>
      <c r="E8" s="58" t="s">
        <v>22</v>
      </c>
      <c r="F8" s="58" t="s">
        <v>12</v>
      </c>
      <c r="G8" s="61"/>
      <c r="H8" s="269"/>
      <c r="J8" s="270">
        <v>46174.0</v>
      </c>
      <c r="K8" s="109" t="s">
        <v>3694</v>
      </c>
      <c r="L8" s="109" t="s">
        <v>3695</v>
      </c>
      <c r="M8" s="58" t="s">
        <v>11</v>
      </c>
      <c r="N8" s="58" t="s">
        <v>20</v>
      </c>
      <c r="O8" s="61"/>
      <c r="P8" s="269" t="b">
        <v>1</v>
      </c>
      <c r="R8" s="458"/>
      <c r="S8" s="459"/>
      <c r="T8" s="450"/>
      <c r="U8" s="452"/>
      <c r="V8" s="460"/>
      <c r="W8" s="109"/>
      <c r="X8" s="298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1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3696</v>
      </c>
      <c r="D9" s="373" t="s">
        <v>3697</v>
      </c>
      <c r="E9" s="58" t="s">
        <v>950</v>
      </c>
      <c r="F9" s="58" t="s">
        <v>12</v>
      </c>
      <c r="G9" s="61"/>
      <c r="H9" s="269"/>
      <c r="J9" s="403">
        <v>46174.0</v>
      </c>
      <c r="K9" s="294" t="s">
        <v>3698</v>
      </c>
      <c r="L9" s="294" t="s">
        <v>3699</v>
      </c>
      <c r="M9" s="295" t="s">
        <v>27</v>
      </c>
      <c r="N9" s="295" t="s">
        <v>2337</v>
      </c>
      <c r="O9" s="61"/>
      <c r="P9" s="269" t="b">
        <v>1</v>
      </c>
      <c r="R9" s="458"/>
      <c r="S9" s="462"/>
      <c r="T9" s="462"/>
      <c r="U9" s="463"/>
      <c r="V9" s="464"/>
      <c r="W9" s="61"/>
      <c r="X9" s="269"/>
      <c r="Z9" s="270"/>
      <c r="AA9" s="109"/>
      <c r="AB9" s="109"/>
      <c r="AC9" s="58"/>
      <c r="AD9" s="58"/>
      <c r="AE9" s="61"/>
      <c r="AF9" s="269"/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3"/>
      <c r="AT9" s="452"/>
      <c r="AU9" s="109"/>
      <c r="AV9" s="298"/>
      <c r="AX9" s="379"/>
      <c r="AY9" s="384"/>
      <c r="AZ9" s="465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3700</v>
      </c>
      <c r="D10" s="413" t="s">
        <v>3701</v>
      </c>
      <c r="E10" s="58" t="s">
        <v>19</v>
      </c>
      <c r="F10" s="58" t="s">
        <v>12</v>
      </c>
      <c r="G10" s="61"/>
      <c r="H10" s="269"/>
      <c r="J10" s="401">
        <v>46174.0</v>
      </c>
      <c r="K10" s="273" t="s">
        <v>3702</v>
      </c>
      <c r="L10" s="273" t="s">
        <v>3703</v>
      </c>
      <c r="M10" s="274" t="s">
        <v>15</v>
      </c>
      <c r="N10" s="274" t="s">
        <v>2337</v>
      </c>
      <c r="O10" s="109" t="s">
        <v>3704</v>
      </c>
      <c r="P10" s="298"/>
      <c r="R10" s="270"/>
      <c r="S10" s="109"/>
      <c r="T10" s="109"/>
      <c r="U10" s="58"/>
      <c r="V10" s="58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6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3705</v>
      </c>
      <c r="D11" s="273" t="s">
        <v>3706</v>
      </c>
      <c r="E11" s="402" t="s">
        <v>22</v>
      </c>
      <c r="F11" s="58" t="s">
        <v>12</v>
      </c>
      <c r="G11" s="61"/>
      <c r="H11" s="269"/>
      <c r="J11" s="403">
        <v>46174.0</v>
      </c>
      <c r="K11" s="417" t="s">
        <v>3707</v>
      </c>
      <c r="L11" s="294" t="s">
        <v>3708</v>
      </c>
      <c r="M11" s="295" t="s">
        <v>18</v>
      </c>
      <c r="N11" s="295" t="s">
        <v>2337</v>
      </c>
      <c r="O11" s="109" t="s">
        <v>3709</v>
      </c>
      <c r="P11" s="269" t="b">
        <v>1</v>
      </c>
      <c r="R11" s="270"/>
      <c r="S11" s="109"/>
      <c r="T11" s="109"/>
      <c r="U11" s="58"/>
      <c r="V11" s="58"/>
      <c r="W11" s="109"/>
      <c r="X11" s="269"/>
      <c r="Z11" s="270"/>
      <c r="AA11" s="109"/>
      <c r="AB11" s="109"/>
      <c r="AC11" s="58"/>
      <c r="AD11" s="58"/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3710</v>
      </c>
      <c r="D12" s="294" t="s">
        <v>3711</v>
      </c>
      <c r="E12" s="391" t="s">
        <v>22</v>
      </c>
      <c r="F12" s="58" t="s">
        <v>12</v>
      </c>
      <c r="G12" s="61"/>
      <c r="H12" s="269"/>
      <c r="J12" s="401">
        <v>46174.0</v>
      </c>
      <c r="K12" s="467" t="s">
        <v>3712</v>
      </c>
      <c r="L12" s="273" t="s">
        <v>3713</v>
      </c>
      <c r="M12" s="274" t="s">
        <v>27</v>
      </c>
      <c r="N12" s="274" t="s">
        <v>2337</v>
      </c>
      <c r="O12" s="109" t="s">
        <v>3709</v>
      </c>
      <c r="P12" s="269" t="b">
        <v>1</v>
      </c>
      <c r="R12" s="270"/>
      <c r="S12" s="109"/>
      <c r="T12" s="109"/>
      <c r="U12" s="58"/>
      <c r="V12" s="58"/>
      <c r="W12" s="61"/>
      <c r="X12" s="269"/>
      <c r="Z12" s="270"/>
      <c r="AA12" s="109"/>
      <c r="AB12" s="109"/>
      <c r="AC12" s="58"/>
      <c r="AD12" s="58"/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6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3714</v>
      </c>
      <c r="D13" s="273" t="s">
        <v>3715</v>
      </c>
      <c r="E13" s="402" t="s">
        <v>22</v>
      </c>
      <c r="F13" s="58" t="s">
        <v>12</v>
      </c>
      <c r="G13" s="61"/>
      <c r="H13" s="269"/>
      <c r="J13" s="403">
        <v>46174.0</v>
      </c>
      <c r="K13" s="294" t="s">
        <v>3716</v>
      </c>
      <c r="L13" s="294" t="s">
        <v>3717</v>
      </c>
      <c r="M13" s="295" t="s">
        <v>27</v>
      </c>
      <c r="N13" s="295" t="s">
        <v>2337</v>
      </c>
      <c r="O13" s="61"/>
      <c r="P13" s="269" t="b">
        <v>1</v>
      </c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344"/>
      <c r="AD13" s="58"/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68"/>
      <c r="BG13" s="453"/>
      <c r="BH13" s="453"/>
      <c r="BI13" s="469"/>
      <c r="BJ13" s="455"/>
      <c r="BK13" s="61"/>
      <c r="BL13" s="269"/>
    </row>
    <row r="14" ht="22.5" customHeight="1">
      <c r="A14" s="368"/>
      <c r="B14" s="270">
        <v>46175.0</v>
      </c>
      <c r="C14" s="312" t="s">
        <v>3718</v>
      </c>
      <c r="D14" s="470" t="s">
        <v>3719</v>
      </c>
      <c r="E14" s="58" t="s">
        <v>10</v>
      </c>
      <c r="F14" s="58" t="s">
        <v>2349</v>
      </c>
      <c r="G14" s="61"/>
      <c r="H14" s="269"/>
      <c r="J14" s="401">
        <v>46174.0</v>
      </c>
      <c r="K14" s="273" t="s">
        <v>3720</v>
      </c>
      <c r="L14" s="273" t="s">
        <v>3721</v>
      </c>
      <c r="M14" s="274" t="s">
        <v>11</v>
      </c>
      <c r="N14" s="274" t="s">
        <v>2337</v>
      </c>
      <c r="O14" s="61"/>
      <c r="P14" s="269" t="b">
        <v>1</v>
      </c>
      <c r="R14" s="270"/>
      <c r="S14" s="109"/>
      <c r="T14" s="109"/>
      <c r="U14" s="58"/>
      <c r="V14" s="58"/>
      <c r="W14" s="109"/>
      <c r="X14" s="269"/>
      <c r="Z14" s="270"/>
      <c r="AA14" s="109"/>
      <c r="AB14" s="109"/>
      <c r="AC14" s="58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1"/>
      <c r="BA14" s="58"/>
      <c r="BB14" s="58"/>
      <c r="BC14" s="61"/>
      <c r="BD14" s="269"/>
      <c r="BF14" s="471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3722</v>
      </c>
      <c r="D15" s="294" t="s">
        <v>3723</v>
      </c>
      <c r="E15" s="391" t="s">
        <v>22</v>
      </c>
      <c r="F15" s="391" t="s">
        <v>2344</v>
      </c>
      <c r="G15" s="61"/>
      <c r="H15" s="269"/>
      <c r="J15" s="403">
        <v>46174.0</v>
      </c>
      <c r="K15" s="294" t="s">
        <v>3724</v>
      </c>
      <c r="L15" s="294" t="s">
        <v>3725</v>
      </c>
      <c r="M15" s="295" t="s">
        <v>11</v>
      </c>
      <c r="N15" s="295" t="s">
        <v>2337</v>
      </c>
      <c r="O15" s="61"/>
      <c r="P15" s="269" t="b">
        <v>1</v>
      </c>
      <c r="R15" s="270"/>
      <c r="S15" s="109"/>
      <c r="T15" s="109"/>
      <c r="U15" s="58"/>
      <c r="V15" s="58"/>
      <c r="W15" s="61"/>
      <c r="X15" s="269"/>
      <c r="Z15" s="270"/>
      <c r="AA15" s="384"/>
      <c r="AB15" s="109"/>
      <c r="AC15" s="344"/>
      <c r="AD15" s="344"/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68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3726</v>
      </c>
      <c r="D16" s="273" t="s">
        <v>3727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3728</v>
      </c>
      <c r="L16" s="273" t="s">
        <v>3729</v>
      </c>
      <c r="M16" s="274" t="s">
        <v>23</v>
      </c>
      <c r="N16" s="274" t="s">
        <v>2337</v>
      </c>
      <c r="O16" s="61"/>
      <c r="P16" s="269" t="b">
        <v>1</v>
      </c>
      <c r="R16" s="270"/>
      <c r="S16" s="109"/>
      <c r="T16" s="109"/>
      <c r="U16" s="58"/>
      <c r="V16" s="58"/>
      <c r="W16" s="61"/>
      <c r="X16" s="269"/>
      <c r="Z16" s="270"/>
      <c r="AA16" s="109"/>
      <c r="AB16" s="109"/>
      <c r="AC16" s="58"/>
      <c r="AD16" s="58"/>
      <c r="AE16" s="61"/>
      <c r="AF16" s="269"/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1"/>
      <c r="BA16" s="58"/>
      <c r="BB16" s="58"/>
      <c r="BC16" s="61"/>
      <c r="BD16" s="269"/>
      <c r="BF16" s="471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3730</v>
      </c>
      <c r="D17" s="273" t="s">
        <v>3731</v>
      </c>
      <c r="E17" s="402" t="s">
        <v>19</v>
      </c>
      <c r="F17" s="274" t="s">
        <v>2344</v>
      </c>
      <c r="G17" s="61"/>
      <c r="H17" s="269"/>
      <c r="J17" s="380">
        <v>46174.0</v>
      </c>
      <c r="K17" s="294" t="s">
        <v>3732</v>
      </c>
      <c r="L17" s="294" t="s">
        <v>3733</v>
      </c>
      <c r="M17" s="381" t="s">
        <v>11</v>
      </c>
      <c r="N17" s="404" t="s">
        <v>2338</v>
      </c>
      <c r="O17" s="61"/>
      <c r="P17" s="269" t="b">
        <v>1</v>
      </c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109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1"/>
      <c r="BA17" s="58"/>
      <c r="BB17" s="58"/>
      <c r="BC17" s="61"/>
      <c r="BD17" s="269"/>
      <c r="BF17" s="449"/>
      <c r="BG17" s="450"/>
      <c r="BH17" s="450"/>
      <c r="BI17" s="452"/>
      <c r="BJ17" s="472"/>
      <c r="BK17" s="61"/>
      <c r="BL17" s="269"/>
    </row>
    <row r="18" ht="22.5" customHeight="1">
      <c r="A18" s="368"/>
      <c r="B18" s="270">
        <v>46175.0</v>
      </c>
      <c r="C18" s="273" t="s">
        <v>3734</v>
      </c>
      <c r="D18" s="273" t="s">
        <v>3735</v>
      </c>
      <c r="E18" s="402" t="s">
        <v>22</v>
      </c>
      <c r="F18" s="402" t="s">
        <v>2344</v>
      </c>
      <c r="G18" s="61"/>
      <c r="H18" s="269"/>
      <c r="J18" s="382">
        <v>46174.0</v>
      </c>
      <c r="K18" s="273" t="s">
        <v>3736</v>
      </c>
      <c r="L18" s="273" t="s">
        <v>3737</v>
      </c>
      <c r="M18" s="399" t="s">
        <v>11</v>
      </c>
      <c r="N18" s="410" t="s">
        <v>2338</v>
      </c>
      <c r="O18" s="109" t="s">
        <v>3738</v>
      </c>
      <c r="P18" s="298"/>
      <c r="R18" s="270"/>
      <c r="S18" s="384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61"/>
      <c r="AF18" s="269"/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1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3739</v>
      </c>
      <c r="D19" s="294" t="s">
        <v>3740</v>
      </c>
      <c r="E19" s="391" t="s">
        <v>24</v>
      </c>
      <c r="F19" s="295" t="s">
        <v>2344</v>
      </c>
      <c r="G19" s="61"/>
      <c r="H19" s="269"/>
      <c r="J19" s="380">
        <v>46174.0</v>
      </c>
      <c r="K19" s="417" t="s">
        <v>3741</v>
      </c>
      <c r="L19" s="294" t="s">
        <v>3742</v>
      </c>
      <c r="M19" s="441" t="s">
        <v>23</v>
      </c>
      <c r="N19" s="404" t="s">
        <v>2338</v>
      </c>
      <c r="O19" s="109" t="s">
        <v>3709</v>
      </c>
      <c r="P19" s="269" t="b">
        <v>1</v>
      </c>
      <c r="R19" s="270"/>
      <c r="S19" s="384"/>
      <c r="T19" s="109"/>
      <c r="U19" s="58"/>
      <c r="V19" s="58"/>
      <c r="W19" s="109"/>
      <c r="X19" s="269"/>
      <c r="Z19" s="270"/>
      <c r="AA19" s="109"/>
      <c r="AB19" s="109"/>
      <c r="AC19" s="58"/>
      <c r="AD19" s="58"/>
      <c r="AE19" s="61"/>
      <c r="AF19" s="269"/>
      <c r="AH19" s="270"/>
      <c r="AI19" s="384"/>
      <c r="AJ19" s="373"/>
      <c r="AK19" s="81"/>
      <c r="AL19" s="58"/>
      <c r="AM19" s="61"/>
      <c r="AN19" s="269"/>
      <c r="AP19" s="468"/>
      <c r="AQ19" s="453"/>
      <c r="AR19" s="453"/>
      <c r="AS19" s="469"/>
      <c r="AT19" s="455"/>
      <c r="AU19" s="473"/>
      <c r="AV19" s="269"/>
      <c r="AX19" s="270"/>
      <c r="AY19" s="384"/>
      <c r="AZ19" s="461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3743</v>
      </c>
      <c r="D20" s="273" t="s">
        <v>3744</v>
      </c>
      <c r="E20" s="402"/>
      <c r="F20" s="274" t="s">
        <v>2344</v>
      </c>
      <c r="G20" s="109" t="s">
        <v>3745</v>
      </c>
      <c r="H20" s="269"/>
      <c r="J20" s="382">
        <v>46174.0</v>
      </c>
      <c r="K20" s="273" t="s">
        <v>3746</v>
      </c>
      <c r="L20" s="273" t="s">
        <v>3747</v>
      </c>
      <c r="M20" s="399" t="s">
        <v>23</v>
      </c>
      <c r="N20" s="274" t="s">
        <v>2338</v>
      </c>
      <c r="O20" s="61"/>
      <c r="P20" s="269" t="b">
        <v>1</v>
      </c>
      <c r="R20" s="270"/>
      <c r="S20" s="384"/>
      <c r="T20" s="109"/>
      <c r="U20" s="58"/>
      <c r="V20" s="58"/>
      <c r="W20" s="61"/>
      <c r="X20" s="269"/>
      <c r="Z20" s="270"/>
      <c r="AA20" s="109"/>
      <c r="AB20" s="407"/>
      <c r="AC20" s="58"/>
      <c r="AD20" s="58"/>
      <c r="AE20" s="109"/>
      <c r="AF20" s="269"/>
      <c r="AH20" s="270"/>
      <c r="AI20" s="384"/>
      <c r="AJ20" s="373"/>
      <c r="AK20" s="58"/>
      <c r="AL20" s="58"/>
      <c r="AM20" s="61"/>
      <c r="AN20" s="269"/>
      <c r="AP20" s="471"/>
      <c r="AQ20" s="450"/>
      <c r="AR20" s="450"/>
      <c r="AS20" s="474"/>
      <c r="AT20" s="452"/>
      <c r="AU20" s="475"/>
      <c r="AV20" s="269"/>
      <c r="AX20" s="270"/>
      <c r="AY20" s="384"/>
      <c r="AZ20" s="461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3748</v>
      </c>
      <c r="D21" s="430" t="s">
        <v>3749</v>
      </c>
      <c r="E21" s="431" t="s">
        <v>22</v>
      </c>
      <c r="F21" s="58" t="s">
        <v>12</v>
      </c>
      <c r="G21" s="61"/>
      <c r="H21" s="269"/>
      <c r="J21" s="380">
        <v>46174.0</v>
      </c>
      <c r="K21" s="294" t="s">
        <v>3750</v>
      </c>
      <c r="L21" s="294" t="s">
        <v>3751</v>
      </c>
      <c r="M21" s="441" t="s">
        <v>23</v>
      </c>
      <c r="N21" s="406" t="s">
        <v>2338</v>
      </c>
      <c r="O21" s="61"/>
      <c r="P21" s="269" t="b">
        <v>1</v>
      </c>
      <c r="R21" s="270"/>
      <c r="S21" s="384"/>
      <c r="T21" s="109"/>
      <c r="U21" s="58"/>
      <c r="V21" s="58"/>
      <c r="W21" s="109"/>
      <c r="X21" s="269"/>
      <c r="Z21" s="270"/>
      <c r="AA21" s="109"/>
      <c r="AB21" s="109"/>
      <c r="AC21" s="58"/>
      <c r="AD21" s="58"/>
      <c r="AE21" s="109"/>
      <c r="AF21" s="298"/>
      <c r="AH21" s="270"/>
      <c r="AI21" s="109"/>
      <c r="AJ21" s="373"/>
      <c r="AK21" s="58"/>
      <c r="AL21" s="58"/>
      <c r="AM21" s="61"/>
      <c r="AN21" s="269"/>
      <c r="AP21" s="468"/>
      <c r="AQ21" s="453"/>
      <c r="AR21" s="453"/>
      <c r="AS21" s="469"/>
      <c r="AT21" s="455"/>
      <c r="AU21" s="473"/>
      <c r="AV21" s="269"/>
      <c r="AX21" s="270"/>
      <c r="AY21" s="384"/>
      <c r="AZ21" s="476"/>
      <c r="BA21" s="58"/>
      <c r="BB21" s="58"/>
      <c r="BC21" s="61"/>
      <c r="BD21" s="269"/>
      <c r="BF21" s="468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3752</v>
      </c>
      <c r="D22" s="477" t="s">
        <v>3753</v>
      </c>
      <c r="E22" s="58" t="s">
        <v>22</v>
      </c>
      <c r="F22" s="58" t="s">
        <v>2349</v>
      </c>
      <c r="G22" s="61"/>
      <c r="H22" s="269"/>
      <c r="J22" s="382">
        <v>46174.0</v>
      </c>
      <c r="K22" s="273" t="s">
        <v>3754</v>
      </c>
      <c r="L22" s="273" t="s">
        <v>3755</v>
      </c>
      <c r="M22" s="274" t="s">
        <v>23</v>
      </c>
      <c r="N22" s="274" t="s">
        <v>2338</v>
      </c>
      <c r="O22" s="61"/>
      <c r="P22" s="269" t="b">
        <v>1</v>
      </c>
      <c r="R22" s="270"/>
      <c r="S22" s="384"/>
      <c r="T22" s="109"/>
      <c r="U22" s="58"/>
      <c r="V22" s="58"/>
      <c r="W22" s="61"/>
      <c r="X22" s="269"/>
      <c r="Z22" s="270"/>
      <c r="AA22" s="109"/>
      <c r="AB22" s="109"/>
      <c r="AC22" s="58"/>
      <c r="AD22" s="58"/>
      <c r="AE22" s="61"/>
      <c r="AF22" s="269"/>
      <c r="AH22" s="270"/>
      <c r="AI22" s="109"/>
      <c r="AJ22" s="373"/>
      <c r="AK22" s="58"/>
      <c r="AL22" s="58"/>
      <c r="AM22" s="61"/>
      <c r="AN22" s="269"/>
      <c r="AP22" s="471"/>
      <c r="AQ22" s="450"/>
      <c r="AR22" s="450"/>
      <c r="AS22" s="474"/>
      <c r="AT22" s="452"/>
      <c r="AU22" s="475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3756</v>
      </c>
      <c r="D23" s="405" t="s">
        <v>3757</v>
      </c>
      <c r="E23" s="478" t="s">
        <v>22</v>
      </c>
      <c r="F23" s="58" t="s">
        <v>12</v>
      </c>
      <c r="G23" s="61"/>
      <c r="H23" s="269"/>
      <c r="J23" s="403">
        <v>46175.0</v>
      </c>
      <c r="K23" s="294" t="s">
        <v>3758</v>
      </c>
      <c r="L23" s="294" t="s">
        <v>3759</v>
      </c>
      <c r="M23" s="391" t="s">
        <v>23</v>
      </c>
      <c r="N23" s="391" t="s">
        <v>2337</v>
      </c>
      <c r="O23" s="61"/>
      <c r="P23" s="269" t="b">
        <v>1</v>
      </c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47"/>
      <c r="AJ23" s="373"/>
      <c r="AK23" s="58"/>
      <c r="AL23" s="58"/>
      <c r="AM23" s="61"/>
      <c r="AN23" s="269"/>
      <c r="AP23" s="468"/>
      <c r="AQ23" s="453"/>
      <c r="AR23" s="453"/>
      <c r="AS23" s="469"/>
      <c r="AT23" s="455"/>
      <c r="AU23" s="473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3760</v>
      </c>
      <c r="D24" s="373" t="s">
        <v>3761</v>
      </c>
      <c r="E24" s="58" t="s">
        <v>32</v>
      </c>
      <c r="F24" s="58" t="s">
        <v>2349</v>
      </c>
      <c r="G24" s="109"/>
      <c r="H24" s="269"/>
      <c r="J24" s="401">
        <v>46175.0</v>
      </c>
      <c r="K24" s="273" t="s">
        <v>3762</v>
      </c>
      <c r="L24" s="273" t="s">
        <v>3763</v>
      </c>
      <c r="M24" s="402" t="s">
        <v>27</v>
      </c>
      <c r="N24" s="402" t="s">
        <v>2337</v>
      </c>
      <c r="O24" s="109"/>
      <c r="P24" s="269" t="b">
        <v>1</v>
      </c>
      <c r="R24" s="270"/>
      <c r="S24" s="109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6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3764</v>
      </c>
      <c r="D25" s="430" t="s">
        <v>3765</v>
      </c>
      <c r="E25" s="431" t="s">
        <v>32</v>
      </c>
      <c r="F25" s="58" t="s">
        <v>12</v>
      </c>
      <c r="G25" s="61"/>
      <c r="H25" s="269"/>
      <c r="J25" s="403">
        <v>46175.0</v>
      </c>
      <c r="K25" s="294" t="s">
        <v>3766</v>
      </c>
      <c r="L25" s="294" t="s">
        <v>3767</v>
      </c>
      <c r="M25" s="391" t="s">
        <v>23</v>
      </c>
      <c r="N25" s="391" t="s">
        <v>2337</v>
      </c>
      <c r="O25" s="61"/>
      <c r="P25" s="269" t="b">
        <v>1</v>
      </c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3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3768</v>
      </c>
      <c r="D26" s="294" t="s">
        <v>3769</v>
      </c>
      <c r="E26" s="391" t="s">
        <v>32</v>
      </c>
      <c r="F26" s="58" t="s">
        <v>12</v>
      </c>
      <c r="G26" s="61"/>
      <c r="H26" s="269"/>
      <c r="J26" s="401">
        <v>46175.0</v>
      </c>
      <c r="K26" s="273" t="s">
        <v>3770</v>
      </c>
      <c r="L26" s="273" t="s">
        <v>3771</v>
      </c>
      <c r="M26" s="402" t="s">
        <v>23</v>
      </c>
      <c r="N26" s="402" t="s">
        <v>2337</v>
      </c>
      <c r="O26" s="61"/>
      <c r="P26" s="269" t="b">
        <v>1</v>
      </c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109"/>
      <c r="AF26" s="269"/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6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3772</v>
      </c>
      <c r="D27" s="273" t="s">
        <v>3773</v>
      </c>
      <c r="E27" s="402" t="s">
        <v>32</v>
      </c>
      <c r="F27" s="58" t="s">
        <v>12</v>
      </c>
      <c r="G27" s="61"/>
      <c r="H27" s="269"/>
      <c r="J27" s="403">
        <v>46175.0</v>
      </c>
      <c r="K27" s="294" t="s">
        <v>3774</v>
      </c>
      <c r="L27" s="294" t="s">
        <v>3775</v>
      </c>
      <c r="M27" s="391" t="s">
        <v>23</v>
      </c>
      <c r="N27" s="391" t="s">
        <v>2337</v>
      </c>
      <c r="O27" s="61"/>
      <c r="P27" s="269" t="b">
        <v>1</v>
      </c>
      <c r="R27" s="270"/>
      <c r="S27" s="109"/>
      <c r="T27" s="109"/>
      <c r="U27" s="322"/>
      <c r="V27" s="58"/>
      <c r="W27" s="109"/>
      <c r="X27" s="269"/>
      <c r="Z27" s="270"/>
      <c r="AA27" s="109"/>
      <c r="AB27" s="109"/>
      <c r="AC27" s="58"/>
      <c r="AD27" s="58"/>
      <c r="AE27" s="61"/>
      <c r="AF27" s="269"/>
      <c r="AH27" s="270"/>
      <c r="AI27" s="109"/>
      <c r="AJ27" s="373"/>
      <c r="AK27" s="322"/>
      <c r="AL27" s="58"/>
      <c r="AM27" s="61"/>
      <c r="AN27" s="269"/>
      <c r="AP27" s="471"/>
      <c r="AQ27" s="450"/>
      <c r="AR27" s="450"/>
      <c r="AS27" s="474"/>
      <c r="AT27" s="452"/>
      <c r="AU27" s="475"/>
      <c r="AV27" s="269"/>
      <c r="AX27" s="270"/>
      <c r="AY27" s="450"/>
      <c r="AZ27" s="479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3776</v>
      </c>
      <c r="D28" s="373" t="s">
        <v>3777</v>
      </c>
      <c r="E28" s="58" t="s">
        <v>32</v>
      </c>
      <c r="F28" s="58" t="s">
        <v>9</v>
      </c>
      <c r="G28" s="61"/>
      <c r="H28" s="269"/>
      <c r="J28" s="401">
        <v>46175.0</v>
      </c>
      <c r="K28" s="273" t="s">
        <v>3778</v>
      </c>
      <c r="L28" s="273" t="s">
        <v>3779</v>
      </c>
      <c r="M28" s="402" t="s">
        <v>23</v>
      </c>
      <c r="N28" s="402" t="s">
        <v>2337</v>
      </c>
      <c r="O28" s="61"/>
      <c r="P28" s="269" t="b">
        <v>1</v>
      </c>
      <c r="R28" s="270"/>
      <c r="S28" s="323"/>
      <c r="T28" s="109"/>
      <c r="U28" s="58"/>
      <c r="V28" s="322"/>
      <c r="W28" s="61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412"/>
      <c r="AL28" s="344"/>
      <c r="AM28" s="109"/>
      <c r="AN28" s="298"/>
      <c r="AP28" s="468"/>
      <c r="AQ28" s="453"/>
      <c r="AR28" s="453"/>
      <c r="AS28" s="469"/>
      <c r="AT28" s="455"/>
      <c r="AU28" s="473"/>
      <c r="AV28" s="269"/>
      <c r="AX28" s="270"/>
      <c r="AY28" s="453"/>
      <c r="AZ28" s="480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3780</v>
      </c>
      <c r="D29" s="373" t="s">
        <v>3781</v>
      </c>
      <c r="E29" s="58" t="s">
        <v>22</v>
      </c>
      <c r="F29" s="58" t="s">
        <v>9</v>
      </c>
      <c r="G29" s="61"/>
      <c r="H29" s="269"/>
      <c r="J29" s="403">
        <v>46175.0</v>
      </c>
      <c r="K29" s="294" t="s">
        <v>3782</v>
      </c>
      <c r="L29" s="294" t="s">
        <v>3783</v>
      </c>
      <c r="M29" s="391" t="s">
        <v>23</v>
      </c>
      <c r="N29" s="391" t="s">
        <v>2337</v>
      </c>
      <c r="O29" s="61"/>
      <c r="P29" s="269" t="b">
        <v>1</v>
      </c>
      <c r="R29" s="270"/>
      <c r="S29" s="384"/>
      <c r="T29" s="326"/>
      <c r="U29" s="58"/>
      <c r="V29" s="58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71"/>
      <c r="AQ29" s="450"/>
      <c r="AR29" s="450"/>
      <c r="AS29" s="474"/>
      <c r="AT29" s="452"/>
      <c r="AU29" s="475"/>
      <c r="AV29" s="269"/>
      <c r="AX29" s="270"/>
      <c r="AY29" s="450"/>
      <c r="AZ29" s="479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3784</v>
      </c>
      <c r="D30" s="373" t="s">
        <v>3785</v>
      </c>
      <c r="E30" s="58" t="s">
        <v>32</v>
      </c>
      <c r="F30" s="58" t="s">
        <v>9</v>
      </c>
      <c r="G30" s="109"/>
      <c r="H30" s="269"/>
      <c r="J30" s="401">
        <v>46175.0</v>
      </c>
      <c r="K30" s="273" t="s">
        <v>3786</v>
      </c>
      <c r="L30" s="273" t="s">
        <v>3787</v>
      </c>
      <c r="M30" s="402" t="s">
        <v>23</v>
      </c>
      <c r="N30" s="402" t="s">
        <v>2337</v>
      </c>
      <c r="O30" s="61"/>
      <c r="P30" s="269" t="b">
        <v>1</v>
      </c>
      <c r="R30" s="270"/>
      <c r="S30" s="384"/>
      <c r="T30" s="109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384"/>
      <c r="AJ30" s="373"/>
      <c r="AK30" s="58"/>
      <c r="AL30" s="58"/>
      <c r="AM30" s="61"/>
      <c r="AN30" s="269"/>
      <c r="AP30" s="468"/>
      <c r="AQ30" s="453"/>
      <c r="AR30" s="453"/>
      <c r="AS30" s="455"/>
      <c r="AT30" s="455"/>
      <c r="AU30" s="481"/>
      <c r="AV30" s="298"/>
      <c r="AX30" s="270"/>
      <c r="AY30" s="453"/>
      <c r="AZ30" s="480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3788</v>
      </c>
      <c r="D31" s="373" t="s">
        <v>3789</v>
      </c>
      <c r="E31" s="58" t="s">
        <v>19</v>
      </c>
      <c r="F31" s="58" t="s">
        <v>9</v>
      </c>
      <c r="G31" s="61"/>
      <c r="H31" s="269"/>
      <c r="J31" s="382">
        <v>46175.0</v>
      </c>
      <c r="K31" s="273" t="s">
        <v>3790</v>
      </c>
      <c r="L31" s="273" t="s">
        <v>3791</v>
      </c>
      <c r="M31" s="398" t="s">
        <v>23</v>
      </c>
      <c r="N31" s="431" t="s">
        <v>2338</v>
      </c>
      <c r="O31" s="61"/>
      <c r="P31" s="269"/>
      <c r="R31" s="270"/>
      <c r="S31" s="384"/>
      <c r="T31" s="461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471"/>
      <c r="AI31" s="450"/>
      <c r="AJ31" s="450"/>
      <c r="AK31" s="474"/>
      <c r="AL31" s="452"/>
      <c r="AM31" s="61"/>
      <c r="AN31" s="269"/>
      <c r="AP31" s="449"/>
      <c r="AQ31" s="450"/>
      <c r="AR31" s="450"/>
      <c r="AS31" s="466"/>
      <c r="AT31" s="452"/>
      <c r="AU31" s="482"/>
      <c r="AV31" s="269"/>
      <c r="AX31" s="270"/>
      <c r="AY31" s="450"/>
      <c r="AZ31" s="479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3792</v>
      </c>
      <c r="D32" s="373" t="s">
        <v>3793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3794</v>
      </c>
      <c r="L32" s="294" t="s">
        <v>3795</v>
      </c>
      <c r="M32" s="396" t="s">
        <v>23</v>
      </c>
      <c r="N32" s="391" t="s">
        <v>2338</v>
      </c>
      <c r="O32" s="61"/>
      <c r="P32" s="269" t="b">
        <v>1</v>
      </c>
      <c r="R32" s="270"/>
      <c r="S32" s="384"/>
      <c r="T32" s="439"/>
      <c r="U32" s="58"/>
      <c r="V32" s="58"/>
      <c r="W32" s="61"/>
      <c r="X32" s="269"/>
      <c r="Z32" s="483"/>
      <c r="AA32" s="484"/>
      <c r="AB32" s="485"/>
      <c r="AC32" s="486"/>
      <c r="AD32" s="487"/>
      <c r="AE32" s="61"/>
      <c r="AF32" s="269"/>
      <c r="AH32" s="468"/>
      <c r="AI32" s="453"/>
      <c r="AJ32" s="453"/>
      <c r="AK32" s="469"/>
      <c r="AL32" s="455"/>
      <c r="AM32" s="61"/>
      <c r="AN32" s="269"/>
      <c r="AP32" s="449"/>
      <c r="AQ32" s="453"/>
      <c r="AR32" s="453"/>
      <c r="AS32" s="463"/>
      <c r="AT32" s="455"/>
      <c r="AU32" s="459"/>
      <c r="AV32" s="298"/>
      <c r="AX32" s="270"/>
      <c r="AY32" s="453"/>
      <c r="AZ32" s="480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3796</v>
      </c>
      <c r="D33" s="373" t="s">
        <v>3797</v>
      </c>
      <c r="E33" s="58" t="s">
        <v>19</v>
      </c>
      <c r="F33" s="58" t="s">
        <v>9</v>
      </c>
      <c r="G33" s="109"/>
      <c r="H33" s="269"/>
      <c r="J33" s="382">
        <v>46175.0</v>
      </c>
      <c r="K33" s="273" t="s">
        <v>3798</v>
      </c>
      <c r="L33" s="273" t="s">
        <v>3799</v>
      </c>
      <c r="M33" s="398" t="s">
        <v>23</v>
      </c>
      <c r="N33" s="431" t="s">
        <v>2338</v>
      </c>
      <c r="O33" s="61"/>
      <c r="P33" s="269"/>
      <c r="R33" s="270"/>
      <c r="S33" s="384"/>
      <c r="T33" s="488"/>
      <c r="U33" s="58"/>
      <c r="V33" s="58"/>
      <c r="W33" s="61"/>
      <c r="X33" s="269"/>
      <c r="Z33" s="483"/>
      <c r="AA33" s="484"/>
      <c r="AB33" s="484"/>
      <c r="AC33" s="489"/>
      <c r="AD33" s="490"/>
      <c r="AE33" s="61"/>
      <c r="AF33" s="269"/>
      <c r="AH33" s="471"/>
      <c r="AI33" s="450"/>
      <c r="AJ33" s="450"/>
      <c r="AK33" s="452"/>
      <c r="AL33" s="452"/>
      <c r="AM33" s="109"/>
      <c r="AN33" s="269"/>
      <c r="AP33" s="449"/>
      <c r="AQ33" s="450"/>
      <c r="AR33" s="450"/>
      <c r="AS33" s="466"/>
      <c r="AT33" s="452"/>
      <c r="AU33" s="491"/>
      <c r="AV33" s="298"/>
      <c r="AX33" s="270"/>
      <c r="AY33" s="450"/>
      <c r="AZ33" s="479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3800</v>
      </c>
      <c r="D34" s="373" t="s">
        <v>3801</v>
      </c>
      <c r="E34" s="58" t="s">
        <v>22</v>
      </c>
      <c r="F34" s="58" t="s">
        <v>9</v>
      </c>
      <c r="G34" s="61"/>
      <c r="H34" s="269"/>
      <c r="J34" s="380">
        <v>46175.0</v>
      </c>
      <c r="K34" s="294" t="s">
        <v>3802</v>
      </c>
      <c r="L34" s="294" t="s">
        <v>3803</v>
      </c>
      <c r="M34" s="396" t="s">
        <v>11</v>
      </c>
      <c r="N34" s="391" t="s">
        <v>2338</v>
      </c>
      <c r="O34" s="61"/>
      <c r="P34" s="269"/>
      <c r="R34" s="270"/>
      <c r="S34" s="109"/>
      <c r="T34" s="109"/>
      <c r="U34" s="58"/>
      <c r="V34" s="58"/>
      <c r="W34" s="61"/>
      <c r="X34" s="269"/>
      <c r="Z34" s="270"/>
      <c r="AA34" s="109"/>
      <c r="AB34" s="109"/>
      <c r="AC34" s="58"/>
      <c r="AD34" s="58"/>
      <c r="AE34" s="61"/>
      <c r="AF34" s="269"/>
      <c r="AH34" s="449"/>
      <c r="AI34" s="453"/>
      <c r="AJ34" s="453"/>
      <c r="AK34" s="463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0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3804</v>
      </c>
      <c r="D35" s="373" t="s">
        <v>3805</v>
      </c>
      <c r="E35" s="58" t="s">
        <v>24</v>
      </c>
      <c r="F35" s="58" t="s">
        <v>9</v>
      </c>
      <c r="G35" s="61"/>
      <c r="H35" s="269"/>
      <c r="J35" s="382">
        <v>46175.0</v>
      </c>
      <c r="K35" s="273" t="s">
        <v>3806</v>
      </c>
      <c r="L35" s="273" t="s">
        <v>3807</v>
      </c>
      <c r="M35" s="398" t="s">
        <v>21</v>
      </c>
      <c r="N35" s="431" t="s">
        <v>2338</v>
      </c>
      <c r="O35" s="61"/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0"/>
      <c r="AJ35" s="450"/>
      <c r="AK35" s="466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79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3808</v>
      </c>
      <c r="D36" s="294" t="s">
        <v>3809</v>
      </c>
      <c r="E36" s="391" t="s">
        <v>19</v>
      </c>
      <c r="F36" s="58" t="s">
        <v>12</v>
      </c>
      <c r="G36" s="61"/>
      <c r="H36" s="269"/>
      <c r="J36" s="380">
        <v>46175.0</v>
      </c>
      <c r="K36" s="294" t="s">
        <v>3810</v>
      </c>
      <c r="L36" s="294" t="s">
        <v>3811</v>
      </c>
      <c r="M36" s="396" t="s">
        <v>18</v>
      </c>
      <c r="N36" s="391" t="s">
        <v>2338</v>
      </c>
      <c r="O36" s="61"/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0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3812</v>
      </c>
      <c r="D37" s="430" t="s">
        <v>3813</v>
      </c>
      <c r="E37" s="431" t="s">
        <v>22</v>
      </c>
      <c r="F37" s="58" t="s">
        <v>12</v>
      </c>
      <c r="G37" s="109"/>
      <c r="H37" s="269"/>
      <c r="J37" s="270">
        <v>46175.0</v>
      </c>
      <c r="K37" s="109" t="s">
        <v>3814</v>
      </c>
      <c r="L37" s="109" t="s">
        <v>3815</v>
      </c>
      <c r="M37" s="58" t="s">
        <v>11</v>
      </c>
      <c r="N37" s="58" t="s">
        <v>20</v>
      </c>
      <c r="O37" s="61"/>
      <c r="P37" s="269"/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79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3816</v>
      </c>
      <c r="D38" s="373" t="s">
        <v>3817</v>
      </c>
      <c r="E38" s="58" t="s">
        <v>22</v>
      </c>
      <c r="F38" s="58" t="s">
        <v>9</v>
      </c>
      <c r="G38" s="61"/>
      <c r="H38" s="269"/>
      <c r="J38" s="270">
        <v>46175.0</v>
      </c>
      <c r="K38" s="109" t="s">
        <v>3818</v>
      </c>
      <c r="L38" s="109" t="s">
        <v>3819</v>
      </c>
      <c r="M38" s="58" t="s">
        <v>11</v>
      </c>
      <c r="N38" s="58" t="s">
        <v>20</v>
      </c>
      <c r="O38" s="61"/>
      <c r="P38" s="269"/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0"/>
      <c r="BA38" s="58"/>
      <c r="BB38" s="58"/>
      <c r="BC38" s="61"/>
      <c r="BD38" s="269"/>
      <c r="BF38" s="449"/>
      <c r="BG38" s="450"/>
      <c r="BH38" s="450"/>
      <c r="BI38" s="451"/>
      <c r="BJ38" s="472"/>
      <c r="BK38" s="61"/>
      <c r="BL38" s="298"/>
    </row>
    <row r="39" ht="22.5" customHeight="1">
      <c r="A39" s="368"/>
      <c r="B39" s="270">
        <v>46177.0</v>
      </c>
      <c r="C39" s="273" t="s">
        <v>3820</v>
      </c>
      <c r="D39" s="273" t="s">
        <v>3821</v>
      </c>
      <c r="E39" s="402" t="s">
        <v>22</v>
      </c>
      <c r="F39" s="58" t="s">
        <v>12</v>
      </c>
      <c r="G39" s="61"/>
      <c r="H39" s="269"/>
      <c r="J39" s="270">
        <v>46175.0</v>
      </c>
      <c r="K39" s="109" t="s">
        <v>3822</v>
      </c>
      <c r="L39" s="109" t="s">
        <v>3823</v>
      </c>
      <c r="M39" s="58" t="s">
        <v>11</v>
      </c>
      <c r="N39" s="58" t="s">
        <v>20</v>
      </c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79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3824</v>
      </c>
      <c r="D40" s="405" t="s">
        <v>3825</v>
      </c>
      <c r="E40" s="478" t="s">
        <v>19</v>
      </c>
      <c r="F40" s="58" t="s">
        <v>12</v>
      </c>
      <c r="G40" s="109"/>
      <c r="H40" s="269"/>
      <c r="J40" s="270">
        <v>46175.0</v>
      </c>
      <c r="K40" s="109" t="s">
        <v>3826</v>
      </c>
      <c r="L40" s="109" t="s">
        <v>3827</v>
      </c>
      <c r="M40" s="58" t="s">
        <v>11</v>
      </c>
      <c r="N40" s="58" t="s">
        <v>20</v>
      </c>
      <c r="O40" s="61"/>
      <c r="P40" s="269"/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0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/>
      <c r="C41" s="109"/>
      <c r="D41" s="373"/>
      <c r="E41" s="58"/>
      <c r="F41" s="344"/>
      <c r="G41" s="61"/>
      <c r="H41" s="269"/>
      <c r="J41" s="270">
        <v>46175.0</v>
      </c>
      <c r="K41" s="109" t="s">
        <v>3828</v>
      </c>
      <c r="L41" s="109" t="s">
        <v>3829</v>
      </c>
      <c r="M41" s="58" t="s">
        <v>11</v>
      </c>
      <c r="N41" s="58" t="s">
        <v>20</v>
      </c>
      <c r="O41" s="61"/>
      <c r="P41" s="269"/>
      <c r="R41" s="270"/>
      <c r="S41" s="384"/>
      <c r="T41" s="109"/>
      <c r="U41" s="344"/>
      <c r="V41" s="58"/>
      <c r="W41" s="109"/>
      <c r="X41" s="298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79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/>
      <c r="C42" s="109"/>
      <c r="D42" s="373"/>
      <c r="E42" s="58"/>
      <c r="F42" s="344"/>
      <c r="G42" s="109"/>
      <c r="H42" s="269"/>
      <c r="J42" s="270">
        <v>46175.0</v>
      </c>
      <c r="K42" s="109" t="s">
        <v>3830</v>
      </c>
      <c r="L42" s="109" t="s">
        <v>3831</v>
      </c>
      <c r="M42" s="58" t="s">
        <v>11</v>
      </c>
      <c r="N42" s="58" t="s">
        <v>20</v>
      </c>
      <c r="O42" s="61"/>
      <c r="P42" s="269"/>
      <c r="R42" s="270"/>
      <c r="S42" s="384"/>
      <c r="T42" s="109"/>
      <c r="U42" s="58"/>
      <c r="V42" s="58"/>
      <c r="W42" s="61"/>
      <c r="X42" s="269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0"/>
      <c r="BA42" s="58"/>
      <c r="BB42" s="58"/>
      <c r="BC42" s="61"/>
      <c r="BD42" s="269"/>
      <c r="BF42" s="471"/>
      <c r="BG42" s="450"/>
      <c r="BH42" s="450"/>
      <c r="BI42" s="452"/>
      <c r="BJ42" s="452"/>
      <c r="BK42" s="61"/>
      <c r="BL42" s="298"/>
    </row>
    <row r="43" ht="22.5" customHeight="1">
      <c r="A43" s="368"/>
      <c r="B43" s="270"/>
      <c r="C43" s="109"/>
      <c r="D43" s="373"/>
      <c r="E43" s="58"/>
      <c r="F43" s="344"/>
      <c r="G43" s="61"/>
      <c r="H43" s="269"/>
      <c r="J43" s="270">
        <v>46175.0</v>
      </c>
      <c r="K43" s="109" t="s">
        <v>3832</v>
      </c>
      <c r="L43" s="109" t="s">
        <v>3833</v>
      </c>
      <c r="M43" s="58" t="s">
        <v>23</v>
      </c>
      <c r="N43" s="58" t="s">
        <v>20</v>
      </c>
      <c r="O43" s="61"/>
      <c r="P43" s="269"/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68"/>
      <c r="BG43" s="453"/>
      <c r="BH43" s="453"/>
      <c r="BI43" s="455"/>
      <c r="BJ43" s="455"/>
      <c r="BK43" s="61"/>
      <c r="BL43" s="298"/>
    </row>
    <row r="44" ht="22.5" customHeight="1">
      <c r="A44" s="368"/>
      <c r="B44" s="270"/>
      <c r="C44" s="109"/>
      <c r="D44" s="373"/>
      <c r="E44" s="58"/>
      <c r="F44" s="344"/>
      <c r="G44" s="61"/>
      <c r="H44" s="269"/>
      <c r="J44" s="270">
        <v>46175.0</v>
      </c>
      <c r="K44" s="109" t="s">
        <v>3834</v>
      </c>
      <c r="L44" s="109" t="s">
        <v>3835</v>
      </c>
      <c r="M44" s="58" t="s">
        <v>23</v>
      </c>
      <c r="N44" s="58" t="s">
        <v>20</v>
      </c>
      <c r="O44" s="61"/>
      <c r="P44" s="269"/>
      <c r="R44" s="270"/>
      <c r="S44" s="109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1"/>
      <c r="BG44" s="450"/>
      <c r="BH44" s="450"/>
      <c r="BI44" s="452"/>
      <c r="BJ44" s="452"/>
      <c r="BK44" s="61"/>
      <c r="BL44" s="298"/>
    </row>
    <row r="45" ht="22.5" customHeight="1">
      <c r="A45" s="368"/>
      <c r="B45" s="270"/>
      <c r="C45" s="109"/>
      <c r="D45" s="373"/>
      <c r="E45" s="58"/>
      <c r="F45" s="344"/>
      <c r="G45" s="109"/>
      <c r="H45" s="269"/>
      <c r="J45" s="270">
        <v>46175.0</v>
      </c>
      <c r="K45" s="109" t="s">
        <v>3836</v>
      </c>
      <c r="L45" s="109" t="s">
        <v>3837</v>
      </c>
      <c r="M45" s="58" t="s">
        <v>11</v>
      </c>
      <c r="N45" s="58" t="s">
        <v>20</v>
      </c>
      <c r="O45" s="61"/>
      <c r="P45" s="269"/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68"/>
      <c r="BG45" s="453"/>
      <c r="BH45" s="453"/>
      <c r="BI45" s="455"/>
      <c r="BJ45" s="455"/>
      <c r="BK45" s="61"/>
      <c r="BL45" s="298"/>
    </row>
    <row r="46" ht="22.5" customHeight="1">
      <c r="A46" s="368"/>
      <c r="B46" s="270"/>
      <c r="C46" s="109"/>
      <c r="D46" s="373"/>
      <c r="E46" s="58"/>
      <c r="F46" s="344"/>
      <c r="G46" s="61"/>
      <c r="H46" s="269"/>
      <c r="J46" s="270">
        <v>46176.0</v>
      </c>
      <c r="K46" s="109" t="s">
        <v>3838</v>
      </c>
      <c r="L46" s="109" t="s">
        <v>3839</v>
      </c>
      <c r="M46" s="58" t="s">
        <v>11</v>
      </c>
      <c r="N46" s="58" t="s">
        <v>20</v>
      </c>
      <c r="O46" s="61"/>
      <c r="P46" s="269"/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1"/>
      <c r="BG46" s="450"/>
      <c r="BH46" s="450"/>
      <c r="BI46" s="452"/>
      <c r="BJ46" s="452"/>
      <c r="BK46" s="61"/>
      <c r="BL46" s="298"/>
    </row>
    <row r="47" ht="22.5" customHeight="1">
      <c r="A47" s="368"/>
      <c r="B47" s="270"/>
      <c r="C47" s="109"/>
      <c r="D47" s="373"/>
      <c r="E47" s="58"/>
      <c r="F47" s="344"/>
      <c r="G47" s="61"/>
      <c r="H47" s="269"/>
      <c r="J47" s="270">
        <v>46176.0</v>
      </c>
      <c r="K47" s="109" t="s">
        <v>3840</v>
      </c>
      <c r="L47" s="109" t="s">
        <v>3841</v>
      </c>
      <c r="M47" s="58" t="s">
        <v>11</v>
      </c>
      <c r="N47" s="58" t="s">
        <v>20</v>
      </c>
      <c r="O47" s="61"/>
      <c r="P47" s="269"/>
      <c r="R47" s="270"/>
      <c r="S47" s="384"/>
      <c r="T47" s="439"/>
      <c r="U47" s="344"/>
      <c r="V47" s="58"/>
      <c r="W47" s="109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3"/>
      <c r="BH47" s="453"/>
      <c r="BI47" s="455"/>
      <c r="BJ47" s="455"/>
      <c r="BK47" s="61"/>
      <c r="BL47" s="298"/>
    </row>
    <row r="48" ht="22.5" customHeight="1">
      <c r="A48" s="368"/>
      <c r="B48" s="270"/>
      <c r="C48" s="109"/>
      <c r="D48" s="373"/>
      <c r="E48" s="58"/>
      <c r="F48" s="344"/>
      <c r="G48" s="109"/>
      <c r="H48" s="269"/>
      <c r="J48" s="270">
        <v>46176.0</v>
      </c>
      <c r="K48" s="109" t="s">
        <v>3842</v>
      </c>
      <c r="L48" s="109" t="s">
        <v>3843</v>
      </c>
      <c r="M48" s="58" t="s">
        <v>11</v>
      </c>
      <c r="N48" s="58" t="s">
        <v>20</v>
      </c>
      <c r="O48" s="61"/>
      <c r="P48" s="269"/>
      <c r="R48" s="270"/>
      <c r="S48" s="384"/>
      <c r="T48" s="461"/>
      <c r="U48" s="58"/>
      <c r="V48" s="58"/>
      <c r="W48" s="61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/>
      <c r="C49" s="109"/>
      <c r="D49" s="373"/>
      <c r="E49" s="58"/>
      <c r="F49" s="344"/>
      <c r="G49" s="61"/>
      <c r="H49" s="269"/>
      <c r="J49" s="270">
        <v>46176.0</v>
      </c>
      <c r="K49" s="109" t="s">
        <v>3844</v>
      </c>
      <c r="L49" s="109" t="s">
        <v>3845</v>
      </c>
      <c r="M49" s="58" t="s">
        <v>11</v>
      </c>
      <c r="N49" s="58" t="s">
        <v>20</v>
      </c>
      <c r="O49" s="61"/>
      <c r="P49" s="269"/>
      <c r="R49" s="270"/>
      <c r="S49" s="384"/>
      <c r="T49" s="461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492"/>
      <c r="AI49" s="453"/>
      <c r="AJ49" s="453"/>
      <c r="AK49" s="469"/>
      <c r="AL49" s="455"/>
      <c r="AM49" s="61"/>
      <c r="AN49" s="269"/>
      <c r="AP49" s="449"/>
      <c r="AQ49" s="450"/>
      <c r="AR49" s="485"/>
      <c r="AS49" s="466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/>
      <c r="C50" s="109"/>
      <c r="D50" s="373"/>
      <c r="E50" s="58"/>
      <c r="F50" s="344"/>
      <c r="G50" s="61"/>
      <c r="H50" s="269"/>
      <c r="J50" s="270">
        <v>46176.0</v>
      </c>
      <c r="K50" s="109" t="s">
        <v>3846</v>
      </c>
      <c r="L50" s="109" t="s">
        <v>3847</v>
      </c>
      <c r="M50" s="58" t="s">
        <v>11</v>
      </c>
      <c r="N50" s="58" t="s">
        <v>20</v>
      </c>
      <c r="O50" s="61"/>
      <c r="P50" s="269"/>
      <c r="R50" s="270"/>
      <c r="S50" s="109"/>
      <c r="T50" s="465"/>
      <c r="U50" s="58"/>
      <c r="V50" s="58"/>
      <c r="W50" s="109"/>
      <c r="X50" s="269"/>
      <c r="Z50" s="270"/>
      <c r="AA50" s="109"/>
      <c r="AB50" s="109"/>
      <c r="AC50" s="58"/>
      <c r="AD50" s="58"/>
      <c r="AE50" s="61"/>
      <c r="AF50" s="269"/>
      <c r="AH50" s="493"/>
      <c r="AI50" s="450"/>
      <c r="AJ50" s="450"/>
      <c r="AK50" s="474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/>
      <c r="C51" s="109"/>
      <c r="D51" s="373"/>
      <c r="E51" s="58"/>
      <c r="F51" s="344"/>
      <c r="G51" s="61"/>
      <c r="H51" s="269"/>
      <c r="J51" s="270">
        <v>46176.0</v>
      </c>
      <c r="K51" s="109" t="s">
        <v>3848</v>
      </c>
      <c r="L51" s="109" t="s">
        <v>3849</v>
      </c>
      <c r="M51" s="58" t="s">
        <v>11</v>
      </c>
      <c r="N51" s="58" t="s">
        <v>20</v>
      </c>
      <c r="O51" s="61"/>
      <c r="P51" s="269"/>
      <c r="R51" s="270"/>
      <c r="S51" s="384"/>
      <c r="T51" s="461"/>
      <c r="U51" s="344"/>
      <c r="V51" s="58"/>
      <c r="W51" s="109"/>
      <c r="X51" s="298"/>
      <c r="Z51" s="270"/>
      <c r="AA51" s="109"/>
      <c r="AB51" s="109"/>
      <c r="AC51" s="58"/>
      <c r="AD51" s="58"/>
      <c r="AE51" s="61"/>
      <c r="AF51" s="269"/>
      <c r="AH51" s="492"/>
      <c r="AI51" s="453"/>
      <c r="AJ51" s="453"/>
      <c r="AK51" s="469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/>
      <c r="C52" s="109"/>
      <c r="D52" s="373"/>
      <c r="E52" s="58"/>
      <c r="F52" s="344"/>
      <c r="G52" s="109"/>
      <c r="H52" s="298"/>
      <c r="J52" s="270">
        <v>46176.0</v>
      </c>
      <c r="K52" s="109" t="s">
        <v>3850</v>
      </c>
      <c r="L52" s="109" t="s">
        <v>3851</v>
      </c>
      <c r="M52" s="58" t="s">
        <v>11</v>
      </c>
      <c r="N52" s="58" t="s">
        <v>20</v>
      </c>
      <c r="O52" s="61"/>
      <c r="P52" s="269"/>
      <c r="R52" s="270"/>
      <c r="S52" s="384"/>
      <c r="T52" s="109"/>
      <c r="U52" s="58"/>
      <c r="V52" s="58"/>
      <c r="W52" s="61"/>
      <c r="X52" s="269"/>
      <c r="Z52" s="270"/>
      <c r="AA52" s="109"/>
      <c r="AB52" s="109"/>
      <c r="AC52" s="58"/>
      <c r="AD52" s="58"/>
      <c r="AE52" s="61"/>
      <c r="AF52" s="269"/>
      <c r="AH52" s="493"/>
      <c r="AI52" s="450"/>
      <c r="AJ52" s="450"/>
      <c r="AK52" s="474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/>
      <c r="C53" s="109"/>
      <c r="D53" s="373"/>
      <c r="E53" s="58"/>
      <c r="F53" s="344"/>
      <c r="G53" s="61"/>
      <c r="H53" s="269"/>
      <c r="J53" s="270">
        <v>46176.0</v>
      </c>
      <c r="K53" s="109" t="s">
        <v>3852</v>
      </c>
      <c r="L53" s="109" t="s">
        <v>3853</v>
      </c>
      <c r="M53" s="58" t="s">
        <v>11</v>
      </c>
      <c r="N53" s="58" t="s">
        <v>20</v>
      </c>
      <c r="O53" s="61"/>
      <c r="P53" s="269"/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92"/>
      <c r="AI53" s="453"/>
      <c r="AJ53" s="453"/>
      <c r="AK53" s="469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4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/>
      <c r="C54" s="109"/>
      <c r="D54" s="373"/>
      <c r="E54" s="58"/>
      <c r="F54" s="344"/>
      <c r="G54" s="61"/>
      <c r="H54" s="269"/>
      <c r="J54" s="403">
        <v>46176.0</v>
      </c>
      <c r="K54" s="294" t="s">
        <v>3854</v>
      </c>
      <c r="L54" s="294" t="s">
        <v>3855</v>
      </c>
      <c r="M54" s="391" t="s">
        <v>30</v>
      </c>
      <c r="N54" s="391" t="s">
        <v>2337</v>
      </c>
      <c r="O54" s="109"/>
      <c r="P54" s="269"/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4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/>
      <c r="C55" s="109"/>
      <c r="D55" s="373"/>
      <c r="E55" s="58"/>
      <c r="F55" s="344"/>
      <c r="G55" s="61"/>
      <c r="H55" s="269"/>
      <c r="J55" s="401">
        <v>46176.0</v>
      </c>
      <c r="K55" s="273" t="s">
        <v>3856</v>
      </c>
      <c r="L55" s="273" t="s">
        <v>3857</v>
      </c>
      <c r="M55" s="402" t="s">
        <v>21</v>
      </c>
      <c r="N55" s="402" t="s">
        <v>2337</v>
      </c>
      <c r="O55" s="61"/>
      <c r="P55" s="269"/>
      <c r="R55" s="270"/>
      <c r="S55" s="384"/>
      <c r="T55" s="109"/>
      <c r="U55" s="58"/>
      <c r="V55" s="58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3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/>
      <c r="C56" s="109"/>
      <c r="D56" s="373"/>
      <c r="E56" s="58"/>
      <c r="F56" s="344"/>
      <c r="G56" s="61"/>
      <c r="H56" s="269"/>
      <c r="J56" s="403">
        <v>46176.0</v>
      </c>
      <c r="K56" s="294" t="s">
        <v>3858</v>
      </c>
      <c r="L56" s="294" t="s">
        <v>3859</v>
      </c>
      <c r="M56" s="391" t="s">
        <v>27</v>
      </c>
      <c r="N56" s="391" t="s">
        <v>2337</v>
      </c>
      <c r="O56" s="61"/>
      <c r="P56" s="269"/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6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/>
      <c r="C57" s="109"/>
      <c r="D57" s="373"/>
      <c r="E57" s="58"/>
      <c r="F57" s="344"/>
      <c r="G57" s="61"/>
      <c r="H57" s="269"/>
      <c r="J57" s="401">
        <v>46176.0</v>
      </c>
      <c r="K57" s="273" t="s">
        <v>3860</v>
      </c>
      <c r="L57" s="273" t="s">
        <v>3861</v>
      </c>
      <c r="M57" s="402" t="s">
        <v>30</v>
      </c>
      <c r="N57" s="402" t="s">
        <v>2337</v>
      </c>
      <c r="O57" s="61"/>
      <c r="P57" s="269"/>
      <c r="R57" s="270"/>
      <c r="S57" s="384"/>
      <c r="T57" s="109"/>
      <c r="U57" s="344"/>
      <c r="V57" s="58"/>
      <c r="W57" s="494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3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/>
      <c r="C58" s="109"/>
      <c r="D58" s="373"/>
      <c r="E58" s="58"/>
      <c r="F58" s="344"/>
      <c r="G58" s="61"/>
      <c r="H58" s="269"/>
      <c r="J58" s="403">
        <v>46176.0</v>
      </c>
      <c r="K58" s="294" t="s">
        <v>3862</v>
      </c>
      <c r="L58" s="294" t="s">
        <v>3863</v>
      </c>
      <c r="M58" s="391" t="s">
        <v>15</v>
      </c>
      <c r="N58" s="391" t="s">
        <v>2337</v>
      </c>
      <c r="O58" s="61"/>
      <c r="P58" s="269"/>
      <c r="R58" s="270"/>
      <c r="S58" s="384"/>
      <c r="T58" s="109"/>
      <c r="U58" s="58"/>
      <c r="V58" s="58"/>
      <c r="W58" s="109"/>
      <c r="X58" s="269"/>
      <c r="Z58" s="270"/>
      <c r="AA58" s="109"/>
      <c r="AB58" s="109"/>
      <c r="AC58" s="58"/>
      <c r="AD58" s="58"/>
      <c r="AE58" s="61"/>
      <c r="AF58" s="269"/>
      <c r="AH58" s="471"/>
      <c r="AI58" s="450"/>
      <c r="AJ58" s="450"/>
      <c r="AK58" s="474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/>
      <c r="C59" s="109"/>
      <c r="D59" s="373"/>
      <c r="E59" s="58"/>
      <c r="F59" s="344"/>
      <c r="G59" s="61"/>
      <c r="H59" s="269"/>
      <c r="J59" s="380">
        <v>46176.0</v>
      </c>
      <c r="K59" s="294" t="s">
        <v>3864</v>
      </c>
      <c r="L59" s="294" t="s">
        <v>3865</v>
      </c>
      <c r="M59" s="396" t="s">
        <v>23</v>
      </c>
      <c r="N59" s="391" t="s">
        <v>2338</v>
      </c>
      <c r="O59" s="61"/>
      <c r="P59" s="269"/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3"/>
      <c r="AJ59" s="453"/>
      <c r="AK59" s="469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/>
      <c r="C60" s="109"/>
      <c r="D60" s="373"/>
      <c r="E60" s="58"/>
      <c r="F60" s="344"/>
      <c r="G60" s="61"/>
      <c r="H60" s="269"/>
      <c r="J60" s="382">
        <v>46176.0</v>
      </c>
      <c r="K60" s="273" t="s">
        <v>3866</v>
      </c>
      <c r="L60" s="273" t="s">
        <v>3867</v>
      </c>
      <c r="M60" s="398" t="s">
        <v>27</v>
      </c>
      <c r="N60" s="431" t="s">
        <v>2338</v>
      </c>
      <c r="O60" s="61"/>
      <c r="P60" s="269"/>
      <c r="R60" s="270"/>
      <c r="S60" s="384"/>
      <c r="T60" s="384"/>
      <c r="U60" s="344"/>
      <c r="V60" s="58"/>
      <c r="W60" s="109"/>
      <c r="X60" s="298"/>
      <c r="Z60" s="270"/>
      <c r="AA60" s="109"/>
      <c r="AB60" s="109"/>
      <c r="AC60" s="58"/>
      <c r="AD60" s="58"/>
      <c r="AE60" s="61"/>
      <c r="AF60" s="269"/>
      <c r="AH60" s="471"/>
      <c r="AI60" s="450"/>
      <c r="AJ60" s="450"/>
      <c r="AK60" s="474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/>
      <c r="C61" s="109"/>
      <c r="D61" s="373"/>
      <c r="E61" s="58"/>
      <c r="F61" s="344"/>
      <c r="G61" s="61"/>
      <c r="H61" s="269"/>
      <c r="J61" s="380">
        <v>46176.0</v>
      </c>
      <c r="K61" s="294" t="s">
        <v>3868</v>
      </c>
      <c r="L61" s="294" t="s">
        <v>3869</v>
      </c>
      <c r="M61" s="396" t="s">
        <v>18</v>
      </c>
      <c r="N61" s="391" t="s">
        <v>2338</v>
      </c>
      <c r="O61" s="61"/>
      <c r="P61" s="269"/>
      <c r="R61" s="270"/>
      <c r="S61" s="384"/>
      <c r="T61" s="439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/>
      <c r="C62" s="109"/>
      <c r="D62" s="373"/>
      <c r="E62" s="58"/>
      <c r="F62" s="344"/>
      <c r="G62" s="109"/>
      <c r="H62" s="269"/>
      <c r="J62" s="382">
        <v>46176.0</v>
      </c>
      <c r="K62" s="273" t="s">
        <v>3870</v>
      </c>
      <c r="L62" s="273" t="s">
        <v>3871</v>
      </c>
      <c r="M62" s="398" t="s">
        <v>30</v>
      </c>
      <c r="N62" s="431" t="s">
        <v>2338</v>
      </c>
      <c r="O62" s="61"/>
      <c r="P62" s="269"/>
      <c r="R62" s="270"/>
      <c r="S62" s="384"/>
      <c r="T62" s="488"/>
      <c r="U62" s="58"/>
      <c r="V62" s="58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/>
      <c r="C63" s="109"/>
      <c r="D63" s="373"/>
      <c r="E63" s="58"/>
      <c r="F63" s="344"/>
      <c r="G63" s="109"/>
      <c r="H63" s="269"/>
      <c r="J63" s="380">
        <v>46176.0</v>
      </c>
      <c r="K63" s="294" t="s">
        <v>3872</v>
      </c>
      <c r="L63" s="294" t="s">
        <v>3873</v>
      </c>
      <c r="M63" s="441" t="s">
        <v>30</v>
      </c>
      <c r="N63" s="295" t="s">
        <v>2338</v>
      </c>
      <c r="O63" s="61"/>
      <c r="P63" s="298"/>
      <c r="R63" s="270"/>
      <c r="S63" s="384"/>
      <c r="T63" s="47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/>
      <c r="C64" s="109"/>
      <c r="D64" s="373"/>
      <c r="E64" s="58"/>
      <c r="F64" s="344"/>
      <c r="G64" s="109"/>
      <c r="H64" s="269"/>
      <c r="J64" s="382">
        <v>46176.0</v>
      </c>
      <c r="K64" s="273" t="s">
        <v>3874</v>
      </c>
      <c r="L64" s="273" t="s">
        <v>3875</v>
      </c>
      <c r="M64" s="398" t="s">
        <v>27</v>
      </c>
      <c r="N64" s="431" t="s">
        <v>2338</v>
      </c>
      <c r="O64" s="61"/>
      <c r="P64" s="269"/>
      <c r="R64" s="270"/>
      <c r="S64" s="109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/>
      <c r="C65" s="109"/>
      <c r="D65" s="373"/>
      <c r="E65" s="58"/>
      <c r="F65" s="344"/>
      <c r="G65" s="109"/>
      <c r="H65" s="269"/>
      <c r="J65" s="270"/>
      <c r="K65" s="384"/>
      <c r="L65" s="109"/>
      <c r="M65" s="58"/>
      <c r="N65" s="58"/>
      <c r="O65" s="61"/>
      <c r="P65" s="269"/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/>
      <c r="C66" s="109"/>
      <c r="D66" s="373"/>
      <c r="E66" s="58"/>
      <c r="F66" s="344"/>
      <c r="G66" s="61"/>
      <c r="H66" s="269"/>
      <c r="J66" s="270"/>
      <c r="K66" s="384"/>
      <c r="L66" s="109"/>
      <c r="M66" s="58"/>
      <c r="N66" s="58"/>
      <c r="O66" s="61"/>
      <c r="P66" s="269"/>
      <c r="R66" s="270"/>
      <c r="S66" s="384"/>
      <c r="T66" s="47"/>
      <c r="U66" s="344"/>
      <c r="V66" s="58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/>
      <c r="C67" s="109"/>
      <c r="D67" s="373"/>
      <c r="E67" s="58"/>
      <c r="F67" s="344"/>
      <c r="G67" s="61"/>
      <c r="H67" s="269"/>
      <c r="J67" s="270"/>
      <c r="K67" s="109"/>
      <c r="L67" s="109"/>
      <c r="M67" s="58"/>
      <c r="N67" s="58"/>
      <c r="O67" s="61"/>
      <c r="P67" s="269"/>
      <c r="R67" s="270"/>
      <c r="S67" s="384"/>
      <c r="T67" s="109"/>
      <c r="U67" s="58"/>
      <c r="V67" s="58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/>
      <c r="C68" s="109"/>
      <c r="D68" s="373"/>
      <c r="E68" s="58"/>
      <c r="F68" s="344"/>
      <c r="G68" s="109"/>
      <c r="H68" s="298"/>
      <c r="J68" s="270"/>
      <c r="K68" s="109"/>
      <c r="L68" s="109"/>
      <c r="M68" s="58"/>
      <c r="N68" s="58"/>
      <c r="O68" s="109"/>
      <c r="P68" s="269"/>
      <c r="R68" s="270"/>
      <c r="S68" s="109"/>
      <c r="T68" s="109"/>
      <c r="U68" s="58"/>
      <c r="V68" s="58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/>
      <c r="C69" s="109"/>
      <c r="D69" s="373"/>
      <c r="E69" s="58"/>
      <c r="F69" s="344"/>
      <c r="G69" s="61"/>
      <c r="H69" s="269"/>
      <c r="J69" s="270"/>
      <c r="K69" s="109"/>
      <c r="L69" s="109"/>
      <c r="M69" s="58"/>
      <c r="N69" s="58"/>
      <c r="O69" s="61"/>
      <c r="P69" s="269"/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/>
      <c r="C70" s="109"/>
      <c r="D70" s="373"/>
      <c r="E70" s="58"/>
      <c r="F70" s="344"/>
      <c r="G70" s="61"/>
      <c r="H70" s="269"/>
      <c r="J70" s="270"/>
      <c r="K70" s="109"/>
      <c r="L70" s="109"/>
      <c r="M70" s="58"/>
      <c r="N70" s="58"/>
      <c r="O70" s="61"/>
      <c r="P70" s="269"/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/>
      <c r="C71" s="109"/>
      <c r="D71" s="373"/>
      <c r="E71" s="58"/>
      <c r="F71" s="344"/>
      <c r="G71" s="61"/>
      <c r="H71" s="269"/>
      <c r="J71" s="270"/>
      <c r="K71" s="109"/>
      <c r="L71" s="109"/>
      <c r="M71" s="58"/>
      <c r="N71" s="58"/>
      <c r="O71" s="109"/>
      <c r="P71" s="269"/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/>
      <c r="C72" s="109"/>
      <c r="D72" s="373"/>
      <c r="E72" s="58"/>
      <c r="F72" s="344"/>
      <c r="G72" s="109"/>
      <c r="H72" s="298"/>
      <c r="J72" s="270"/>
      <c r="K72" s="109"/>
      <c r="L72" s="109"/>
      <c r="M72" s="58"/>
      <c r="N72" s="58"/>
      <c r="O72" s="109"/>
      <c r="P72" s="269"/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/>
      <c r="C73" s="109"/>
      <c r="D73" s="373"/>
      <c r="E73" s="58"/>
      <c r="F73" s="344"/>
      <c r="G73" s="61"/>
      <c r="H73" s="269"/>
      <c r="J73" s="270"/>
      <c r="K73" s="109"/>
      <c r="L73" s="109"/>
      <c r="M73" s="58"/>
      <c r="N73" s="58"/>
      <c r="O73" s="61"/>
      <c r="P73" s="269"/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/>
      <c r="C74" s="109"/>
      <c r="D74" s="373"/>
      <c r="E74" s="58"/>
      <c r="F74" s="344"/>
      <c r="G74" s="61"/>
      <c r="H74" s="269"/>
      <c r="J74" s="270"/>
      <c r="K74" s="109"/>
      <c r="L74" s="109"/>
      <c r="M74" s="58"/>
      <c r="N74" s="58"/>
      <c r="O74" s="109"/>
      <c r="P74" s="298"/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/>
      <c r="C75" s="109"/>
      <c r="D75" s="373"/>
      <c r="E75" s="58"/>
      <c r="F75" s="344"/>
      <c r="G75" s="61"/>
      <c r="H75" s="269"/>
      <c r="J75" s="270"/>
      <c r="K75" s="109"/>
      <c r="L75" s="495"/>
      <c r="M75" s="58"/>
      <c r="N75" s="58"/>
      <c r="O75" s="61"/>
      <c r="P75" s="269"/>
      <c r="R75" s="270"/>
      <c r="S75" s="384"/>
      <c r="T75" s="109"/>
      <c r="U75" s="344"/>
      <c r="V75" s="344"/>
      <c r="W75" s="61"/>
      <c r="X75" s="298"/>
      <c r="Z75" s="468"/>
      <c r="AA75" s="453"/>
      <c r="AB75" s="453"/>
      <c r="AC75" s="469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344"/>
      <c r="G76" s="61"/>
      <c r="H76" s="269"/>
      <c r="J76" s="270"/>
      <c r="K76" s="109"/>
      <c r="L76" s="109"/>
      <c r="M76" s="58"/>
      <c r="N76" s="58"/>
      <c r="O76" s="61"/>
      <c r="P76" s="269"/>
      <c r="R76" s="270"/>
      <c r="S76" s="384"/>
      <c r="T76" s="109"/>
      <c r="U76" s="344"/>
      <c r="V76" s="344"/>
      <c r="W76" s="109"/>
      <c r="X76" s="298"/>
      <c r="Z76" s="471"/>
      <c r="AA76" s="450"/>
      <c r="AB76" s="450"/>
      <c r="AC76" s="474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344"/>
      <c r="G77" s="61"/>
      <c r="H77" s="269"/>
      <c r="J77" s="270"/>
      <c r="K77" s="109"/>
      <c r="L77" s="109"/>
      <c r="M77" s="58"/>
      <c r="N77" s="58"/>
      <c r="O77" s="61"/>
      <c r="P77" s="269"/>
      <c r="R77" s="270"/>
      <c r="S77" s="384"/>
      <c r="T77" s="109"/>
      <c r="U77" s="344"/>
      <c r="V77" s="344"/>
      <c r="W77" s="61"/>
      <c r="X77" s="298"/>
      <c r="Z77" s="468"/>
      <c r="AA77" s="453"/>
      <c r="AB77" s="453"/>
      <c r="AC77" s="469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344"/>
      <c r="G78" s="61"/>
      <c r="H78" s="269"/>
      <c r="J78" s="270"/>
      <c r="K78" s="109"/>
      <c r="L78" s="109"/>
      <c r="M78" s="58"/>
      <c r="N78" s="58"/>
      <c r="O78" s="61"/>
      <c r="P78" s="269"/>
      <c r="R78" s="270"/>
      <c r="S78" s="384"/>
      <c r="T78" s="109"/>
      <c r="U78" s="344"/>
      <c r="V78" s="344"/>
      <c r="W78" s="109"/>
      <c r="X78" s="298"/>
      <c r="Z78" s="471"/>
      <c r="AA78" s="450"/>
      <c r="AB78" s="450"/>
      <c r="AC78" s="474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344"/>
      <c r="G79" s="61"/>
      <c r="H79" s="269"/>
      <c r="J79" s="270"/>
      <c r="K79" s="109"/>
      <c r="L79" s="109"/>
      <c r="M79" s="58"/>
      <c r="N79" s="58"/>
      <c r="O79" s="61"/>
      <c r="P79" s="269"/>
      <c r="R79" s="270"/>
      <c r="S79" s="384"/>
      <c r="T79" s="109"/>
      <c r="U79" s="344"/>
      <c r="V79" s="344"/>
      <c r="W79" s="61"/>
      <c r="X79" s="298"/>
      <c r="Z79" s="468"/>
      <c r="AA79" s="453"/>
      <c r="AB79" s="453"/>
      <c r="AC79" s="469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344"/>
      <c r="G80" s="61"/>
      <c r="H80" s="269"/>
      <c r="J80" s="270"/>
      <c r="K80" s="109"/>
      <c r="L80" s="109"/>
      <c r="M80" s="58"/>
      <c r="N80" s="58"/>
      <c r="O80" s="61"/>
      <c r="P80" s="269"/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4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344"/>
      <c r="G81" s="61"/>
      <c r="H81" s="269"/>
      <c r="J81" s="270"/>
      <c r="K81" s="109"/>
      <c r="L81" s="109"/>
      <c r="M81" s="58"/>
      <c r="N81" s="58"/>
      <c r="O81" s="61"/>
      <c r="P81" s="269"/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6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344"/>
      <c r="G82" s="61"/>
      <c r="H82" s="269"/>
      <c r="J82" s="270"/>
      <c r="K82" s="109"/>
      <c r="L82" s="109"/>
      <c r="M82" s="58"/>
      <c r="N82" s="58"/>
      <c r="O82" s="61"/>
      <c r="P82" s="269"/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3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344"/>
      <c r="G83" s="61"/>
      <c r="H83" s="269"/>
      <c r="J83" s="270"/>
      <c r="K83" s="109"/>
      <c r="L83" s="109"/>
      <c r="M83" s="58"/>
      <c r="N83" s="58"/>
      <c r="O83" s="61"/>
      <c r="P83" s="269"/>
      <c r="R83" s="270"/>
      <c r="S83" s="109"/>
      <c r="T83" s="109"/>
      <c r="U83" s="344"/>
      <c r="V83" s="344"/>
      <c r="W83" s="61"/>
      <c r="X83" s="298"/>
      <c r="Z83" s="496"/>
      <c r="AA83" s="485"/>
      <c r="AB83" s="485"/>
      <c r="AC83" s="497"/>
      <c r="AD83" s="498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326"/>
      <c r="D84" s="326"/>
      <c r="E84" s="370"/>
      <c r="F84" s="385"/>
      <c r="G84" s="195"/>
      <c r="H84" s="371"/>
      <c r="J84" s="270"/>
      <c r="K84" s="109"/>
      <c r="L84" s="109"/>
      <c r="M84" s="58"/>
      <c r="N84" s="58"/>
      <c r="O84" s="61"/>
      <c r="P84" s="269"/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85"/>
      <c r="G85" s="195"/>
      <c r="H85" s="371"/>
      <c r="J85" s="270"/>
      <c r="K85" s="109"/>
      <c r="L85" s="109"/>
      <c r="M85" s="58"/>
      <c r="N85" s="58"/>
      <c r="O85" s="109"/>
      <c r="P85" s="269"/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85"/>
      <c r="G86" s="326"/>
      <c r="H86" s="371"/>
      <c r="J86" s="270"/>
      <c r="K86" s="109"/>
      <c r="L86" s="109"/>
      <c r="M86" s="58"/>
      <c r="N86" s="58"/>
      <c r="O86" s="109"/>
      <c r="P86" s="269"/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69"/>
      <c r="C87" s="326"/>
      <c r="D87" s="326"/>
      <c r="E87" s="370"/>
      <c r="F87" s="385"/>
      <c r="G87" s="195"/>
      <c r="H87" s="371"/>
      <c r="J87" s="270"/>
      <c r="K87" s="109"/>
      <c r="L87" s="109"/>
      <c r="M87" s="58"/>
      <c r="N87" s="58"/>
      <c r="O87" s="61"/>
      <c r="P87" s="269"/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85"/>
      <c r="G88" s="195"/>
      <c r="H88" s="371"/>
      <c r="J88" s="270"/>
      <c r="K88" s="109"/>
      <c r="L88" s="109"/>
      <c r="M88" s="58"/>
      <c r="N88" s="58"/>
      <c r="O88" s="61"/>
      <c r="P88" s="269"/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385"/>
      <c r="G89" s="195"/>
      <c r="H89" s="371"/>
      <c r="J89" s="270"/>
      <c r="K89" s="109"/>
      <c r="L89" s="109"/>
      <c r="M89" s="58"/>
      <c r="N89" s="58"/>
      <c r="O89" s="61"/>
      <c r="P89" s="269"/>
      <c r="R89" s="270"/>
      <c r="S89" s="109"/>
      <c r="T89" s="109"/>
      <c r="U89" s="344"/>
      <c r="V89" s="344"/>
      <c r="W89" s="109"/>
      <c r="X89" s="298"/>
      <c r="Z89" s="471"/>
      <c r="AA89" s="485"/>
      <c r="AB89" s="450"/>
      <c r="AC89" s="474"/>
      <c r="AD89" s="452"/>
      <c r="AE89" s="475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270"/>
      <c r="K90" s="109"/>
      <c r="L90" s="109"/>
      <c r="M90" s="58"/>
      <c r="N90" s="58"/>
      <c r="O90" s="61"/>
      <c r="P90" s="269"/>
      <c r="R90" s="270"/>
      <c r="S90" s="384"/>
      <c r="T90" s="109"/>
      <c r="U90" s="344"/>
      <c r="V90" s="344"/>
      <c r="W90" s="61"/>
      <c r="X90" s="298"/>
      <c r="Z90" s="468"/>
      <c r="AA90" s="453"/>
      <c r="AB90" s="453"/>
      <c r="AC90" s="469"/>
      <c r="AD90" s="455"/>
      <c r="AE90" s="473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270"/>
      <c r="K91" s="109"/>
      <c r="L91" s="109"/>
      <c r="M91" s="58"/>
      <c r="N91" s="58"/>
      <c r="O91" s="61"/>
      <c r="P91" s="269"/>
      <c r="R91" s="270"/>
      <c r="S91" s="384"/>
      <c r="T91" s="109"/>
      <c r="U91" s="344"/>
      <c r="V91" s="344"/>
      <c r="W91" s="61"/>
      <c r="X91" s="298"/>
      <c r="Z91" s="471"/>
      <c r="AA91" s="450"/>
      <c r="AB91" s="450"/>
      <c r="AC91" s="452"/>
      <c r="AD91" s="452"/>
      <c r="AE91" s="499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270"/>
      <c r="K92" s="109"/>
      <c r="L92" s="439"/>
      <c r="M92" s="271"/>
      <c r="N92" s="58"/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3"/>
      <c r="AB92" s="453"/>
      <c r="AC92" s="469"/>
      <c r="AD92" s="455"/>
      <c r="AE92" s="473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270"/>
      <c r="K93" s="109"/>
      <c r="L93" s="440"/>
      <c r="M93" s="271"/>
      <c r="N93" s="58"/>
      <c r="O93" s="61"/>
      <c r="P93" s="269"/>
      <c r="R93" s="270"/>
      <c r="S93" s="384"/>
      <c r="T93" s="109"/>
      <c r="U93" s="344"/>
      <c r="V93" s="344"/>
      <c r="W93" s="61"/>
      <c r="X93" s="298"/>
      <c r="Z93" s="471"/>
      <c r="AA93" s="450"/>
      <c r="AB93" s="485"/>
      <c r="AC93" s="452"/>
      <c r="AD93" s="452"/>
      <c r="AE93" s="499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270"/>
      <c r="K94" s="109"/>
      <c r="L94" s="109"/>
      <c r="M94" s="271"/>
      <c r="N94" s="58"/>
      <c r="O94" s="61"/>
      <c r="P94" s="269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270"/>
      <c r="K95" s="109"/>
      <c r="L95" s="109"/>
      <c r="M95" s="58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270"/>
      <c r="K96" s="109"/>
      <c r="L96" s="109"/>
      <c r="M96" s="58"/>
      <c r="N96" s="58"/>
      <c r="O96" s="61"/>
      <c r="P96" s="269"/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270"/>
      <c r="K101" s="109"/>
      <c r="L101" s="109"/>
      <c r="M101" s="58"/>
      <c r="N101" s="58"/>
      <c r="O101" s="61"/>
      <c r="P101" s="269"/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0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58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447"/>
      <c r="C1003" s="447"/>
      <c r="D1003" s="447"/>
      <c r="E1003" s="447"/>
      <c r="F1003" s="447"/>
      <c r="G1003" s="447"/>
      <c r="H1003" s="447"/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09">
    <cfRule type="expression" dxfId="12" priority="14">
      <formula>COUNTIF(K:K, K1)&gt;1</formula>
    </cfRule>
  </conditionalFormatting>
  <conditionalFormatting sqref="L1 L23:L53 L55:L107 L110:L1009">
    <cfRule type="expression" dxfId="12" priority="15">
      <formula>COUNTIF(L:L, L1)&gt;1</formula>
    </cfRule>
  </conditionalFormatting>
  <conditionalFormatting sqref="S1 S8:S1009 AY14 AI15">
    <cfRule type="expression" dxfId="12" priority="16">
      <formula>COUNTIF(S:S, S1)&gt;1</formula>
    </cfRule>
  </conditionalFormatting>
  <conditionalFormatting sqref="T1 AJ1:AJ1009 AZ1:AZ1009 T8:T1009 AS11">
    <cfRule type="expression" dxfId="12" priority="17">
      <formula>COUNTIF(T:T, T1)&gt;1</formula>
    </cfRule>
  </conditionalFormatting>
  <conditionalFormatting sqref="AA1:AA1009 AQ1:AQ1009 BG1:BG1009 BH2 AY10 AR11">
    <cfRule type="expression" dxfId="12" priority="18">
      <formula>COUNTIF(AA:AA, AA1)&gt;1</formula>
    </cfRule>
  </conditionalFormatting>
  <conditionalFormatting sqref="AB1:AB1009 AR1:AR1009 BH1:BH1009 AZ10 AS11 AA32">
    <cfRule type="expression" dxfId="12" priority="19">
      <formula>COUNTIF(AB:AB, AB1)&gt;1</formula>
    </cfRule>
  </conditionalFormatting>
  <conditionalFormatting sqref="C1 S2:S7 AI2:AI4 AY2:AY4 C84:C89 C91:C124 C126:C1009">
    <cfRule type="expression" dxfId="12" priority="20">
      <formula>COUNTIF(C:C, C1)&gt;1</formula>
    </cfRule>
  </conditionalFormatting>
  <conditionalFormatting sqref="D1 T2:T7 AJ2:AJ362 AZ2:AZ368 AS11 D84:D89 D91:D124 D126:D1009">
    <cfRule type="expression" dxfId="12" priority="21">
      <formula>COUNTIF(D:D, D1)&gt;1</formula>
    </cfRule>
  </conditionalFormatting>
  <dataValidations>
    <dataValidation type="list" allowBlank="1" sqref="N2:N1009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2 G2:G1002 K2:L1009 O2:O1009"/>
    <dataValidation type="list" allowBlank="1" sqref="BI2:BI997 AS2:AS997 AC2:AC999 M2:M1009">
      <formula1>"Argentina,Colombia,Ecuador,Chile,Paraguay,Uruguay,Peru,Bolivia"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2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2">
      <formula1>"Mexico,Costa Rica,Panama,Belize,Dominican Republic,Nicaragua,El Salvador,Guatemala,Honduras"</formula1>
    </dataValidation>
    <dataValidation type="custom" allowBlank="1" showDropDown="1" sqref="AX2:AX981 BF2:BF997 AP2:AP997 R2:R998 Z2:Z999 AH2:AH999 B2:B1002 J2:J1009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