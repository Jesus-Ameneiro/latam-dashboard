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tc={511efc4d-d566-4c80-b519-0ef0e970acac}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511efc4d-d566-4c80-b519-0ef0e970acac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<sst xmlns="http://schemas.openxmlformats.org/spreadsheetml/2006/main" count="8803" uniqueCount="3932">
  <si>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</si>
  <si>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</si>
  <si>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</si>
  <si>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</si>
  <si>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</si>
  <si>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</si>
  <si>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</si>
  <si>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</si>
  <si>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</si>
  <si>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</si>
  <si>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</si>
  <si>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</si>
  <si>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</si>
  <si>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</si>
  <si>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</si>
  <si>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</si>
  <si>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</si>
  <si>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</si>
  <si>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</si>
  <si>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</si>
  <si>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</si>
  <si>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</si>
  <si>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</si>
  <si>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</si>
  <si>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</si>
  <si>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</si>
  <si>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</si>
  <si>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</si>
  <si>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</si>
  <si>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</si>
  <si>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</si>
  <si>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</si>
  <si>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</si>
  <si>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</si>
  <si>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</si>
  <si>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</si>
  <si>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</si>
  <si>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</si>
  <si>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</si>
  <si>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</si>
  <si>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</si>
  <si>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</si>
  <si>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</si>
  <si>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</si>
  <si>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</si>
  <si>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</si>
  <si>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</si>
  <si>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</si>
  <si>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</si>
  <si>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</si>
  <si>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</si>
  <si>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</si>
  <si>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</si>
  <si>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</si>
  <si>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</si>
  <si>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</si>
  <si>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</si>
  <si>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</si>
  <si>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</si>
  <si>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</si>
  <si>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</si>
  <si>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</si>
  <si>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</si>
  <si>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</si>
  <si>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</si>
  <si>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</si>
  <si>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</si>
  <si>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</si>
  <si>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</si>
  <si>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</si>
  <si>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</si>
  <si>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</si>
  <si>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</si>
  <si>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</si>
  <si>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</si>
  <si>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</si>
  <si>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</si>
  <si>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</si>
  <si>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</si>
  <si>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</si>
  <si>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</si>
  <si>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</si>
  <si>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</si>
  <si>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</si>
  <si>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</si>
  <si>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</si>
  <si>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</si>
  <si>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</si>
  <si>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</si>
  <si>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</si>
  <si>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</si>
  <si>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</si>
  <si>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</si>
  <si>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</si>
  <si>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</si>
  <si>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</si>
  <si>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</si>
  <si>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</si>
  <si>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</si>
  <si>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</si>
  <si>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</si>
  <si>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</si>
  <si>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</si>
  <si>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</si>
  <si>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</si>
  <si>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</si>
  <si>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</si>
  <si>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</si>
  <si>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</si>
  <si>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</si>
  <si>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</si>
  <si>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</si>
  <si>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</si>
  <si>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</si>
  <si>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</si>
  <si>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</si>
  <si>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</si>
  <si>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</si>
  <si>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</si>
  <si>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</si>
  <si>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</si>
  <si>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</si>
  <si>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</si>
  <si>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</si>
  <si>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</si>
  <si>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</si>
  <si>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</si>
  <si>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</si>
  <si>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</si>
  <si>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</si>
  <si>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</si>
  <si>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</si>
  <si>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</si>
  <si>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</si>
  <si>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</si>
  <si>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</si>
  <si>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</si>
  <si>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</si>
  <si>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</si>
  <si>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</si>
  <si>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</si>
  <si>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</si>
  <si>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</si>
  <si>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</si>
  <si>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</si>
  <si>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</si>
  <si>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</si>
  <si>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</si>
  <si>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</si>
  <si>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</si>
  <si>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</si>
  <si>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</si>
  <si>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</si>
  <si>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</si>
  <si>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</si>
  <si>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</si>
  <si>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</si>
  <si>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</si>
  <si>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</si>
  <si>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</si>
  <si>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</si>
  <si>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</si>
  <si>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</si>
  <si>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</si>
  <si>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</si>
  <si>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</si>
  <si>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</si>
  <si>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</si>
  <si>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</si>
  <si>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</si>
  <si>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</si>
  <si>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</si>
  <si>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</si>
  <si>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</si>
  <si>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</si>
  <si>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</si>
  <si>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</si>
  <si>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</si>
  <si>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</si>
  <si>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</si>
  <si>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</si>
  <si>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</si>
  <si>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</si>
  <si>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</si>
  <si>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</si>
  <si>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</si>
  <si>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</si>
  <si>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</si>
  <si>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</si>
  <si>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</si>
  <si>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</si>
  <si>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</si>
  <si>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</si>
  <si>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</si>
  <si>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</si>
  <si>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</si>
  <si>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</si>
  <si>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</si>
  <si>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</si>
  <si>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</si>
  <si>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</si>
  <si>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</si>
  <si>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</si>
  <si>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</si>
  <si>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</si>
  <si>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</si>
  <si>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</si>
  <si>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</si>
  <si>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</si>
  <si>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</si>
  <si>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</si>
  <si>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</si>
  <si>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</si>
  <si>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</si>
  <si>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</si>
  <si>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</si>
  <si>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</si>
  <si>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</si>
  <si>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</si>
  <si>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</si>
  <si>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</si>
  <si>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</si>
  <si>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</si>
  <si>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</si>
  <si>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</si>
  <si>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</si>
  <si>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</si>
  <si>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</si>
  <si>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</si>
  <si>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</si>
  <si>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</si>
  <si>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</si>
  <si>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</si>
  <si>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</si>
  <si>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</si>
  <si>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</si>
  <si>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</si>
  <si>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</si>
  <si>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</si>
  <si>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</si>
  <si>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</si>
  <si>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</si>
  <si>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</si>
  <si>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</si>
  <si>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</si>
  <si>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</si>
  <si>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</si>
  <si>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</si>
  <si>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</si>
  <si>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</si>
  <si>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</si>
  <si>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</si>
  <si>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</si>
  <si>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</si>
  <si>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</si>
  <si>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</si>
  <si>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</si>
  <si>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</si>
  <si>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</si>
  <si>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</si>
  <si>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</si>
  <si>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</si>
  <si>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</si>
  <si>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</si>
  <si>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</si>
  <si>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</si>
  <si>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</si>
  <si>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</si>
  <si>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</si>
  <si>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</si>
  <si>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</si>
  <si>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</si>
  <si>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</si>
  <si>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</si>
  <si>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</si>
  <si>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</si>
  <si>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</si>
  <si>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</si>
  <si>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</si>
  <si>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</si>
  <si>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</si>
  <si>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</si>
  <si>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</si>
  <si>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</si>
  <si>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</si>
  <si>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</si>
  <si>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</si>
  <si>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</si>
  <si>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</si>
  <si>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</si>
  <si>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</si>
  <si>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</si>
  <si>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</si>
  <si>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</si>
  <si>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</si>
  <si>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</si>
  <si>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</si>
  <si>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</si>
  <si>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</si>
  <si>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</si>
  <si>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</si>
  <si>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</si>
  <si>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</si>
  <si>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</si>
  <si>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</si>
  <si>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</si>
  <si>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</si>
  <si>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</si>
  <si>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</si>
  <si>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</si>
  <si>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</si>
  <si>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</si>
  <si>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</si>
  <si>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</si>
  <si>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</si>
  <si>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</si>
  <si>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</si>
  <si>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</si>
  <si>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</si>
  <si>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</si>
  <si>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</si>
  <si>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</si>
  <si>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</si>
  <si>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</si>
  <si>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</si>
  <si>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</si>
  <si>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</si>
  <si>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</si>
  <si>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</si>
  <si>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</si>
  <si>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</si>
  <si>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</si>
  <si>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</si>
  <si>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</si>
  <si>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</si>
  <si>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</si>
  <si>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</si>
  <si>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</si>
  <si>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</si>
  <si>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</si>
  <si>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</si>
  <si>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</si>
  <si>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</si>
  <si>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</si>
  <si>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</si>
  <si>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</si>
  <si>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</si>
  <si>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</si>
  <si>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</si>
  <si>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</si>
  <si>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</si>
  <si>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</si>
  <si>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</si>
  <si>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</si>
  <si>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</si>
  <si>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</si>
  <si>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</si>
  <si>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</si>
  <si>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</si>
  <si>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</si>
  <si>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</si>
  <si>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</si>
  <si>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</si>
  <si>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</si>
  <si>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</si>
  <si>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</si>
  <si>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</si>
  <si>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</si>
  <si>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</si>
  <si>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</si>
  <si>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</si>
  <si>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</si>
  <si>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</si>
  <si>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</si>
  <si>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</si>
  <si>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</si>
  <si>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</si>
  <si>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</si>
  <si>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</si>
  <si>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</si>
  <si>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</si>
  <si>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</si>
  <si>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</si>
  <si>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</si>
  <si>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</si>
  <si>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</si>
  <si>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</si>
  <si>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</si>
  <si>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</si>
  <si>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</si>
  <si>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</si>
  <si>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</si>
  <si>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</si>
  <si>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</si>
  <si>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</si>
  <si>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</si>
  <si>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</si>
  <si>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</si>
  <si>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</si>
  <si>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</si>
  <si>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</si>
  <si>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</si>
  <si>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</si>
  <si>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</si>
  <si>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</si>
  <si>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</si>
  <si>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</si>
  <si>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</si>
  <si>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</si>
  <si>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</si>
  <si>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</si>
  <si>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</si>
  <si>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</si>
  <si>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</si>
  <si>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</si>
  <si>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</si>
  <si>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</si>
  <si>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</si>
  <si>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</si>
  <si>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</si>
  <si>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</si>
  <si>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</si>
  <si>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</si>
  <si>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</si>
  <si>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</si>
  <si>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</si>
  <si>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</si>
  <si>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</si>
  <si>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</si>
  <si>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</si>
  <si>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</si>
  <si>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</si>
  <si>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</si>
  <si>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</si>
  <si>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</si>
  <si>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</si>
  <si>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</si>
  <si>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</si>
  <si>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</si>
  <si>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</si>
  <si>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</si>
  <si>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</si>
  <si>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</si>
  <si>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</si>
  <si>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</si>
  <si>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</si>
  <si>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</si>
  <si>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</si>
  <si>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</si>
  <si>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</si>
  <si>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</si>
  <si>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</si>
  <si>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</si>
  <si>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</si>
  <si>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</si>
  <si>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</si>
  <si>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</si>
  <si>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</si>
  <si>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</si>
  <si>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</si>
  <si>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</si>
  <si>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</si>
  <si>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</si>
  <si>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</si>
  <si>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</si>
  <si>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</si>
  <si>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</si>
  <si>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</si>
  <si>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</si>
  <si>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</si>
  <si>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</si>
  <si>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</si>
  <si>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</si>
  <si>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</si>
  <si>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</si>
  <si>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</si>
  <si>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</si>
  <si>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</si>
  <si>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</si>
  <si>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</si>
  <si>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</si>
  <si>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</si>
  <si>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</si>
  <si>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</si>
  <si>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</si>
  <si>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</si>
  <si>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</si>
  <si>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</si>
  <si>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</si>
  <si>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</si>
  <si>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</si>
  <si>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</si>
  <si>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</si>
  <si>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</si>
  <si>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</si>
  <si>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</si>
  <si>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</si>
  <si>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</si>
  <si>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</si>
  <si>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</si>
  <si>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</si>
  <si>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</si>
  <si>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</si>
  <si>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</si>
  <si>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</si>
  <si>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</si>
  <si>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</si>
  <si>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</si>
  <si>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</si>
  <si>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</si>
  <si>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</si>
  <si>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</si>
  <si>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</si>
  <si>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</si>
  <si>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</si>
  <si>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</si>
  <si>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</si>
  <si>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</si>
  <si>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</si>
  <si>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</si>
  <si>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</si>
  <si>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</si>
  <si>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</si>
  <si>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</si>
  <si>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</si>
  <si>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</si>
  <si>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</si>
  <si>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</si>
  <si>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</si>
  <si>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</si>
  <si>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</si>
  <si>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</si>
  <si>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</si>
  <si>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</si>
  <si>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</si>
  <si>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</si>
  <si>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</si>
  <si>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</si>
  <si>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</si>
  <si>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</si>
  <si>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</si>
  <si>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</si>
  <si>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</si>
  <si>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</si>
  <si>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</si>
  <si>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</si>
  <si>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</si>
  <si>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</si>
  <si>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</si>
  <si>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</si>
  <si>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</si>
  <si>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</si>
  <si>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</si>
  <si>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</si>
  <si>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</si>
  <si>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</si>
  <si>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</si>
  <si>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</si>
  <si>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</si>
  <si>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</si>
  <si>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</si>
  <si>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</si>
  <si>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</si>
  <si>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</si>
  <si>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</si>
  <si>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</si>
  <si>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</si>
  <si>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</si>
  <si>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</si>
  <si>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</si>
  <si>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</si>
  <si>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</si>
  <si>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</si>
  <si>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</si>
  <si>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</si>
  <si>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</si>
  <si>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</si>
  <si>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</si>
  <si>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</si>
  <si>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</si>
  <si>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</si>
  <si>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</si>
  <si>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</si>
  <si>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</si>
  <si>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</si>
  <si>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</si>
  <si>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</si>
  <si>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</si>
  <si>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</si>
  <si>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</si>
  <si>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</si>
  <si>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</si>
  <si>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</si>
  <si>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</si>
  <si>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</si>
  <si>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</si>
  <si>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</si>
  <si>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</si>
  <si>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</si>
  <si>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</si>
  <si>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</si>
  <si>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</si>
  <si>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</si>
  <si>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</si>
  <si>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</si>
  <si>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</si>
  <si>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</si>
  <si>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</si>
  <si>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</si>
  <si>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</si>
  <si>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</si>
  <si>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</si>
  <si>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</si>
  <si>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</si>
  <si>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</si>
  <si>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</si>
  <si>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</si>
  <si>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</si>
  <si>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</si>
  <si>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</si>
  <si>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</si>
  <si>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</si>
  <si>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</si>
  <si>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</si>
  <si>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</si>
  <si>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</si>
  <si>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</si>
  <si>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</si>
  <si>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</si>
  <si>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</si>
  <si>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</si>
  <si>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</si>
  <si>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</si>
  <si>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</si>
  <si>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</si>
  <si>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</si>
  <si>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</si>
  <si>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</si>
  <si>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</si>
  <si>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</si>
  <si>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</si>
  <si>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</si>
  <si>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</si>
  <si>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</si>
  <si>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</si>
  <si>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</si>
  <si>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</si>
  <si>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</si>
  <si>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</si>
  <si>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</si>
  <si>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</si>
  <si>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</si>
  <si>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</si>
  <si>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</si>
  <si>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</si>
  <si>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</si>
  <si>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</si>
  <si>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</si>
  <si>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</si>
  <si>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</si>
  <si>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</si>
  <si>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</si>
  <si>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</si>
  <si>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</si>
  <si>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</si>
  <si>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</si>
  <si>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</si>
  <si>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</si>
  <si>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</si>
  <si>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</si>
  <si>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</si>
  <si>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</si>
  <si>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</si>
  <si>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</si>
  <si>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</si>
  <si>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</si>
  <si>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</si>
  <si>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</si>
  <si>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</si>
  <si>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</si>
  <si>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</si>
  <si>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</si>
  <si>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</si>
  <si>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</si>
  <si>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</si>
  <si>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</si>
  <si>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</si>
  <si>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</si>
  <si>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</si>
  <si>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</si>
  <si>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</si>
  <si>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</si>
  <si>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</si>
  <si>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</si>
  <si>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</si>
  <si>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</si>
  <si>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</si>
  <si>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</si>
  <si>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</si>
  <si>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</si>
  <si>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</si>
  <si>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</si>
  <si>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</si>
  <si>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</si>
  <si>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</si>
  <si>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</si>
  <si>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</si>
  <si>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</si>
  <si>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</si>
  <si>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</si>
  <si>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</si>
  <si>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</si>
  <si>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</si>
  <si>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</si>
  <si>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</si>
  <si>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</si>
  <si>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</si>
  <si>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</si>
  <si>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</si>
  <si>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</si>
  <si>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</si>
  <si>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</si>
  <si>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</si>
  <si>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</si>
  <si>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</si>
  <si>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</si>
  <si>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</si>
  <si>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</si>
  <si>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</si>
  <si>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</si>
  <si>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</si>
  <si>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</si>
  <si>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</si>
  <si>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</si>
  <si>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</si>
  <si>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</si>
  <si>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</si>
  <si>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</si>
  <si>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</si>
  <si>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</si>
  <si>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</si>
  <si>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</si>
  <si>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</si>
  <si>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</si>
  <si>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</si>
  <si>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</si>
  <si>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</si>
  <si>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</si>
  <si>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</si>
  <si>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</si>
  <si>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</si>
  <si>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</si>
  <si>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</si>
  <si>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</si>
  <si>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</si>
  <si>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</si>
  <si>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</si>
  <si>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</si>
  <si>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</si>
  <si>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</si>
  <si>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</si>
  <si>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</si>
  <si>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</si>
  <si>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</si>
  <si>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</si>
  <si>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</si>
  <si>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</si>
  <si>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</si>
  <si>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</si>
  <si>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</si>
  <si>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</si>
  <si>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</si>
  <si>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</si>
  <si>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</si>
  <si>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</si>
  <si>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</si>
  <si>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</si>
  <si>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</si>
  <si>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</si>
  <si>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</si>
  <si>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</si>
  <si>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</si>
  <si>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</si>
  <si>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</si>
  <si>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</si>
  <si>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</si>
  <si>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</si>
  <si>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</si>
  <si>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</si>
  <si>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</si>
  <si>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</si>
  <si>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</si>
  <si>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</si>
  <si>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</si>
  <si>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</si>
  <si>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</si>
  <si>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</si>
  <si>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</si>
  <si>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</si>
  <si>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</si>
  <si>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</si>
  <si>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</si>
  <si>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</si>
  <si>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</si>
  <si>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</si>
  <si>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</si>
  <si>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</si>
  <si>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</si>
  <si>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</si>
  <si>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</si>
  <si>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</si>
  <si>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</si>
  <si>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</si>
  <si>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</si>
  <si>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</si>
  <si>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</si>
  <si>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</si>
  <si>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</si>
  <si>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</si>
  <si>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</si>
  <si>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</si>
  <si>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</si>
  <si>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</si>
  <si>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</si>
  <si>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</si>
  <si>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</si>
  <si>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</si>
  <si>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</si>
  <si>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</si>
  <si>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</si>
  <si>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</si>
  <si>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</si>
  <si>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</si>
  <si>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</si>
  <si>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</si>
  <si>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</si>
  <si>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</si>
  <si>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</si>
  <si>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</si>
  <si>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</si>
  <si>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</si>
  <si>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</si>
  <si>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</si>
  <si>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</si>
  <si>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</si>
  <si>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</si>
  <si>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</si>
  <si>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</si>
  <si>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</si>
  <si>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</si>
  <si>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</si>
  <si>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</si>
  <si>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</si>
  <si>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</si>
  <si>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</si>
  <si>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</si>
  <si>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</si>
  <si>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</si>
  <si>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</si>
  <si>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</si>
  <si>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</si>
  <si>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</si>
  <si>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</si>
  <si>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</si>
  <si>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</si>
  <si>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</si>
  <si>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</si>
  <si>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</si>
  <si>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</si>
  <si>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</si>
  <si>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</si>
  <si>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</si>
  <si>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</si>
  <si>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</si>
  <si>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</si>
  <si>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</si>
  <si>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</si>
  <si>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</si>
  <si>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</si>
  <si>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</si>
  <si>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</si>
  <si>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</si>
  <si>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</si>
  <si>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</si>
  <si>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</si>
  <si>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</si>
  <si>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</si>
  <si>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</si>
  <si>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</si>
  <si>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</si>
  <si>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</si>
  <si>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</si>
  <si>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</si>
  <si>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</si>
  <si>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</si>
  <si>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</si>
  <si>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</si>
  <si>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</si>
  <si>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</si>
  <si>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</si>
  <si>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</si>
  <si>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</si>
  <si>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</si>
  <si>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</si>
  <si>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</si>
  <si>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</si>
  <si>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</si>
  <si>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</si>
  <si>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</si>
  <si>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</si>
  <si>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</si>
  <si>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</si>
  <si>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</si>
  <si>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</si>
  <si>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</si>
  <si>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</si>
  <si>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</si>
  <si>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</si>
  <si>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</si>
  <si>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</si>
  <si>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</si>
  <si>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</si>
  <si>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</si>
  <si>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</si>
  <si>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</si>
  <si>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</si>
  <si>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</si>
  <si>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</si>
  <si>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</si>
  <si>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</si>
  <si>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</si>
  <si>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</si>
  <si>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</si>
  <si>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</si>
  <si>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</si>
  <si>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</si>
  <si>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</si>
  <si>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</si>
  <si>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</si>
  <si>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</si>
  <si>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</si>
  <si>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</si>
  <si>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</si>
  <si>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</si>
  <si>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</si>
  <si>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</si>
  <si>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</si>
  <si>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</si>
  <si>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</si>
  <si>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</si>
  <si>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</si>
  <si>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</si>
  <si>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</si>
  <si>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</si>
  <si>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</si>
  <si>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</si>
  <si>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</si>
  <si>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</si>
  <si>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</si>
  <si>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</si>
  <si>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</si>
  <si>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</si>
  <si>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</si>
  <si>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</si>
  <si>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</si>
  <si>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</si>
  <si>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</si>
  <si>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</si>
  <si>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</si>
  <si>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</si>
  <si>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</si>
  <si>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</si>
  <si>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</si>
  <si>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</si>
  <si>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</si>
  <si>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</si>
  <si>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</si>
  <si>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</si>
  <si>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</si>
  <si>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</si>
  <si>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</si>
  <si>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</si>
  <si>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</si>
  <si>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</si>
  <si>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</si>
  <si>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</si>
  <si>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</si>
  <si>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</si>
  <si>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</si>
  <si>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</si>
  <si>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</si>
  <si>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</si>
  <si>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</si>
  <si>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</si>
  <si>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</si>
  <si>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</si>
  <si>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</si>
  <si>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</si>
  <si>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</si>
  <si>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</si>
  <si>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</si>
  <si>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</si>
  <si>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</si>
  <si>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</si>
  <si>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</si>
  <si>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</si>
  <si>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</si>
  <si>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</si>
  <si>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</si>
  <si>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</si>
  <si>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</si>
  <si>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</si>
  <si>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</si>
  <si>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</si>
  <si>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</si>
  <si>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</si>
  <si>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</si>
  <si>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</si>
  <si>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</si>
  <si>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</si>
  <si>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</si>
  <si>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</si>
  <si>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</si>
  <si>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</si>
  <si>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</si>
  <si>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</si>
  <si>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</si>
  <si>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</si>
  <si>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</si>
  <si>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</si>
  <si>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</si>
  <si>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</si>
  <si>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</si>
  <si>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</si>
  <si>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</si>
  <si>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</si>
  <si>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</si>
  <si>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</si>
  <si>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</si>
  <si>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</si>
  <si>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</si>
  <si>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</si>
  <si>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</si>
  <si>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</si>
  <si>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</si>
  <si>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</si>
  <si>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</si>
  <si>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</si>
  <si>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</si>
  <si>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</si>
  <si>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</si>
  <si>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</si>
  <si>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</si>
  <si>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</si>
  <si>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</si>
  <si>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</si>
  <si>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</si>
  <si>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</si>
  <si>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</si>
  <si>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</si>
  <si>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</si>
  <si>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</si>
  <si>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</si>
  <si>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</si>
  <si>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</si>
  <si>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</si>
  <si>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</si>
  <si>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</si>
  <si>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</si>
  <si>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</si>
  <si>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</si>
  <si>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</si>
  <si>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</si>
  <si>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</si>
  <si>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</si>
  <si>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</si>
  <si>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</si>
  <si>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</si>
  <si>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</si>
  <si>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</si>
  <si>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</si>
  <si>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</si>
  <si>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</si>
  <si>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</si>
  <si>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</si>
  <si>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</si>
  <si>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</si>
  <si>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</si>
  <si>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</si>
  <si>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</si>
  <si>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</si>
  <si>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</si>
  <si>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</si>
  <si>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</si>
  <si>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</si>
  <si>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</si>
  <si>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</si>
  <si>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</si>
  <si>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</si>
  <si>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</si>
  <si>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</si>
  <si>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</si>
  <si>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</si>
  <si>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</si>
  <si>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</si>
  <si>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</si>
  <si>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</si>
  <si>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</si>
  <si>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</si>
  <si>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</si>
  <si>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</si>
  <si>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</si>
  <si>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</si>
  <si>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</si>
  <si>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</si>
  <si>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</si>
  <si>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</si>
  <si>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</si>
  <si>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</si>
  <si>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</si>
  <si>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</si>
  <si>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</si>
  <si>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</si>
  <si>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</si>
  <si>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</si>
  <si>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</si>
  <si>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</si>
  <si>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</si>
  <si>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</si>
  <si>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</si>
  <si>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</si>
  <si>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</si>
  <si>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</si>
  <si>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</si>
  <si>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</si>
  <si>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</si>
  <si>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</si>
  <si>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</si>
  <si>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</si>
  <si>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</si>
  <si>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</si>
  <si>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</si>
  <si>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</si>
  <si>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</si>
  <si>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</si>
  <si>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</si>
  <si>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</si>
  <si>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</si>
  <si>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</si>
  <si>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</si>
  <si>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</si>
  <si>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</si>
  <si>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</si>
  <si>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</si>
  <si>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</si>
  <si>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</si>
  <si>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</si>
  <si>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</si>
  <si>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</si>
  <si>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</si>
  <si>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</si>
  <si>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</si>
  <si>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</si>
  <si>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</si>
  <si>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</si>
  <si>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</si>
  <si>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</si>
  <si>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</si>
  <si>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</si>
  <si>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</si>
  <si>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</si>
  <si>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</si>
  <si>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</si>
  <si>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</si>
  <si>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</si>
  <si>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</si>
  <si>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</si>
  <si>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</si>
  <si>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</si>
  <si>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</si>
  <si>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</si>
  <si>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</si>
  <si>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</si>
  <si>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</si>
  <si>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</si>
  <si>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</si>
  <si>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</si>
  <si>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</si>
  <si>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</si>
  <si>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</si>
  <si>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</si>
  <si>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</si>
  <si>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</si>
  <si>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</si>
  <si>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</si>
  <si>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</si>
  <si>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</si>
  <si>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</si>
  <si>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</si>
  <si>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</si>
  <si>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</si>
  <si>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</si>
  <si>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</si>
  <si>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</si>
  <si>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</si>
  <si>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</si>
  <si>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</si>
  <si>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</si>
  <si>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</si>
  <si>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</si>
  <si>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</si>
  <si>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</si>
  <si>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</si>
  <si>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</si>
  <si>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</si>
  <si>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</si>
  <si>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</si>
  <si>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</si>
  <si>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</si>
  <si>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</si>
  <si>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</si>
  <si>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</si>
  <si>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</si>
  <si>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</si>
  <si>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</si>
  <si>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</si>
  <si>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</si>
  <si>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</si>
  <si>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</si>
  <si>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</si>
  <si>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</si>
  <si>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</si>
  <si>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</si>
  <si>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</si>
  <si>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</si>
  <si>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</si>
  <si>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</si>
  <si>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</si>
  <si>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</si>
  <si>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</si>
  <si>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</si>
  <si>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</si>
  <si>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</si>
  <si>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</si>
  <si>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</si>
  <si>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</si>
  <si>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</si>
  <si>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</si>
  <si>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</si>
  <si>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</si>
  <si>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</si>
  <si>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</si>
  <si>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</si>
  <si>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</si>
  <si>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</si>
  <si>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</si>
  <si>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</si>
  <si>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</si>
  <si>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</si>
  <si>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</si>
  <si>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</si>
  <si>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</si>
  <si>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</si>
  <si>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</si>
  <si>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</si>
  <si>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</si>
  <si>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</si>
  <si>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</si>
  <si>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</si>
  <si>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</si>
  <si>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</si>
  <si>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</si>
  <si>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</si>
  <si>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</si>
  <si>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</si>
  <si>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</si>
  <si>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</si>
  <si>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</si>
  <si>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</si>
  <si>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</si>
  <si>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</si>
  <si>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</si>
  <si>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</si>
  <si>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</si>
  <si>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</si>
  <si>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</si>
  <si>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</si>
  <si>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</si>
  <si>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</si>
  <si>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</si>
  <si>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</si>
  <si>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</si>
  <si>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</si>
  <si>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</si>
  <si>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</si>
  <si>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</si>
  <si>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</si>
  <si>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</si>
  <si>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</si>
  <si>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</si>
  <si>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</si>
  <si>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</si>
  <si>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</si>
  <si>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</si>
  <si>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</si>
  <si>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</si>
  <si>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</si>
  <si>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</si>
  <si>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</si>
  <si>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</si>
  <si>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</si>
  <si>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</si>
  <si>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</si>
  <si>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</si>
  <si>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</si>
  <si>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</si>
  <si>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</si>
  <si>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</si>
  <si>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</si>
  <si>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</si>
  <si>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</si>
  <si>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</si>
  <si>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</si>
  <si>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</si>
  <si>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</si>
  <si>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</si>
  <si>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</si>
  <si>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</si>
  <si>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</si>
  <si>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</si>
  <si>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</si>
  <si>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</si>
  <si>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</si>
  <si>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</si>
  <si>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</si>
  <si>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</si>
  <si>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</si>
  <si>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</si>
  <si>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</si>
  <si>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</si>
  <si>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</si>
  <si>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</si>
  <si>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</si>
  <si>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</si>
  <si>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</si>
  <si>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</si>
  <si>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</si>
  <si>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</si>
  <si>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</si>
  <si>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</si>
  <si>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</si>
  <si>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</si>
  <si>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</si>
  <si>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</si>
  <si>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</si>
  <si>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</si>
  <si>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</si>
  <si>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</si>
  <si>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</si>
  <si>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</si>
  <si>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</si>
  <si>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</si>
  <si>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</si>
  <si>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</si>
  <si>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</si>
  <si>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</si>
  <si>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</si>
  <si>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</si>
  <si>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</si>
  <si>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</si>
  <si>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</si>
  <si>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</si>
  <si>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</si>
  <si>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</si>
  <si>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</si>
  <si>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</si>
  <si>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</si>
  <si>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</si>
  <si>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</si>
  <si>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</si>
  <si>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</si>
  <si>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</si>
  <si>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</si>
  <si>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</si>
  <si>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</si>
  <si>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</si>
  <si>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</si>
  <si>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</si>
  <si>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</si>
  <si>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</si>
  <si>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</si>
  <si>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</si>
  <si>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</si>
  <si>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</si>
  <si>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</si>
  <si>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</si>
  <si>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</si>
  <si>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</si>
  <si>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</si>
  <si>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</si>
  <si>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</si>
  <si>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</si>
  <si>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</si>
  <si>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</si>
  <si>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</si>
  <si>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</si>
  <si>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</si>
  <si>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</si>
  <si>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</si>
  <si>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</si>
  <si>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</si>
  <si>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</si>
  <si>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</si>
  <si>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</si>
  <si>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</si>
  <si>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</si>
  <si>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</si>
  <si>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</si>
  <si>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</si>
  <si>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</si>
  <si>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</si>
  <si>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</si>
  <si>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</si>
  <si>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</si>
  <si>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</si>
  <si>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</si>
  <si>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</si>
  <si>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</si>
  <si>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</si>
  <si>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</si>
  <si>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</si>
  <si>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</si>
  <si>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</si>
  <si>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</si>
  <si>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</si>
  <si>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</si>
  <si>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</si>
  <si>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</si>
  <si>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</si>
  <si>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</si>
  <si>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</si>
  <si>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</si>
  <si>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</si>
  <si>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</si>
  <si>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</si>
  <si>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</si>
  <si>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</si>
  <si>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</si>
  <si>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</si>
  <si>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</si>
  <si>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</si>
  <si>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</si>
  <si>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</si>
  <si>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</si>
  <si>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</si>
  <si>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</si>
  <si>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</si>
  <si>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</si>
  <si>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</si>
  <si>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</si>
  <si>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</si>
  <si>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</si>
  <si>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</si>
  <si>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</si>
  <si>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</si>
  <si>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</si>
  <si>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</si>
  <si>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</si>
  <si>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</si>
  <si>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</si>
  <si>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</si>
  <si>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</si>
  <si>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</si>
  <si>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</si>
  <si>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</si>
  <si>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</si>
  <si>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</si>
  <si>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</si>
  <si>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</si>
  <si>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</si>
  <si>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</si>
  <si>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</si>
  <si>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</si>
  <si>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</si>
  <si>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</si>
  <si>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</si>
  <si>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</si>
  <si>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</si>
  <si>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</si>
  <si>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</si>
  <si>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</si>
  <si>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</si>
  <si>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</si>
  <si>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</si>
  <si>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</si>
  <si>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</si>
  <si>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</si>
  <si>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</si>
  <si>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</si>
  <si>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</si>
  <si>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</si>
  <si>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</si>
  <si>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</si>
  <si>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</si>
  <si>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</si>
  <si>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</si>
  <si>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</si>
  <si>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</si>
  <si>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</si>
  <si>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</si>
  <si>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</si>
  <si>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</si>
  <si>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</si>
  <si>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</si>
  <si>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</si>
  <si>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</si>
  <si>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</si>
  <si>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</si>
  <si>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</si>
  <si>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</si>
  <si>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</si>
  <si>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</si>
  <si>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</si>
  <si>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</si>
  <si>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</si>
  <si>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</si>
  <si>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</si>
  <si>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</si>
  <si>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</si>
  <si>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</si>
  <si>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</si>
  <si>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</si>
  <si>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</si>
  <si>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</si>
  <si>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</si>
  <si>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</si>
  <si>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</si>
  <si>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</si>
  <si>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</si>
  <si>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</si>
  <si>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</si>
  <si>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</si>
  <si>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</si>
  <si>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</si>
  <si>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</si>
  <si>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</si>
  <si>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</si>
  <si>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</si>
  <si>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</si>
  <si>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</si>
  <si>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</si>
  <si>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</si>
  <si>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</si>
  <si>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</si>
  <si>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</si>
  <si>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</si>
  <si>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</si>
  <si>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</si>
  <si>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</si>
  <si>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</si>
  <si>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</si>
  <si>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</si>
  <si>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</si>
  <si>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</si>
  <si>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</si>
  <si>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</si>
  <si>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</si>
  <si>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</si>
  <si>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</si>
  <si>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</si>
  <si>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</si>
  <si>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</si>
  <si>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</si>
  <si>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</si>
  <si>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</si>
  <si>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</si>
  <si>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</si>
  <si>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</si>
  <si>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</si>
  <si>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</si>
  <si>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</si>
  <si>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</si>
  <si>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</si>
  <si>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</si>
  <si>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</si>
  <si>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</si>
  <si>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</si>
  <si>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</si>
  <si>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</si>
  <si>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</si>
  <si>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</si>
  <si>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</si>
  <si>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</si>
  <si>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</si>
  <si>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</si>
  <si>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</si>
  <si>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</si>
  <si>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</si>
  <si>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</si>
  <si>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</si>
  <si>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</si>
  <si>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</si>
  <si>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</si>
  <si>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</si>
  <si>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</si>
  <si>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</si>
  <si>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</si>
  <si>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</si>
  <si>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</si>
  <si>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</si>
  <si>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</si>
  <si>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</si>
  <si>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</si>
  <si>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</si>
  <si>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</si>
  <si>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</si>
  <si>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</si>
  <si>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</si>
  <si>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</si>
  <si>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</si>
  <si>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</si>
  <si>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</si>
  <si>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</si>
  <si>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</si>
  <si>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</si>
  <si>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</si>
  <si>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</si>
  <si>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</si>
  <si>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</si>
  <si>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</si>
  <si>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</si>
  <si>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</si>
  <si>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</si>
  <si>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</si>
  <si>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</si>
  <si>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</si>
  <si>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</si>
  <si>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</si>
  <si>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</si>
  <si>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</si>
  <si>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</si>
  <si>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</si>
  <si>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</si>
  <si>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</si>
  <si>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</si>
  <si>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</si>
  <si>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</si>
  <si>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</si>
  <si>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</si>
  <si>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</si>
  <si>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</si>
  <si>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</si>
  <si>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</si>
  <si>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</si>
  <si>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</si>
  <si>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</si>
  <si>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</si>
  <si>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</si>
  <si>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</si>
  <si>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</si>
  <si>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</si>
  <si>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</si>
  <si>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</si>
  <si>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</si>
  <si>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</si>
  <si>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</si>
  <si>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</si>
  <si>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</si>
  <si>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</si>
  <si>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</si>
  <si>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</si>
  <si>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</si>
  <si>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</si>
  <si>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</si>
  <si>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</si>
  <si>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</si>
  <si>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</si>
  <si>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</si>
  <si>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</si>
  <si>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</si>
  <si>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</si>
  <si>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</si>
  <si>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</si>
  <si>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</si>
  <si>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</si>
  <si>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</si>
  <si>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</si>
  <si>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</si>
  <si>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</si>
  <si>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</si>
  <si>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</si>
  <si>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</si>
  <si>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</si>
  <si>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</si>
  <si>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</si>
  <si>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</si>
  <si>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</si>
  <si>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</si>
  <si>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</si>
  <si>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</si>
  <si>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</si>
  <si>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</si>
  <si>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</si>
  <si>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</si>
  <si>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</si>
  <si>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</si>
  <si>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</si>
  <si>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</si>
  <si>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</si>
  <si>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</si>
  <si>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</si>
  <si>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</si>
  <si>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</si>
  <si>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</si>
  <si>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</si>
  <si>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</si>
  <si>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</si>
  <si>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</si>
  <si>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</si>
  <si>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</si>
  <si>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</si>
  <si>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</si>
  <si>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</si>
  <si>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</si>
  <si>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</si>
  <si>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</si>
  <si>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</si>
  <si>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</si>
  <si>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</si>
  <si>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</si>
  <si>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</si>
  <si>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</si>
  <si>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</si>
  <si>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</si>
  <si>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</si>
  <si>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</si>
  <si>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</si>
  <si>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</si>
  <si>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</si>
  <si>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</si>
  <si>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</si>
  <si>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</si>
  <si>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</si>
  <si>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</si>
  <si>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</si>
  <si>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</si>
  <si>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</si>
  <si>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</si>
  <si>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</si>
  <si>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</si>
  <si>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</si>
  <si>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</si>
  <si>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</si>
  <si>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</si>
  <si>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</si>
  <si>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</si>
  <si>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</si>
  <si>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</si>
  <si>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</si>
  <si>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</si>
  <si>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</si>
  <si>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</si>
  <si>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</si>
  <si>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</si>
  <si>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</si>
  <si>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</si>
  <si>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</si>
  <si>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</si>
  <si>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</si>
  <si>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</si>
  <si>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</si>
  <si>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</si>
  <si>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</si>
  <si>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</si>
  <si>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</si>
  <si>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</si>
  <si>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</si>
  <si>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</si>
  <si>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</si>
  <si>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</si>
  <si>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</si>
  <si>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</si>
  <si>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</si>
  <si>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</si>
  <si>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</si>
  <si>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</si>
  <si>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</si>
  <si>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</si>
  <si>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</si>
  <si>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</si>
  <si>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</si>
  <si>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</si>
  <si>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</si>
  <si>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</si>
  <si>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</si>
  <si>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</si>
  <si>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</si>
  <si>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</si>
  <si>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</si>
  <si>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</si>
  <si>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</si>
  <si>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</si>
  <si>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</si>
  <si>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</si>
  <si>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</si>
  <si>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</si>
  <si>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</si>
  <si>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</si>
  <si>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</si>
  <si>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</si>
  <si>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</si>
  <si>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</si>
  <si>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</si>
  <si>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</si>
  <si>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</si>
  <si>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</si>
  <si>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</si>
  <si>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</si>
  <si>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</si>
  <si>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</si>
  <si>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</si>
  <si>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</si>
  <si>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</si>
  <si>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</si>
  <si>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</si>
  <si>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</si>
  <si>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</si>
  <si>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</si>
  <si>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</si>
  <si>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</si>
  <si>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</si>
  <si>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</si>
  <si>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</si>
  <si>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</si>
  <si>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</si>
  <si>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</si>
  <si>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</si>
  <si>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</si>
  <si>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</si>
  <si>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</si>
  <si>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</si>
  <si>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</si>
  <si>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</si>
  <si>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</si>
  <si>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</si>
  <si>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</si>
  <si>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</si>
  <si>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</si>
  <si>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</si>
  <si>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</si>
  <si>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</si>
  <si>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</si>
  <si>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</si>
  <si>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</si>
  <si>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</si>
  <si>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</si>
  <si>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</si>
  <si>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</si>
  <si>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</si>
  <si>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</si>
  <si>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</si>
  <si>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</si>
  <si>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</si>
  <si>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</si>
  <si>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</si>
  <si>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</si>
  <si>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</si>
  <si>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</si>
  <si>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</si>
  <si>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</si>
  <si>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</si>
  <si>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</si>
  <si>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</si>
  <si>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</si>
  <si>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</si>
  <si>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</si>
  <si>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</si>
  <si>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</si>
  <si>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</si>
  <si>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</si>
  <si>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</si>
  <si>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</si>
  <si>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</si>
  <si>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</si>
  <si>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</si>
  <si>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</si>
  <si>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</si>
  <si>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</si>
  <si>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</si>
  <si>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</si>
  <si>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</si>
  <si>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</si>
  <si>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</si>
  <si>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</si>
  <si>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</si>
  <si>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</si>
  <si>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</si>
  <si>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</si>
  <si>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</si>
  <si>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</si>
  <si>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</si>
  <si>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</si>
  <si>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</si>
  <si>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</si>
  <si>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</si>
  <si>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</si>
  <si>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</si>
  <si>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</si>
  <si>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</si>
  <si>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</si>
  <si>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</si>
  <si>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</si>
  <si>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</si>
  <si>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</si>
  <si>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</si>
  <si>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</si>
  <si>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</si>
  <si>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</si>
  <si>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</si>
  <si>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</si>
  <si>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</si>
  <si>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</si>
  <si>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</si>
  <si>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</si>
  <si>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</si>
  <si>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</si>
  <si>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</si>
  <si>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</si>
  <si>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</si>
  <si>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</si>
  <si>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</si>
  <si>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</si>
  <si>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</si>
  <si>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</si>
  <si>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</si>
  <si>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</si>
  <si>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</si>
  <si>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</si>
  <si>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</si>
  <si>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</si>
  <si>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</si>
  <si>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</si>
  <si>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</si>
  <si>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</si>
  <si>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</si>
  <si>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</si>
  <si>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</si>
  <si>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</si>
  <si>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</si>
  <si>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</si>
  <si>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</si>
  <si>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</si>
  <si>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</si>
  <si>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</si>
  <si>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</si>
  <si>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</si>
  <si>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</si>
  <si>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</si>
  <si>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</si>
  <si>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</si>
  <si>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</si>
  <si>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</si>
  <si>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</si>
  <si>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</si>
  <si>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</si>
  <si>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</si>
  <si>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</si>
  <si>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</si>
  <si>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</si>
  <si>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</si>
  <si>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</si>
  <si>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</si>
  <si>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</si>
  <si>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</si>
  <si>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</si>
  <si>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</si>
  <si>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</si>
  <si>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</si>
  <si>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</si>
  <si>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</si>
  <si>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</si>
  <si>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</si>
  <si>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</si>
  <si>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</si>
  <si>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</si>
  <si>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</si>
  <si>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</si>
  <si>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</si>
  <si>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</si>
  <si>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</si>
  <si>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</si>
  <si>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</si>
  <si>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</si>
  <si>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</si>
  <si>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</si>
  <si>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</si>
  <si>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</si>
  <si>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</si>
  <si>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</si>
  <si>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</si>
  <si>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</si>
  <si>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</si>
  <si>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</si>
  <si>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</si>
  <si>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</si>
  <si>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</si>
  <si>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</si>
  <si>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</si>
  <si>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</si>
  <si>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</si>
  <si>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</si>
  <si>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</si>
  <si>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</si>
  <si>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</si>
  <si>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</si>
  <si>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</si>
  <si>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</si>
  <si>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</si>
  <si>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</si>
  <si>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</si>
  <si>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</si>
  <si>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</si>
  <si>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</si>
  <si>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</si>
  <si>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</si>
  <si>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</si>
  <si>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</si>
  <si>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</si>
  <si>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</si>
  <si>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</si>
  <si>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</si>
  <si>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</si>
  <si>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</si>
  <si>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</si>
  <si>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</si>
  <si>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</si>
  <si>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</si>
  <si>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</si>
  <si>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</si>
  <si>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</si>
  <si>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</si>
  <si>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</si>
  <si>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</si>
  <si>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</si>
  <si>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</si>
  <si>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</si>
  <si>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</si>
  <si>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</si>
  <si>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</si>
  <si>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</si>
  <si>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</si>
  <si>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</si>
  <si>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</si>
  <si>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</si>
  <si>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</si>
  <si>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</si>
  <si>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</si>
  <si>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</si>
  <si>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</si>
  <si>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</si>
  <si>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</si>
  <si>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</si>
  <si>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</si>
  <si>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</si>
  <si>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</si>
  <si>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</si>
  <si>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</si>
  <si>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</si>
  <si>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</si>
  <si>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</si>
  <si>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</si>
  <si>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</si>
  <si>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</si>
  <si>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</si>
  <si>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</si>
  <si>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</si>
  <si>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</si>
  <si>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</si>
  <si>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</si>
  <si>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</si>
  <si>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</si>
  <si>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</si>
  <si>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</si>
  <si>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</si>
  <si>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</si>
  <si>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</si>
  <si>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</si>
  <si>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</si>
  <si>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</si>
  <si>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</si>
  <si>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</si>
  <si>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</si>
  <si>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</si>
  <si>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</si>
  <si>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</si>
  <si>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</si>
  <si>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</si>
  <si>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</si>
  <si>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</si>
  <si>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</si>
  <si>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</si>
  <si>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</si>
  <si>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</si>
  <si>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</si>
  <si>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</si>
  <si>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</si>
  <si>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</si>
  <si>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</si>
  <si>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</si>
  <si>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</si>
  <si>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</si>
  <si>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</si>
  <si>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</si>
  <si>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</si>
  <si>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</si>
  <si>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</si>
  <si>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</si>
  <si>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</si>
  <si>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</si>
  <si>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</si>
  <si>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</si>
  <si>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</si>
  <si>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</si>
  <si>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</si>
  <si>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</si>
  <si>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</si>
  <si>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</si>
  <si>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</si>
  <si>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</si>
  <si>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</si>
  <si>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</si>
  <si>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</si>
  <si>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</si>
  <si>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</si>
  <si>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</si>
  <si>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</si>
  <si>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</si>
  <si>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</si>
  <si>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</si>
  <si>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</si>
  <si>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</si>
  <si>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</si>
  <si>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</si>
  <si>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</si>
  <si>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</si>
  <si>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</si>
  <si>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</si>
  <si>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</si>
  <si>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</si>
  <si>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</si>
  <si>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</si>
  <si>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</si>
  <si>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</si>
  <si>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</si>
  <si>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</si>
  <si>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</si>
  <si>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</si>
  <si>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</si>
  <si>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</si>
  <si>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</si>
  <si>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</si>
  <si>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</si>
  <si>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</si>
  <si>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</si>
  <si>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</si>
  <si>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</si>
  <si>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</si>
  <si>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</si>
  <si>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</si>
  <si>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</si>
  <si>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</si>
  <si>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</si>
  <si>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</si>
  <si>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</si>
  <si>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</si>
  <si>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</si>
  <si>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</si>
  <si>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</si>
  <si>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</si>
  <si>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</si>
  <si>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</si>
  <si>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</si>
  <si>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</si>
  <si>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</si>
  <si>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</si>
  <si>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</si>
  <si>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</si>
  <si>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</si>
  <si>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</si>
  <si>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</si>
  <si>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</si>
  <si>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</si>
  <si>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</si>
  <si>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</si>
  <si>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</si>
  <si>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</si>
  <si>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</si>
  <si>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</si>
  <si>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</si>
  <si>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</si>
  <si>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</si>
  <si>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</si>
  <si>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</si>
  <si>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</si>
  <si>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</si>
  <si>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</si>
  <si>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</si>
  <si>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</si>
  <si>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</si>
  <si>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</si>
  <si>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</si>
  <si>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</si>
  <si>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</si>
  <si>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</si>
  <si>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</si>
  <si>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</si>
  <si>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</si>
  <si>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</si>
  <si>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</si>
  <si>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</si>
  <si>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</si>
  <si>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</si>
  <si>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</si>
  <si>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</si>
  <si>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</si>
  <si>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</si>
  <si>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</si>
  <si>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</si>
  <si>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</si>
  <si>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</si>
  <si>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</si>
  <si>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</si>
  <si>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</si>
  <si>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</si>
  <si>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</si>
  <si>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</si>
  <si>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</si>
  <si>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</si>
  <si>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</si>
  <si>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</si>
  <si>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</si>
  <si>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</si>
  <si>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</si>
  <si>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</si>
  <si>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</si>
  <si>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</si>
  <si>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</si>
  <si>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</si>
  <si>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</si>
  <si>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</si>
  <si>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</si>
  <si>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</si>
  <si>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</si>
  <si>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</si>
  <si>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</si>
  <si>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</si>
  <si>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</si>
  <si>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</si>
  <si>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</si>
  <si>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</si>
  <si>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</si>
  <si>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</si>
  <si>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</si>
  <si>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</si>
  <si>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</si>
  <si>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</si>
  <si>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</si>
  <si>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</si>
  <si>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</si>
  <si>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</si>
  <si>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</si>
  <si>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</si>
  <si>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</si>
  <si>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</si>
  <si>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</si>
  <si>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</si>
  <si>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</si>
  <si>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</si>
  <si>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</si>
  <si>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</si>
  <si>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</si>
  <si>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</si>
  <si>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</si>
  <si>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</si>
  <si>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</si>
  <si>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</si>
  <si>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</si>
  <si>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</si>
  <si>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</si>
  <si>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</si>
  <si>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</si>
  <si>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</si>
  <si>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</si>
  <si>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</si>
  <si>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</si>
  <si>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</si>
  <si>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</si>
  <si>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</si>
  <si>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</si>
  <si>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</si>
  <si>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</si>
  <si>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</si>
  <si>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</si>
  <si>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</si>
  <si>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</si>
  <si>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</si>
  <si>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</si>
  <si>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</si>
  <si>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</si>
  <si>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</si>
  <si>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</si>
  <si>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</si>
  <si>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</si>
  <si>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</si>
  <si>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</si>
  <si>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</si>
  <si>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</si>
  <si>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</si>
  <si>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</si>
  <si>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</si>
  <si>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</si>
  <si>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</si>
  <si>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</si>
  <si>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</si>
  <si>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</si>
  <si>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</si>
  <si>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</si>
  <si>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</si>
  <si>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</si>
  <si>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</si>
  <si>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</si>
  <si>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</si>
  <si>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</si>
  <si>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</si>
  <si>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</si>
  <si>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</si>
  <si>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</si>
  <si>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</si>
  <si>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</si>
  <si>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</si>
  <si>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</si>
  <si>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</si>
  <si>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</si>
  <si>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</si>
  <si>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</si>
  <si>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</si>
  <si>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</si>
  <si>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</si>
  <si>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</si>
  <si>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</si>
  <si>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</si>
  <si>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</si>
  <si>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</si>
  <si>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</si>
  <si>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</si>
  <si>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</si>
  <si>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</si>
  <si>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</si>
  <si>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</si>
  <si>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</si>
  <si>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</si>
  <si>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</si>
  <si>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</si>
  <si>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</si>
  <si>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</si>
  <si>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</si>
  <si>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</si>
  <si>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</si>
  <si>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</si>
  <si>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</si>
  <si>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</si>
  <si>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</si>
  <si>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</si>
  <si>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</si>
  <si>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</si>
  <si>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</si>
  <si>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</si>
  <si>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</si>
  <si>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</si>
  <si>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</si>
  <si>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</si>
  <si>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</si>
  <si>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</si>
  <si>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</si>
  <si>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</si>
  <si>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</si>
  <si>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</si>
  <si>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</si>
  <si>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</si>
  <si>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</si>
  <si>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</si>
  <si>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</si>
  <si>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</si>
  <si>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</si>
  <si>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</si>
  <si>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</si>
  <si>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</si>
  <si>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</si>
  <si>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</si>
  <si>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</si>
  <si>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</si>
  <si>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</si>
  <si>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</si>
  <si>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</si>
  <si>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</si>
  <si>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</si>
  <si>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</si>
  <si>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</si>
  <si>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</si>
  <si>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</si>
  <si>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</si>
  <si>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</si>
  <si>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</si>
  <si>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</si>
  <si>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</si>
  <si>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</si>
  <si>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</si>
  <si>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</si>
  <si>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</si>
  <si>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</si>
  <si>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</si>
  <si>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</si>
  <si>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</si>
  <si>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</si>
  <si>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</si>
  <si>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</si>
  <si>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</si>
  <si>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</si>
  <si>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</si>
  <si>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</si>
  <si>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</si>
  <si>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</si>
  <si>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</si>
  <si>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</si>
  <si>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</si>
  <si>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</si>
  <si>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</si>
  <si>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</si>
  <si>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</si>
  <si>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</si>
  <si>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</si>
  <si>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</si>
  <si>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</si>
  <si>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</si>
  <si>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</si>
  <si>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</si>
  <si>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</si>
  <si>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</si>
  <si>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</si>
  <si>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</si>
  <si>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</si>
  <si>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</si>
  <si>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</si>
  <si>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</si>
  <si>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</si>
  <si>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</si>
  <si>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</si>
  <si>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</si>
  <si>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</si>
  <si>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</si>
  <si>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</si>
  <si>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</si>
  <si>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</si>
  <si>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</si>
  <si>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</si>
  <si>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</si>
  <si>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</si>
  <si>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</si>
  <si>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</si>
  <si>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</si>
  <si>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</si>
  <si>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</si>
  <si>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</si>
  <si>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</si>
  <si>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</si>
  <si>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</si>
  <si>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</si>
  <si>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</si>
  <si>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</si>
  <si>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</si>
  <si>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</si>
  <si>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</si>
  <si>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</si>
  <si>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</si>
  <si>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</si>
  <si>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</si>
  <si>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</si>
  <si>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</si>
  <si>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</si>
  <si>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</si>
  <si>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</si>
  <si>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</si>
  <si>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</si>
  <si>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</si>
  <si>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</si>
  <si>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</si>
  <si>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</si>
  <si>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</si>
  <si>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</si>
  <si>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</si>
  <si>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</si>
  <si>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</si>
  <si>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</si>
  <si>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</si>
  <si>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</si>
  <si>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</si>
  <si>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</si>
  <si>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</si>
  <si>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</si>
  <si>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</si>
  <si>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</si>
  <si>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</si>
  <si>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</si>
  <si>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</si>
  <si>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</si>
  <si>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</si>
  <si>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</si>
  <si>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</si>
  <si>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</si>
  <si>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</si>
  <si>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</si>
  <si>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</si>
  <si>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</si>
  <si>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</si>
  <si>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</si>
  <si>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</si>
  <si>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</si>
  <si>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</si>
  <si>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</si>
  <si>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</si>
  <si>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</si>
  <si>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</si>
  <si>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</si>
  <si>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</si>
  <si>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</si>
  <si>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</si>
  <si>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</si>
  <si>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</si>
  <si>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</si>
  <si>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</si>
  <si>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</si>
  <si>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</si>
  <si>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</si>
  <si>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</si>
  <si>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</si>
  <si>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</si>
  <si>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</si>
  <si>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</si>
  <si>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</si>
  <si>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</si>
  <si>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</si>
  <si>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</si>
  <si>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</si>
  <si>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</si>
  <si>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</si>
  <si>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</si>
  <si>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</si>
  <si>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</si>
  <si>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</si>
  <si>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</si>
  <si>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</si>
  <si>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</si>
  <si>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</si>
  <si>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</si>
  <si>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</si>
  <si>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</si>
  <si>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</si>
  <si>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</si>
  <si>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</si>
  <si>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</si>
  <si>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</si>
  <si>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</si>
  <si>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</si>
  <si>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</si>
  <si>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</si>
  <si>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</si>
  <si>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</si>
  <si>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</si>
  <si>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</si>
  <si>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</si>
  <si>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</si>
  <si>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</si>
  <si>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</si>
  <si>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</si>
  <si>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</si>
  <si>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</si>
  <si>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</si>
  <si>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</si>
  <si>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</si>
  <si>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</si>
  <si>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</si>
  <si>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</si>
  <si>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</si>
  <si>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</si>
  <si>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</si>
  <si>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</si>
  <si>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</si>
  <si>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</si>
  <si>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</si>
  <si>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</si>
  <si>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</si>
  <si>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</si>
  <si>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</si>
  <si>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</si>
  <si>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</si>
  <si>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</si>
  <si>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</si>
  <si>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</si>
  <si>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</si>
  <si>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</si>
  <si>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</si>
  <si>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</si>
  <si>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</si>
  <si>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</si>
  <si>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</si>
  <si>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</si>
  <si>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</si>
  <si>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</si>
  <si>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</si>
  <si>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</si>
  <si>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</si>
  <si>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</si>
  <si>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</si>
  <si>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</si>
  <si>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</si>
  <si>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</si>
  <si>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</si>
  <si>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</si>
  <si>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</si>
  <si>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</si>
  <si>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</si>
  <si>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</si>
  <si>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</si>
  <si>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</si>
  <si>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</si>
  <si>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</si>
  <si>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</si>
  <si>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</si>
  <si>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</si>
  <si>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</si>
  <si>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</si>
  <si>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</si>
  <si>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</si>
  <si>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</si>
  <si>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</si>
  <si>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</si>
  <si>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</si>
  <si>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</si>
  <si>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</si>
  <si>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</si>
  <si>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</si>
  <si>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</si>
  <si>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</si>
  <si>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</si>
  <si>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</si>
  <si>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</si>
  <si>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</si>
  <si>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</si>
  <si>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</si>
  <si>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</si>
  <si>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</si>
  <si>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</si>
  <si>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</si>
  <si>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</si>
  <si>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</si>
  <si>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</si>
  <si>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</si>
  <si>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</si>
  <si>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</si>
  <si>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</si>
  <si>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</si>
  <si>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</si>
  <si>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</si>
  <si>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</si>
  <si>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</si>
  <si>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</si>
  <si>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</si>
  <si>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</si>
  <si>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</si>
  <si>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</si>
  <si>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</si>
  <si>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</si>
  <si>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</si>
  <si>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</si>
  <si>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</si>
  <si>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</si>
  <si>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</si>
  <si>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</si>
  <si>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</si>
  <si>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</si>
  <si>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</si>
  <si>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</si>
  <si>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</si>
  <si>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</si>
  <si>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</si>
  <si>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</si>
  <si>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</si>
  <si>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</si>
  <si>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</si>
  <si>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</si>
  <si>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</si>
  <si>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</si>
  <si>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</si>
  <si>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</si>
  <si>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</si>
  <si>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</si>
  <si>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</si>
  <si>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</si>
  <si>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</si>
  <si>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</si>
  <si>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</si>
  <si>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</si>
  <si>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</si>
  <si>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</si>
  <si>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</si>
  <si>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</si>
  <si>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</si>
  <si>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</si>
  <si>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</si>
  <si>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</si>
  <si>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</si>
  <si>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</si>
  <si>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</si>
  <si>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</si>
  <si>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</si>
  <si>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</si>
  <si>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</si>
  <si>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</si>
  <si>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</si>
  <si>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</si>
  <si>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</si>
  <si>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</si>
  <si>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</si>
  <si>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</si>
  <si>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</si>
  <si>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</si>
  <si>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</si>
  <si>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</si>
  <si>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</si>
  <si>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</si>
  <si>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</si>
  <si>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</si>
  <si>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</si>
  <si>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</si>
  <si>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</si>
  <si>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</si>
  <si>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</si>
  <si>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</si>
  <si>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</si>
  <si>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</si>
  <si>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</si>
  <si>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</si>
  <si>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</si>
  <si>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</si>
  <si>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</si>
  <si>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</si>
  <si>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</si>
  <si>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</si>
  <si>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</si>
  <si>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</si>
  <si>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</si>
  <si>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</si>
  <si>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</si>
  <si>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</si>
  <si>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</si>
  <si>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</si>
  <si>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</si>
  <si>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</si>
  <si>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</si>
  <si>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</si>
  <si>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</si>
  <si>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</si>
  <si>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</si>
  <si>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</si>
  <si>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</si>
  <si>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</si>
  <si>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</si>
  <si>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</si>
  <si>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</si>
  <si>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</si>
  <si>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</si>
  <si>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</si>
  <si>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</si>
  <si>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</si>
  <si>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</si>
  <si>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</si>
  <si>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</si>
  <si>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</si>
  <si>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</si>
  <si>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</si>
  <si>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</si>
  <si>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</si>
  <si>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</si>
  <si>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</si>
  <si>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</si>
  <si>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</si>
  <si>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</si>
  <si>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</si>
  <si>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</si>
  <si>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</si>
  <si>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</si>
  <si>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</si>
  <si>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</si>
  <si>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</si>
  <si>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</si>
  <si>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</si>
  <si>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</si>
  <si>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</si>
  <si>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</si>
  <si>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</si>
  <si>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</si>
  <si>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</si>
  <si>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</si>
  <si>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</si>
  <si>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</si>
  <si>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</si>
  <si>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</si>
  <si>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</si>
  <si>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</si>
  <si>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</si>
  <si>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</si>
  <si>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</si>
  <si>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</si>
  <si>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</si>
  <si>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</si>
  <si>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</si>
  <si>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</si>
  <si>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</si>
  <si>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</si>
  <si>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</si>
  <si>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</si>
  <si>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</si>
  <si>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</si>
  <si>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</si>
  <si>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</si>
  <si>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</si>
  <si>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</si>
  <si>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</si>
  <si>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</si>
  <si>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</si>
  <si>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</si>
  <si>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</si>
  <si>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</si>
  <si>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</si>
  <si>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</si>
  <si>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</si>
  <si>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</si>
  <si>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</si>
  <si>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</si>
  <si>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</si>
  <si>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</si>
  <si>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</si>
  <si>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</si>
  <si>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</si>
  <si>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</si>
  <si>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</si>
  <si>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</si>
  <si>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</si>
  <si>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</si>
  <si>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</si>
  <si>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</si>
  <si>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</si>
  <si>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</si>
  <si>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</si>
  <si>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</si>
  <si>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</si>
  <si>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</si>
  <si>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</si>
  <si>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</si>
  <si>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</si>
  <si>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</si>
  <si>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</si>
  <si>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</si>
  <si>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</si>
  <si>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</si>
  <si>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</si>
  <si>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</si>
  <si>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</si>
  <si>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</si>
  <si>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</si>
  <si>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</si>
  <si>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</si>
  <si>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</si>
  <si>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</si>
  <si>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</si>
  <si>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</si>
  <si>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</si>
  <si>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</si>
  <si>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</si>
  <si>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</si>
  <si>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</si>
  <si>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</si>
  <si>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</si>
  <si>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</si>
  <si>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</si>
  <si>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</si>
  <si>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</si>
  <si>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</si>
  <si>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</si>
  <si>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</si>
  <si>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</si>
  <si>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</si>
  <si>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</si>
  <si>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</si>
  <si>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</si>
  <si>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</si>
  <si>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</si>
  <si>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</si>
  <si>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</si>
  <si>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</si>
  <si>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</si>
  <si>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</si>
  <si>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</si>
  <si>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</si>
  <si>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</si>
  <si>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</si>
  <si>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</si>
  <si>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</si>
  <si>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</si>
  <si>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</si>
  <si>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</si>
  <si>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</si>
  <si>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</si>
  <si>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</si>
  <si>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</si>
  <si>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</si>
  <si>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</si>
  <si>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</si>
  <si>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</si>
  <si>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</si>
  <si>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</si>
  <si>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</si>
  <si>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</si>
  <si>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</si>
  <si>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</si>
  <si>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</si>
  <si>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</si>
  <si>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</si>
  <si>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</si>
  <si>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</si>
  <si>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</si>
  <si>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</si>
  <si>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</si>
  <si>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</si>
  <si>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</si>
  <si>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</si>
  <si>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</si>
  <si>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</si>
  <si>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</si>
  <si>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</si>
  <si>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</si>
  <si>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</si>
  <si>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</si>
  <si>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</si>
  <si>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</si>
  <si>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</si>
  <si>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</si>
  <si>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</si>
  <si>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</si>
  <si>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</si>
  <si>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</si>
  <si>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</si>
  <si>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</si>
  <si>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</si>
  <si>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</si>
  <si>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</si>
  <si>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</si>
  <si>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</si>
  <si>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</si>
  <si>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</si>
  <si>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</si>
  <si>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</si>
  <si>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</si>
  <si>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</si>
  <si>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</si>
  <si>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</si>
  <si>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</si>
  <si>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</si>
  <si>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</si>
  <si>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</si>
  <si>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</si>
  <si>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</si>
  <si>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</si>
  <si>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</si>
  <si>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</si>
  <si>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</si>
  <si>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</si>
  <si>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</si>
  <si>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</si>
  <si>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</si>
  <si>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</si>
  <si>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</si>
  <si>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</si>
  <si>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</si>
  <si>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</si>
  <si>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</si>
  <si>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</si>
  <si>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</si>
  <si>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</si>
  <si>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</si>
  <si>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</si>
  <si>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</si>
  <si>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</si>
  <si>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</si>
  <si>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</si>
  <si>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</si>
  <si>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</si>
  <si>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</si>
  <si>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</si>
  <si>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</si>
  <si>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</si>
  <si>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</si>
  <si>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</si>
  <si>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</si>
  <si>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</si>
  <si>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</si>
  <si>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</si>
  <si>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</si>
  <si>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</si>
  <si>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</si>
  <si>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</si>
  <si>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</si>
  <si>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</si>
  <si>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</si>
  <si>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</si>
  <si>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</si>
  <si>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</si>
  <si>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</si>
  <si>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</si>
  <si>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</si>
  <si>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</si>
  <si>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</si>
  <si>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</si>
  <si>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</si>
  <si>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</si>
  <si>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</si>
  <si>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</si>
  <si>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</si>
  <si>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</si>
  <si>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</si>
  <si>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</si>
  <si>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</si>
  <si>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</si>
  <si>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</si>
  <si>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</si>
  <si>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</si>
  <si>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</si>
  <si>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</si>
  <si>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</si>
  <si>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</si>
  <si>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</si>
  <si>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</si>
  <si>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</si>
  <si>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</si>
  <si>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</si>
  <si>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</si>
  <si>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</si>
  <si>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</si>
  <si>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</si>
  <si>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</si>
  <si>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</si>
  <si>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</si>
  <si>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</si>
  <si>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</si>
  <si>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</si>
  <si>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</si>
  <si>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</si>
  <si>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</si>
  <si>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</si>
  <si>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</si>
  <si>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</si>
  <si>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</si>
  <si>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</si>
  <si>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</si>
  <si>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</si>
  <si>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</si>
  <si>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</si>
  <si>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</si>
  <si>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</si>
  <si>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</si>
  <si>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</si>
  <si>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</si>
  <si>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</si>
  <si>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</si>
  <si>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</si>
  <si>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</si>
  <si>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</si>
  <si>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</si>
  <si>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</si>
  <si>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</si>
  <si>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</si>
  <si>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</si>
  <si>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</si>
  <si>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</si>
  <si>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</si>
  <si>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</si>
  <si>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</si>
  <si>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</si>
  <si>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</si>
  <si>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</si>
  <si>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</si>
  <si>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</si>
  <si>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</si>
  <si>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</si>
  <si>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</si>
  <si>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</si>
  <si>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</si>
  <si>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</si>
  <si>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</si>
  <si>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</si>
  <si>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</si>
  <si>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</si>
  <si>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</si>
  <si>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</si>
  <si>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</si>
  <si>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</si>
  <si>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</si>
  <si>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</si>
  <si>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</si>
  <si>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</si>
  <si>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</si>
  <si>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</si>
  <si>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</si>
  <si>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</si>
  <si>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</si>
  <si>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</si>
  <si>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</si>
  <si>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</si>
  <si>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</si>
  <si>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</si>
  <si>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</si>
  <si>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</si>
  <si>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</si>
  <si>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</si>
  <si>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</si>
  <si>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</si>
  <si>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</si>
  <si>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</si>
  <si>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</si>
  <si>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</si>
  <si>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</si>
  <si>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</si>
  <si>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</si>
  <si>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</si>
  <si>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</si>
  <si>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</si>
  <si>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</si>
  <si>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</si>
  <si>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</si>
  <si>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</si>
  <si>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</si>
  <si>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</si>
  <si>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</si>
  <si>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</si>
  <si>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</si>
  <si>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</si>
  <si>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</si>
  <si>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</si>
  <si>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</si>
  <si>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</si>
  <si>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</si>
  <si>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</si>
  <si>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</si>
  <si>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</si>
  <si>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</si>
  <si>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</si>
  <si>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</si>
  <si>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</si>
  <si>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</si>
  <si>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</si>
  <si>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</si>
  <si>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</si>
  <si>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</si>
  <si>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</si>
  <si>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</si>
  <si>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</si>
  <si>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</si>
  <si>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</si>
  <si>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</si>
  <si>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</si>
  <si>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</si>
  <si>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</si>
  <si>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</si>
  <si>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</si>
  <si>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</si>
  <si>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</si>
  <si>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</si>
  <si>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</si>
  <si>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</si>
  <si>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</si>
  <si>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</si>
  <si>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</si>
  <si>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</si>
  <si>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</si>
  <si>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</si>
  <si>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</si>
  <si>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</si>
  <si>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</si>
  <si>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</si>
  <si>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</si>
  <si>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</si>
  <si>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</si>
  <si>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</si>
  <si>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</si>
  <si>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</si>
  <si>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</si>
  <si>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</si>
  <si>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</si>
  <si>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</si>
  <si>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</si>
  <si>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</si>
  <si>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</si>
  <si>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</si>
  <si>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</si>
  <si>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</si>
  <si>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</si>
  <si>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</si>
  <si>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</si>
  <si>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</si>
  <si>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</si>
  <si>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</si>
  <si>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</si>
  <si>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</si>
  <si>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</si>
  <si>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</si>
  <si>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</si>
  <si>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</si>
  <si>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</si>
  <si>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</si>
  <si>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</si>
  <si>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</si>
  <si>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</si>
  <si>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</si>
  <si>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</si>
  <si>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</si>
  <si>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</si>
  <si>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</si>
  <si>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</si>
  <si>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</si>
  <si>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</si>
  <si>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</si>
  <si>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</si>
  <si>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</si>
  <si>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</si>
  <si>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</si>
  <si>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</si>
  <si>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</si>
  <si>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</si>
  <si>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</si>
  <si>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</si>
  <si>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</si>
  <si>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</si>
  <si>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</si>
  <si>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</si>
  <si>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</si>
  <si>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</si>
  <si>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</si>
  <si>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</si>
  <si>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</si>
  <si>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</si>
  <si>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</si>
  <si>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</si>
  <si>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</si>
  <si>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</si>
  <si>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</si>
  <si>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</si>
  <si>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</si>
  <si>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</si>
  <si>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</si>
  <si>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</si>
  <si>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</si>
  <si>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</si>
  <si>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</si>
  <si>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</si>
  <si>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</si>
  <si>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</si>
  <si>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</si>
  <si>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</si>
  <si>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</si>
  <si>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</si>
  <si>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</si>
  <si>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</si>
  <si>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</si>
  <si>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</si>
  <si>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</si>
  <si>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</si>
  <si>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</si>
  <si>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</si>
  <si>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</si>
  <si>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</si>
  <si>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</si>
  <si>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</si>
  <si>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</si>
  <si>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</si>
  <si>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</si>
  <si>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</si>
  <si>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</si>
  <si>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</si>
  <si>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</si>
  <si>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</si>
  <si>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</si>
  <si>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</si>
  <si>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</si>
  <si>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</si>
  <si>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</si>
  <si>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</si>
  <si>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</si>
  <si>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</si>
  <si>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</si>
  <si>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</si>
  <si>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</si>
  <si>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</si>
  <si>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</si>
  <si>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</si>
  <si>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</si>
  <si>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</si>
  <si>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</si>
  <si>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</si>
  <si>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</si>
  <si>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</si>
  <si>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</si>
  <si>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</si>
  <si>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</si>
  <si>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</si>
  <si>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</si>
  <si>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</si>
  <si>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</si>
  <si>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</si>
  <si>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</si>
  <si>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</si>
  <si>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</si>
  <si>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</si>
  <si>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</si>
  <si>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</si>
  <si>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</si>
  <si>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</si>
  <si>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</si>
  <si>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</si>
  <si>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</si>
  <si>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</si>
  <si>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</si>
  <si>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</si>
  <si>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</si>
  <si>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</si>
  <si>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</si>
  <si>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</si>
  <si>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</si>
  <si>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</si>
  <si>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</si>
  <si>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</si>
  <si>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</si>
  <si>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</si>
  <si>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</si>
  <si>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</si>
  <si>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</si>
  <si>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</si>
  <si>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</si>
  <si>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</si>
  <si>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</si>
  <si>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</si>
  <si>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</si>
  <si>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</si>
  <si>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</si>
  <si>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</si>
  <si>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</si>
  <si>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</si>
  <si>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</si>
  <si>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</si>
  <si>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</si>
  <si>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</si>
  <si>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</si>
  <si>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</si>
  <si>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</si>
  <si>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</si>
  <si>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</si>
  <si>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</si>
  <si>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</si>
  <si>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</si>
  <si>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</si>
  <si>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</si>
  <si>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</si>
  <si>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</si>
  <si>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</si>
  <si>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</si>
  <si>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</si>
  <si>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</si>
  <si>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</si>
  <si>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</si>
  <si>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</si>
  <si>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</si>
  <si>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</si>
  <si>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</si>
  <si>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</si>
  <si>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</si>
  <si>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</si>
  <si>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</si>
  <si>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</si>
  <si>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</si>
  <si>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</si>
  <si>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</si>
  <si>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</si>
  <si>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</si>
  <si>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</si>
  <si>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</si>
  <si>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</si>
  <si>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</si>
  <si>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</si>
  <si>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</si>
  <si>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</si>
  <si>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</si>
  <si>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</si>
  <si>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</si>
  <si>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</si>
  <si>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</si>
  <si>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</si>
  <si>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</si>
  <si>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</si>
  <si>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</si>
  <si>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</si>
  <si>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</si>
  <si>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</si>
  <si>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</si>
  <si>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</si>
  <si>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</si>
  <si>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</si>
  <si>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</si>
  <si>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</si>
  <si>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</si>
  <si>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</si>
  <si>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</si>
  <si>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</si>
  <si>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</si>
  <si>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</si>
  <si>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</si>
  <si>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</si>
  <si>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</si>
  <si>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</si>
  <si>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</si>
  <si>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</si>
  <si>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</si>
  <si>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</si>
  <si>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</si>
  <si>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</si>
  <si>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</si>
  <si>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</si>
  <si>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</si>
  <si>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</si>
  <si>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</si>
  <si>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</si>
  <si>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</si>
  <si>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</si>
  <si>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</si>
  <si>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</si>
  <si>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</si>
  <si>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</si>
  <si>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</si>
  <si>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</si>
  <si>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</si>
  <si>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</si>
  <si>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</si>
  <si>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</si>
  <si>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</si>
  <si>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</si>
  <si>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</si>
  <si>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</si>
  <si>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</si>
  <si>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</si>
  <si>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</si>
  <si>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</si>
  <si>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</si>
  <si>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</si>
  <si>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</si>
  <si>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</si>
  <si>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</si>
  <si>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</si>
  <si>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</si>
  <si>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</si>
  <si>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</si>
  <si>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</si>
  <si>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</si>
  <si>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</si>
  <si>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</si>
  <si>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</si>
  <si>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</si>
  <si>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</si>
  <si>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</si>
  <si>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</si>
  <si>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</si>
  <si>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</si>
  <si>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</si>
  <si>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</si>
  <si>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</si>
  <si>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</si>
  <si>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</si>
  <si>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</si>
  <si>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</si>
  <si>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</si>
  <si>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</si>
  <si>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</si>
  <si>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</si>
  <si>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</si>
  <si>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</si>
  <si>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</si>
  <si>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</si>
  <si>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</si>
  <si>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</si>
  <si>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</si>
  <si>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</si>
  <si>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</si>
  <si>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</si>
  <si>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</si>
  <si>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</si>
  <si>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</si>
  <si>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</si>
  <si>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</si>
  <si>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</si>
  <si>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</si>
  <si>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</si>
  <si>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</si>
  <si>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</si>
  <si>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</si>
  <si>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</si>
  <si>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</si>
  <si>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</si>
  <si>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</si>
  <si>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</si>
  <si>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</si>
  <si>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</si>
  <si>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</si>
  <si>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</si>
  <si>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</si>
  <si>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</si>
  <si>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</si>
  <si>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</si>
  <si>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</si>
  <si>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</si>
  <si>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</si>
  <si>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</si>
  <si>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</si>
  <si>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</si>
  <si>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</si>
  <si>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</si>
  <si>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</si>
  <si>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</si>
  <si>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</si>
  <si>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</si>
  <si>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</si>
  <si>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</si>
  <si>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</si>
  <si>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</si>
  <si>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</si>
  <si>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</si>
  <si>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</si>
  <si>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</si>
  <si>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</si>
  <si>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</si>
  <si>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</si>
  <si>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</si>
  <si>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</si>
  <si>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</si>
  <si>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</si>
  <si>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</si>
  <si>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</si>
  <si>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</si>
  <si>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</si>
  <si>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</si>
  <si>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</si>
  <si>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</si>
  <si>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</si>
  <si>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</si>
  <si>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</si>
  <si>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</si>
  <si>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</si>
  <si>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</si>
  <si>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</si>
  <si>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</si>
  <si>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</si>
  <si>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</si>
  <si>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</si>
  <si>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</si>
  <si>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</si>
  <si>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</si>
  <si>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</si>
  <si>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</si>
  <si>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</si>
  <si>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</si>
  <si>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</si>
  <si>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</si>
  <si>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</si>
  <si>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</si>
  <si>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</si>
  <si>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</si>
  <si>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</si>
  <si>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</si>
  <si>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</si>
  <si>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</si>
  <si>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</si>
  <si>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</si>
  <si>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</si>
  <si>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</si>
  <si>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</si>
  <si>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</si>
  <si>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</si>
  <si>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</si>
  <si>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</si>
  <si>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</si>
  <si>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</si>
  <si>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</si>
  <si>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</si>
  <si>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</si>
  <si>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</si>
  <si>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</si>
  <si>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</si>
  <si>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</si>
  <si>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</si>
  <si>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</si>
  <si>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</si>
  <si>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</si>
  <si>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</si>
  <si>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</si>
  <si>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</si>
  <si>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</si>
  <si>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</si>
  <si>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</si>
  <si>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</si>
  <si>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</si>
  <si>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</si>
  <si>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</si>
  <si>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</si>
  <si>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</si>
  <si>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</si>
  <si>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</si>
  <si>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</si>
  <si>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</si>
  <si>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</si>
  <si>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</si>
  <si>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</si>
  <si>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</si>
  <si>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</si>
  <si>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</si>
  <si>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</si>
  <si>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</si>
  <si>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</si>
  <si>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</si>
  <si>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</si>
  <si>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</si>
  <si>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</si>
  <si>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</si>
  <si>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</si>
  <si>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</si>
  <si>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</si>
  <si>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</si>
  <si>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</si>
  <si>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</si>
  <si>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</si>
  <si>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</si>
  <si>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</si>
  <si>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</si>
  <si>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</si>
  <si>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</si>
  <si>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</si>
  <si>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</si>
  <si>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</si>
  <si>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</si>
  <si>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</si>
  <si>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</si>
  <si>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</si>
  <si>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</si>
  <si>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</si>
  <si>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</si>
  <si>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</si>
  <si>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</si>
  <si>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</si>
  <si>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</si>
  <si>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</si>
  <si>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</si>
  <si>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</si>
  <si>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</si>
  <si>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</si>
  <si>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</si>
  <si>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</si>
  <si>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</si>
  <si>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</si>
  <si>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</si>
  <si>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</si>
  <si>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</si>
  <si>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</si>
  <si>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</si>
  <si>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</si>
  <si>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</si>
  <si>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</si>
  <si>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</si>
  <si>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</si>
  <si>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</si>
  <si>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</si>
  <si>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</si>
  <si>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</si>
  <si>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</si>
  <si>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</si>
  <si>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</si>
  <si>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</si>
  <si>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</si>
  <si>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</si>
  <si>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</si>
  <si>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</si>
  <si>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</si>
  <si>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</si>
  <si>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</si>
  <si>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</si>
  <si>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</si>
  <si>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</si>
  <si>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</si>
  <si>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</si>
  <si>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</si>
  <si>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</si>
  <si>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</si>
  <si>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</si>
  <si>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</si>
  <si>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</si>
  <si>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</si>
  <si>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</si>
  <si>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</si>
  <si>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</si>
  <si>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</si>
  <si>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</si>
  <si>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</si>
  <si>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</si>
  <si>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</si>
  <si>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</si>
  <si>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</si>
  <si>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</si>
  <si>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</si>
  <si>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</si>
  <si>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</si>
  <si>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</si>
  <si>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</si>
  <si>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</si>
  <si>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</si>
  <si>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</si>
  <si>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</si>
  <si>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</si>
  <si>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</si>
  <si>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</si>
  <si>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</si>
  <si>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</si>
  <si>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</si>
  <si>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</si>
  <si>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</si>
  <si>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</si>
  <si>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</si>
  <si>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</si>
  <si>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</si>
  <si>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</si>
  <si>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</si>
  <si>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</si>
  <si>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</si>
  <si>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</si>
  <si>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</si>
  <si>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</si>
  <si>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</si>
  <si>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</si>
  <si>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</si>
  <si>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</si>
  <si>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</si>
  <si>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</si>
  <si>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</si>
  <si>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</si>
  <si>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</si>
  <si>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</si>
  <si>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</si>
  <si>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</si>
  <si>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</si>
  <si>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</si>
  <si>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</si>
  <si>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</si>
  <si>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</si>
  <si>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</si>
  <si>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</si>
  <si>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</si>
  <si>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</si>
  <si>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</si>
  <si>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</si>
  <si>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</si>
  <si>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</si>
  <si>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</si>
  <si>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</si>
  <si>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</si>
  <si>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</si>
  <si>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</si>
  <si>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</si>
  <si>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</si>
  <si>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</si>
  <si>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</si>
  <si>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</si>
  <si>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</si>
  <si>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</si>
  <si>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</si>
  <si>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</si>
  <si>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</si>
  <si>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</si>
  <si>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</si>
  <si>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</si>
  <si>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</si>
  <si>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</si>
  <si>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</si>
  <si>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</si>
  <si>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</si>
  <si>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</si>
  <si>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</si>
  <si>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</si>
  <si>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</si>
  <si>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</si>
  <si>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</si>
  <si>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</si>
  <si>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</si>
  <si>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</si>
  <si>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</si>
  <si>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</si>
  <si>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</si>
  <si>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</si>
  <si>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</si>
  <si>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</si>
  <si>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</si>
  <si>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</si>
  <si>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</si>
  <si>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</si>
  <si>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</si>
  <si>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</si>
  <si>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</si>
  <si>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</si>
  <si>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</si>
  <si>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</si>
  <si>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</si>
  <si>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</si>
  <si>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</si>
  <si>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</si>
  <si>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</si>
  <si>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</si>
  <si>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</si>
  <si>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</si>
  <si>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</si>
  <si>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</si>
  <si>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</si>
  <si>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</si>
  <si>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</si>
  <si>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</si>
  <si>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</si>
  <si>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</si>
  <si>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</si>
  <si>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</si>
  <si>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</si>
  <si>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</si>
  <si>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</si>
  <si>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</si>
  <si>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</si>
  <si>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</si>
  <si>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</si>
  <si>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</si>
  <si>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</si>
  <si>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</si>
  <si>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</si>
  <si>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</si>
  <si>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</si>
  <si>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</si>
  <si>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</si>
  <si>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</si>
  <si>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</si>
  <si>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</si>
  <si>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</si>
  <si>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</si>
  <si>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</si>
  <si>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2143072#1</t>
  </si>
  <si>
    <t>suministro de obras</t>
  </si>
  <si>
    <t>942879#1</t>
  </si>
  <si>
    <t>MoRPH Argentina</t>
  </si>
  <si>
    <t>1746171#1</t>
  </si>
  <si>
    <t>ARS Technologies</t>
  </si>
  <si>
    <t>1209330#1</t>
  </si>
  <si>
    <t>Construcmaderas</t>
  </si>
  <si>
    <t>1143647#1</t>
  </si>
  <si>
    <t>Huge</t>
  </si>
  <si>
    <t>752966#2</t>
  </si>
  <si>
    <t>Intenisa</t>
  </si>
  <si>
    <t>3048020#1</t>
  </si>
  <si>
    <t>Ola</t>
  </si>
  <si>
    <t>1548843#1</t>
  </si>
  <si>
    <t>Blau</t>
  </si>
  <si>
    <t>1748428#2</t>
  </si>
  <si>
    <t>todoloquebusco</t>
  </si>
  <si>
    <t>1591630#1</t>
  </si>
  <si>
    <t>Uniples S.A.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</si>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</sst>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1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29f7f8ba-12a6-4907-904f-b450499c772c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2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m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m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09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m/>
      </sharedItems>
    </cacheField>
    <cacheField name="Country" numFmtId="0">
      <sharedItems containsBlank="1">
        <s v="Paraguay"/>
        <s v="Chile"/>
        <s v="Colombia"/>
        <s v="Argentina"/>
        <s v="Bolivia"/>
        <s v="Peru"/>
        <s v="Ecuador"/>
        <m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t="default"/>
      </items>
    </pivotField>
    <pivotField name="Country" axis="axisRow" dataField="1" compact="0" outline="0" multipleItemSelectionAllowed="1" showAll="0" sortType="ascending">
      <items>
        <item x="7"/>
        <item x="3"/>
        <item x="4"/>
        <item x="1"/>
        <item x="2"/>
        <item x="6"/>
        <item x="0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2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09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29f7f8ba-12a6-4907-904f-b450499c772c}" id="{511efc4d-d566-4c80-b519-0ef0e970acac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24</v>
      </c>
      <c r="F19" s="246">
        <f t="shared" ref="F19:F21" si="1">C19-E19</f>
        <v>6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34</v>
      </c>
      <c r="L19" s="33">
        <f t="shared" ref="L19:L23" si="2">I19-K19</f>
        <v>-29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4</v>
      </c>
      <c r="F20" s="246">
        <f t="shared" si="1"/>
        <v>11</v>
      </c>
      <c r="G20" s="10"/>
      <c r="H20" s="22" t="s">
        <v>18</v>
      </c>
      <c r="I20" s="36">
        <v>10.0</v>
      </c>
      <c r="J20" s="10"/>
      <c r="K20" s="33">
        <f>SUMIF($K$4:$K$17, H20,$L$4:$L$17)</f>
        <v>5</v>
      </c>
      <c r="L20" s="33">
        <f t="shared" si="2"/>
        <v>5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-2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12</v>
      </c>
      <c r="L21" s="33">
        <f t="shared" si="2"/>
        <v>8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15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3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-18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 t="s">
        <v>21</v>
      </c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 t="s">
        <v>27</v>
      </c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 t="s">
        <v>27</v>
      </c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 t="s">
        <v>23</v>
      </c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 t="s">
        <v>21</v>
      </c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/>
      <c r="J36" s="380">
        <v>46175.0</v>
      </c>
      <c r="K36" s="294" t="s">
        <v>3811</v>
      </c>
      <c r="L36" s="294" t="s">
        <v>3812</v>
      </c>
      <c r="M36" s="396" t="s">
        <v>18</v>
      </c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/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/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/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/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/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/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/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/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/>
      <c r="D51" s="373"/>
      <c r="E51" s="58"/>
      <c r="F51" s="58" t="s">
        <v>9</v>
      </c>
      <c r="G51" s="61"/>
      <c r="H51" s="269"/>
      <c r="J51" s="270">
        <v>46176.0</v>
      </c>
      <c r="K51" s="109" t="s">
        <v>3871</v>
      </c>
      <c r="L51" s="109" t="s">
        <v>3872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/>
      <c r="D52" s="373"/>
      <c r="E52" s="58"/>
      <c r="F52" s="58" t="s">
        <v>9</v>
      </c>
      <c r="G52" s="109"/>
      <c r="H52" s="298"/>
      <c r="J52" s="270">
        <v>46176.0</v>
      </c>
      <c r="K52" s="109" t="s">
        <v>3873</v>
      </c>
      <c r="L52" s="109" t="s">
        <v>3874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109"/>
      <c r="D53" s="373"/>
      <c r="E53" s="58"/>
      <c r="F53" s="58" t="s">
        <v>9</v>
      </c>
      <c r="G53" s="61"/>
      <c r="H53" s="269"/>
      <c r="J53" s="270">
        <v>46176.0</v>
      </c>
      <c r="K53" s="109" t="s">
        <v>3875</v>
      </c>
      <c r="L53" s="109" t="s">
        <v>3876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344"/>
      <c r="G54" s="61"/>
      <c r="H54" s="269"/>
      <c r="J54" s="403">
        <v>46176.0</v>
      </c>
      <c r="K54" s="294" t="s">
        <v>3877</v>
      </c>
      <c r="L54" s="294" t="s">
        <v>3878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344"/>
      <c r="G55" s="61"/>
      <c r="H55" s="269"/>
      <c r="J55" s="401">
        <v>46176.0</v>
      </c>
      <c r="K55" s="273" t="s">
        <v>3879</v>
      </c>
      <c r="L55" s="273" t="s">
        <v>3880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344"/>
      <c r="G56" s="61"/>
      <c r="H56" s="269"/>
      <c r="J56" s="403">
        <v>46176.0</v>
      </c>
      <c r="K56" s="294" t="s">
        <v>3881</v>
      </c>
      <c r="L56" s="294" t="s">
        <v>3882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344"/>
      <c r="G57" s="61"/>
      <c r="H57" s="269"/>
      <c r="J57" s="401">
        <v>46176.0</v>
      </c>
      <c r="K57" s="273" t="s">
        <v>3883</v>
      </c>
      <c r="L57" s="273" t="s">
        <v>3884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344"/>
      <c r="G58" s="61"/>
      <c r="H58" s="269"/>
      <c r="J58" s="403">
        <v>46176.0</v>
      </c>
      <c r="K58" s="294" t="s">
        <v>3885</v>
      </c>
      <c r="L58" s="294" t="s">
        <v>3886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344"/>
      <c r="G59" s="61"/>
      <c r="H59" s="269"/>
      <c r="J59" s="380">
        <v>46176.0</v>
      </c>
      <c r="K59" s="294" t="s">
        <v>3887</v>
      </c>
      <c r="L59" s="294" t="s">
        <v>3888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344"/>
      <c r="G60" s="61"/>
      <c r="H60" s="269"/>
      <c r="J60" s="382">
        <v>46176.0</v>
      </c>
      <c r="K60" s="273" t="s">
        <v>3889</v>
      </c>
      <c r="L60" s="273" t="s">
        <v>3890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344"/>
      <c r="G61" s="61"/>
      <c r="H61" s="269"/>
      <c r="J61" s="380">
        <v>46176.0</v>
      </c>
      <c r="K61" s="294" t="s">
        <v>3891</v>
      </c>
      <c r="L61" s="294" t="s">
        <v>3892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3893</v>
      </c>
      <c r="L62" s="273" t="s">
        <v>3894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3895</v>
      </c>
      <c r="L63" s="294" t="s">
        <v>3896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3897</v>
      </c>
      <c r="L64" s="273" t="s">
        <v>3898</v>
      </c>
      <c r="M64" s="398"/>
      <c r="N64" s="431" t="s">
        <v>2338</v>
      </c>
      <c r="O64" s="109" t="s">
        <v>3899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3900</v>
      </c>
      <c r="L65" s="109" t="s">
        <v>3901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3902</v>
      </c>
      <c r="L66" s="109" t="s">
        <v>3903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3904</v>
      </c>
      <c r="L67" s="109" t="s">
        <v>3905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3906</v>
      </c>
      <c r="L68" s="109" t="s">
        <v>3907</v>
      </c>
      <c r="M68" s="58" t="s">
        <v>11</v>
      </c>
      <c r="N68" s="58" t="s">
        <v>20</v>
      </c>
      <c r="O68" s="109"/>
      <c r="P68" s="269"/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3908</v>
      </c>
      <c r="L69" s="109" t="s">
        <v>3909</v>
      </c>
      <c r="M69" s="58" t="s">
        <v>11</v>
      </c>
      <c r="N69" s="58" t="s">
        <v>20</v>
      </c>
      <c r="O69" s="61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3910</v>
      </c>
      <c r="L70" s="109" t="s">
        <v>3911</v>
      </c>
      <c r="M70" s="58" t="s">
        <v>11</v>
      </c>
      <c r="N70" s="58" t="s">
        <v>20</v>
      </c>
      <c r="O70" s="61"/>
      <c r="P70" s="269"/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3912</v>
      </c>
      <c r="L71" s="109" t="s">
        <v>3913</v>
      </c>
      <c r="M71" s="58" t="s">
        <v>21</v>
      </c>
      <c r="N71" s="58" t="s">
        <v>20</v>
      </c>
      <c r="O71" s="109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3914</v>
      </c>
      <c r="L72" s="109" t="s">
        <v>3915</v>
      </c>
      <c r="M72" s="58" t="s">
        <v>11</v>
      </c>
      <c r="N72" s="58" t="s">
        <v>20</v>
      </c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3916</v>
      </c>
      <c r="L73" s="109" t="s">
        <v>3917</v>
      </c>
      <c r="M73" s="58" t="s">
        <v>23</v>
      </c>
      <c r="N73" s="58" t="s">
        <v>20</v>
      </c>
      <c r="O73" s="61"/>
      <c r="P73" s="269" t="b">
        <v>0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3918</v>
      </c>
      <c r="L74" s="273" t="s">
        <v>3919</v>
      </c>
      <c r="M74" s="402" t="s">
        <v>11</v>
      </c>
      <c r="N74" s="402" t="s">
        <v>2337</v>
      </c>
      <c r="O74" s="109"/>
      <c r="P74" s="298"/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3920</v>
      </c>
      <c r="L75" s="294" t="s">
        <v>3921</v>
      </c>
      <c r="M75" s="391" t="s">
        <v>11</v>
      </c>
      <c r="N75" s="391" t="s">
        <v>2337</v>
      </c>
      <c r="O75" s="61"/>
      <c r="P75" s="269"/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3922</v>
      </c>
      <c r="L76" s="273" t="s">
        <v>3923</v>
      </c>
      <c r="M76" s="402" t="s">
        <v>11</v>
      </c>
      <c r="N76" s="402" t="s">
        <v>2337</v>
      </c>
      <c r="O76" s="61"/>
      <c r="P76" s="269"/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3924</v>
      </c>
      <c r="L77" s="294" t="s">
        <v>3925</v>
      </c>
      <c r="M77" s="391" t="s">
        <v>11</v>
      </c>
      <c r="N77" s="391" t="s">
        <v>2337</v>
      </c>
      <c r="O77" s="61"/>
      <c r="P77" s="269"/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3926</v>
      </c>
      <c r="L78" s="273" t="s">
        <v>3927</v>
      </c>
      <c r="M78" s="402" t="s">
        <v>11</v>
      </c>
      <c r="N78" s="402" t="s">
        <v>2337</v>
      </c>
      <c r="O78" s="61"/>
      <c r="P78" s="269"/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3928</v>
      </c>
      <c r="L79" s="294" t="s">
        <v>3929</v>
      </c>
      <c r="M79" s="391" t="s">
        <v>11</v>
      </c>
      <c r="N79" s="391" t="s">
        <v>2337</v>
      </c>
      <c r="O79" s="61"/>
      <c r="P79" s="269"/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3930</v>
      </c>
      <c r="L80" s="273" t="s">
        <v>3931</v>
      </c>
      <c r="M80" s="402" t="s">
        <v>11</v>
      </c>
      <c r="N80" s="402" t="s">
        <v>2337</v>
      </c>
      <c r="O80" s="61"/>
      <c r="P80" s="269"/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/>
      <c r="K85" s="109"/>
      <c r="L85" s="109"/>
      <c r="M85" s="58"/>
      <c r="N85" s="58"/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270"/>
      <c r="K87" s="109"/>
      <c r="L87" s="109"/>
      <c r="M87" s="58"/>
      <c r="N87" s="58"/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270"/>
      <c r="K92" s="109"/>
      <c r="L92" s="439"/>
      <c r="M92" s="271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270"/>
      <c r="K93" s="109"/>
      <c r="L93" s="440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270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0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447"/>
      <c r="C1003" s="447"/>
      <c r="D1003" s="447"/>
      <c r="E1003" s="447"/>
      <c r="F1003" s="447"/>
      <c r="G1003" s="447"/>
      <c r="H1003" s="447"/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09">
    <cfRule type="expression" dxfId="12" priority="14">
      <formula>COUNTIF(K:K, K1)&gt;1</formula>
    </cfRule>
  </conditionalFormatting>
  <conditionalFormatting sqref="L1 L23:L53 L55:L107 L110:L1009">
    <cfRule type="expression" dxfId="12" priority="15">
      <formula>COUNTIF(L:L, L1)&gt;1</formula>
    </cfRule>
  </conditionalFormatting>
  <conditionalFormatting sqref="S1 S8:S1009 AY14 AI15">
    <cfRule type="expression" dxfId="12" priority="16">
      <formula>COUNTIF(S:S, S1)&gt;1</formula>
    </cfRule>
  </conditionalFormatting>
  <conditionalFormatting sqref="T1 AJ1:AJ1009 AZ1:AZ1009 T8:T1009 AS11">
    <cfRule type="expression" dxfId="12" priority="17">
      <formula>COUNTIF(T:T, T1)&gt;1</formula>
    </cfRule>
  </conditionalFormatting>
  <conditionalFormatting sqref="AA1:AA1009 AQ1:AQ1009 BG1:BG1009 BH2 AY10 AR11">
    <cfRule type="expression" dxfId="12" priority="18">
      <formula>COUNTIF(AA:AA, AA1)&gt;1</formula>
    </cfRule>
  </conditionalFormatting>
  <conditionalFormatting sqref="AB1:AB1009 AR1:AR1009 BH1:BH1009 AZ10 AS11 AA32">
    <cfRule type="expression" dxfId="12" priority="19">
      <formula>COUNTIF(AB:AB, AB1)&gt;1</formula>
    </cfRule>
  </conditionalFormatting>
  <conditionalFormatting sqref="C1 S2:S7 AI2:AI4 AY2:AY4 C84:C89 C91:C124 C126:C1009">
    <cfRule type="expression" dxfId="12" priority="20">
      <formula>COUNTIF(C:C, C1)&gt;1</formula>
    </cfRule>
  </conditionalFormatting>
  <conditionalFormatting sqref="D1 T2:T7 AJ2:AJ362 AZ2:AZ368 AS11 D84:D89 D91:D124 D126:D1009">
    <cfRule type="expression" dxfId="12" priority="21">
      <formula>COUNTIF(D:D, D1)&gt;1</formula>
    </cfRule>
  </conditionalFormatting>
  <dataValidations>
    <dataValidation type="list" allowBlank="1" sqref="N2:N1009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2 G2:G1002 K2:L1009 O2:O1009"/>
    <dataValidation type="list" allowBlank="1" sqref="BI2:BI997 AS2:AS997 AC2:AC999 M2:M1009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2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2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2 J2:J1009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