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tc={d8255f6c-7bc5-4be0-bf90-1f4156741429}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d8255f6c-7bc5-4be0-bf90-1f4156741429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<sst xmlns="http://schemas.openxmlformats.org/spreadsheetml/2006/main" count="9335" uniqueCount="4187">
  <si>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</si>
  <si>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</si>
  <si>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</si>
  <si>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</si>
  <si>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</si>
  <si>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</si>
  <si>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</si>
  <si>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</si>
  <si>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</si>
  <si>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</si>
  <si>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</si>
  <si>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</si>
  <si>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</si>
  <si>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</si>
  <si>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</si>
  <si>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</si>
  <si>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</si>
  <si>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</si>
  <si>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</si>
  <si>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</si>
  <si>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</si>
  <si>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</si>
  <si>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</si>
  <si>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</si>
  <si>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</si>
  <si>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</si>
  <si>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</si>
  <si>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</si>
  <si>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</si>
  <si>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</si>
  <si>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</si>
  <si>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</si>
  <si>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</si>
  <si>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</si>
  <si>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</si>
  <si>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</si>
  <si>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</si>
  <si>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</si>
  <si>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</si>
  <si>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</si>
  <si>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</si>
  <si>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</si>
  <si>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</si>
  <si>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</si>
  <si>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</si>
  <si>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</si>
  <si>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</si>
  <si>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</si>
  <si>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</si>
  <si>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</si>
  <si>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</si>
  <si>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</si>
  <si>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</si>
  <si>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</si>
  <si>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</si>
  <si>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</si>
  <si>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</si>
  <si>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</si>
  <si>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</si>
  <si>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</si>
  <si>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</si>
  <si>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</si>
  <si>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</si>
  <si>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</si>
  <si>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</si>
  <si>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</si>
  <si>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</si>
  <si>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</si>
  <si>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</si>
  <si>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</si>
  <si>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</si>
  <si>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</si>
  <si>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</si>
  <si>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</si>
  <si>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</si>
  <si>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</si>
  <si>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</si>
  <si>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</si>
  <si>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</si>
  <si>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</si>
  <si>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</si>
  <si>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</si>
  <si>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</si>
  <si>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</si>
  <si>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</si>
  <si>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</si>
  <si>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</si>
  <si>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</si>
  <si>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</si>
  <si>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</si>
  <si>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</si>
  <si>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</si>
  <si>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</si>
  <si>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</si>
  <si>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</si>
  <si>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</si>
  <si>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</si>
  <si>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</si>
  <si>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</si>
  <si>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</si>
  <si>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</si>
  <si>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</si>
  <si>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</si>
  <si>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</si>
  <si>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</si>
  <si>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</si>
  <si>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</si>
  <si>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</si>
  <si>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</si>
  <si>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</si>
  <si>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</si>
  <si>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</si>
  <si>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</si>
  <si>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</si>
  <si>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</si>
  <si>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</si>
  <si>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</si>
  <si>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</si>
  <si>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</si>
  <si>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</si>
  <si>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</si>
  <si>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</si>
  <si>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</si>
  <si>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</si>
  <si>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</si>
  <si>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</si>
  <si>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</si>
  <si>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</si>
  <si>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</si>
  <si>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</si>
  <si>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</si>
  <si>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</si>
  <si>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</si>
  <si>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</si>
  <si>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</si>
  <si>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</si>
  <si>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</si>
  <si>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</si>
  <si>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</si>
  <si>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</si>
  <si>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</si>
  <si>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</si>
  <si>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</si>
  <si>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</si>
  <si>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</si>
  <si>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</si>
  <si>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</si>
  <si>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</si>
  <si>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</si>
  <si>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</si>
  <si>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</si>
  <si>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</si>
  <si>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</si>
  <si>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</si>
  <si>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</si>
  <si>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</si>
  <si>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</si>
  <si>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</si>
  <si>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</si>
  <si>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</si>
  <si>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</si>
  <si>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</si>
  <si>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</si>
  <si>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</si>
  <si>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</si>
  <si>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</si>
  <si>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</si>
  <si>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</si>
  <si>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</si>
  <si>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</si>
  <si>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</si>
  <si>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</si>
  <si>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</si>
  <si>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</si>
  <si>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</si>
  <si>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</si>
  <si>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</si>
  <si>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</si>
  <si>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</si>
  <si>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</si>
  <si>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</si>
  <si>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</si>
  <si>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</si>
  <si>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</si>
  <si>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</si>
  <si>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</si>
  <si>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</si>
  <si>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</si>
  <si>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</si>
  <si>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</si>
  <si>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</si>
  <si>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</si>
  <si>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</si>
  <si>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</si>
  <si>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</si>
  <si>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</si>
  <si>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</si>
  <si>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</si>
  <si>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</si>
  <si>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</si>
  <si>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</si>
  <si>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</si>
  <si>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</si>
  <si>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</si>
  <si>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</si>
  <si>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</si>
  <si>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</si>
  <si>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</si>
  <si>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</si>
  <si>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</si>
  <si>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</si>
  <si>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</si>
  <si>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</si>
  <si>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</si>
  <si>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</si>
  <si>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</si>
  <si>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</si>
  <si>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</si>
  <si>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</si>
  <si>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</si>
  <si>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</si>
  <si>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</si>
  <si>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</si>
  <si>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</si>
  <si>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</si>
  <si>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</si>
  <si>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</si>
  <si>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</si>
  <si>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</si>
  <si>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</si>
  <si>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</si>
  <si>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</si>
  <si>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</si>
  <si>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</si>
  <si>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</si>
  <si>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</si>
  <si>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</si>
  <si>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</si>
  <si>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</si>
  <si>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</si>
  <si>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</si>
  <si>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</si>
  <si>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</si>
  <si>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</si>
  <si>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</si>
  <si>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</si>
  <si>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</si>
  <si>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</si>
  <si>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</si>
  <si>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</si>
  <si>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</si>
  <si>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</si>
  <si>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</si>
  <si>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</si>
  <si>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</si>
  <si>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</si>
  <si>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</si>
  <si>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</si>
  <si>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</si>
  <si>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</si>
  <si>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</si>
  <si>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</si>
  <si>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</si>
  <si>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</si>
  <si>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</si>
  <si>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</si>
  <si>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</si>
  <si>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</si>
  <si>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</si>
  <si>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</si>
  <si>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</si>
  <si>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</si>
  <si>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</si>
  <si>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</si>
  <si>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</si>
  <si>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</si>
  <si>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</si>
  <si>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</si>
  <si>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</si>
  <si>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</si>
  <si>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</si>
  <si>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</si>
  <si>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</si>
  <si>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</si>
  <si>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</si>
  <si>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</si>
  <si>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</si>
  <si>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</si>
  <si>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</si>
  <si>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</si>
  <si>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</si>
  <si>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</si>
  <si>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</si>
  <si>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</si>
  <si>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</si>
  <si>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</si>
  <si>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</si>
  <si>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</si>
  <si>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</si>
  <si>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</si>
  <si>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</si>
  <si>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</si>
  <si>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</si>
  <si>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</si>
  <si>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</si>
  <si>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</si>
  <si>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</si>
  <si>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</si>
  <si>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</si>
  <si>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</si>
  <si>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</si>
  <si>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</si>
  <si>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</si>
  <si>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</si>
  <si>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</si>
  <si>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</si>
  <si>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</si>
  <si>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</si>
  <si>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</si>
  <si>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</si>
  <si>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</si>
  <si>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</si>
  <si>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</si>
  <si>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</si>
  <si>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</si>
  <si>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</si>
  <si>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</si>
  <si>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</si>
  <si>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</si>
  <si>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</si>
  <si>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</si>
  <si>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</si>
  <si>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</si>
  <si>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</si>
  <si>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</si>
  <si>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</si>
  <si>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</si>
  <si>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</si>
  <si>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</si>
  <si>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</si>
  <si>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</si>
  <si>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</si>
  <si>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</si>
  <si>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</si>
  <si>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</si>
  <si>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</si>
  <si>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</si>
  <si>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</si>
  <si>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</si>
  <si>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</si>
  <si>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</si>
  <si>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</si>
  <si>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</si>
  <si>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</si>
  <si>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</si>
  <si>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</si>
  <si>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</si>
  <si>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</si>
  <si>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</si>
  <si>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</si>
  <si>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</si>
  <si>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</si>
  <si>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</si>
  <si>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</si>
  <si>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</si>
  <si>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</si>
  <si>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</si>
  <si>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</si>
  <si>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</si>
  <si>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</si>
  <si>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</si>
  <si>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</si>
  <si>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</si>
  <si>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</si>
  <si>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</si>
  <si>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</si>
  <si>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</si>
  <si>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</si>
  <si>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</si>
  <si>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</si>
  <si>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</si>
  <si>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</si>
  <si>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</si>
  <si>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</si>
  <si>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</si>
  <si>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</si>
  <si>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</si>
  <si>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</si>
  <si>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</si>
  <si>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</si>
  <si>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</si>
  <si>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</si>
  <si>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</si>
  <si>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</si>
  <si>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</si>
  <si>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</si>
  <si>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</si>
  <si>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</si>
  <si>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</si>
  <si>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</si>
  <si>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</si>
  <si>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</si>
  <si>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</si>
  <si>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</si>
  <si>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</si>
  <si>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</si>
  <si>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</si>
  <si>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</si>
  <si>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</si>
  <si>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</si>
  <si>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</si>
  <si>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</si>
  <si>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</si>
  <si>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</si>
  <si>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</si>
  <si>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</si>
  <si>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</si>
  <si>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</si>
  <si>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</si>
  <si>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</si>
  <si>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</si>
  <si>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</si>
  <si>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</si>
  <si>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</si>
  <si>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</si>
  <si>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</si>
  <si>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</si>
  <si>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</si>
  <si>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</si>
  <si>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</si>
  <si>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</si>
  <si>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</si>
  <si>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</si>
  <si>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</si>
  <si>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</si>
  <si>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</si>
  <si>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</si>
  <si>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</si>
  <si>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</si>
  <si>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</si>
  <si>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</si>
  <si>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</si>
  <si>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</si>
  <si>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</si>
  <si>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</si>
  <si>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</si>
  <si>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</si>
  <si>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</si>
  <si>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</si>
  <si>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</si>
  <si>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</si>
  <si>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</si>
  <si>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</si>
  <si>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</si>
  <si>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</si>
  <si>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</si>
  <si>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</si>
  <si>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</si>
  <si>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</si>
  <si>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</si>
  <si>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</si>
  <si>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</si>
  <si>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</si>
  <si>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</si>
  <si>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</si>
  <si>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</si>
  <si>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</si>
  <si>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</si>
  <si>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</si>
  <si>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</si>
  <si>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</si>
  <si>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</si>
  <si>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</si>
  <si>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</si>
  <si>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</si>
  <si>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</si>
  <si>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</si>
  <si>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</si>
  <si>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</si>
  <si>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</si>
  <si>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</si>
  <si>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</si>
  <si>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</si>
  <si>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</si>
  <si>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</si>
  <si>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</si>
  <si>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</si>
  <si>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</si>
  <si>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</si>
  <si>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</si>
  <si>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</si>
  <si>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</si>
  <si>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</si>
  <si>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</si>
  <si>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</si>
  <si>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</si>
  <si>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</si>
  <si>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</si>
  <si>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</si>
  <si>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</si>
  <si>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</si>
  <si>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</si>
  <si>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</si>
  <si>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</si>
  <si>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</si>
  <si>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</si>
  <si>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</si>
  <si>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</si>
  <si>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</si>
  <si>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</si>
  <si>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</si>
  <si>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</si>
  <si>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</si>
  <si>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</si>
  <si>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</si>
  <si>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</si>
  <si>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</si>
  <si>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</si>
  <si>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</si>
  <si>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</si>
  <si>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</si>
  <si>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</si>
  <si>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</si>
  <si>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</si>
  <si>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</si>
  <si>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</si>
  <si>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</si>
  <si>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</si>
  <si>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</si>
  <si>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</si>
  <si>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</si>
  <si>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</si>
  <si>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</si>
  <si>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</si>
  <si>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</si>
  <si>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</si>
  <si>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</si>
  <si>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</si>
  <si>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</si>
  <si>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</si>
  <si>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</si>
  <si>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</si>
  <si>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</si>
  <si>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</si>
  <si>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</si>
  <si>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</si>
  <si>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</si>
  <si>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</si>
  <si>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</si>
  <si>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</si>
  <si>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</si>
  <si>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</si>
  <si>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</si>
  <si>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</si>
  <si>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</si>
  <si>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</si>
  <si>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</si>
  <si>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</si>
  <si>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</si>
  <si>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</si>
  <si>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</si>
  <si>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</si>
  <si>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</si>
  <si>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</si>
  <si>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</si>
  <si>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</si>
  <si>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</si>
  <si>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</si>
  <si>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</si>
  <si>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</si>
  <si>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</si>
  <si>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</si>
  <si>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</si>
  <si>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</si>
  <si>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</si>
  <si>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</si>
  <si>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</si>
  <si>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</si>
  <si>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</si>
  <si>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</si>
  <si>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</si>
  <si>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</si>
  <si>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</si>
  <si>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</si>
  <si>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</si>
  <si>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</si>
  <si>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</si>
  <si>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</si>
  <si>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</si>
  <si>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</si>
  <si>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</si>
  <si>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</si>
  <si>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</si>
  <si>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</si>
  <si>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</si>
  <si>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</si>
  <si>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</si>
  <si>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</si>
  <si>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</si>
  <si>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</si>
  <si>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</si>
  <si>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</si>
  <si>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</si>
  <si>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</si>
  <si>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</si>
  <si>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</si>
  <si>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</si>
  <si>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</si>
  <si>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</si>
  <si>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</si>
  <si>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</si>
  <si>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</si>
  <si>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</si>
  <si>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</si>
  <si>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</si>
  <si>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</si>
  <si>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</si>
  <si>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</si>
  <si>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</si>
  <si>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</si>
  <si>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</si>
  <si>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</si>
  <si>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</si>
  <si>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</si>
  <si>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</si>
  <si>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</si>
  <si>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</si>
  <si>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</si>
  <si>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</si>
  <si>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</si>
  <si>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</si>
  <si>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</si>
  <si>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</si>
  <si>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</si>
  <si>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</si>
  <si>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</si>
  <si>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</si>
  <si>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</si>
  <si>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</si>
  <si>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</si>
  <si>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</si>
  <si>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</si>
  <si>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</si>
  <si>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</si>
  <si>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</si>
  <si>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</si>
  <si>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</si>
  <si>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</si>
  <si>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</si>
  <si>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</si>
  <si>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</si>
  <si>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</si>
  <si>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</si>
  <si>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</si>
  <si>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</si>
  <si>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</si>
  <si>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</si>
  <si>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</si>
  <si>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</si>
  <si>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</si>
  <si>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</si>
  <si>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</si>
  <si>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</si>
  <si>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</si>
  <si>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</si>
  <si>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</si>
  <si>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</si>
  <si>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</si>
  <si>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</si>
  <si>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</si>
  <si>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</si>
  <si>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</si>
  <si>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</si>
  <si>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</si>
  <si>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</si>
  <si>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</si>
  <si>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</si>
  <si>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</si>
  <si>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</si>
  <si>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</si>
  <si>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</si>
  <si>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</si>
  <si>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</si>
  <si>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</si>
  <si>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</si>
  <si>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</si>
  <si>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</si>
  <si>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</si>
  <si>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</si>
  <si>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</si>
  <si>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</si>
  <si>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</si>
  <si>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</si>
  <si>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</si>
  <si>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</si>
  <si>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</si>
  <si>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</si>
  <si>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</si>
  <si>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</si>
  <si>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</si>
  <si>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</si>
  <si>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</si>
  <si>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</si>
  <si>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</si>
  <si>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</si>
  <si>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</si>
  <si>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</si>
  <si>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</si>
  <si>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</si>
  <si>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</si>
  <si>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</si>
  <si>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</si>
  <si>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</si>
  <si>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</si>
  <si>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</si>
  <si>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</si>
  <si>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</si>
  <si>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</si>
  <si>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</si>
  <si>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</si>
  <si>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</si>
  <si>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</si>
  <si>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</si>
  <si>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</si>
  <si>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</si>
  <si>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</si>
  <si>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</si>
  <si>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</si>
  <si>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</si>
  <si>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</si>
  <si>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</si>
  <si>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</si>
  <si>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</si>
  <si>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</si>
  <si>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</si>
  <si>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</si>
  <si>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</si>
  <si>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</si>
  <si>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</si>
  <si>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</si>
  <si>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</si>
  <si>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</si>
  <si>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</si>
  <si>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</si>
  <si>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</si>
  <si>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</si>
  <si>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</si>
  <si>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</si>
  <si>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</si>
  <si>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</si>
  <si>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</si>
  <si>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</si>
  <si>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</si>
  <si>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</si>
  <si>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</si>
  <si>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</si>
  <si>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</si>
  <si>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</si>
  <si>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</si>
  <si>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</si>
  <si>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</si>
  <si>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</si>
  <si>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</si>
  <si>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</si>
  <si>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</si>
  <si>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</si>
  <si>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</si>
  <si>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</si>
  <si>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</si>
  <si>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</si>
  <si>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</si>
  <si>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</si>
  <si>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</si>
  <si>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</si>
  <si>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</si>
  <si>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</si>
  <si>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</si>
  <si>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</si>
  <si>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</si>
  <si>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</si>
  <si>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</si>
  <si>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</si>
  <si>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</si>
  <si>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</si>
  <si>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</si>
  <si>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</si>
  <si>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</si>
  <si>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</si>
  <si>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</si>
  <si>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</si>
  <si>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</si>
  <si>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</si>
  <si>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</si>
  <si>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</si>
  <si>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</si>
  <si>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</si>
  <si>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</si>
  <si>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</si>
  <si>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</si>
  <si>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</si>
  <si>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</si>
  <si>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</si>
  <si>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</si>
  <si>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</si>
  <si>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</si>
  <si>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</si>
  <si>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</si>
  <si>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</si>
  <si>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</si>
  <si>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</si>
  <si>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</si>
  <si>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</si>
  <si>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</si>
  <si>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</si>
  <si>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</si>
  <si>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</si>
  <si>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</si>
  <si>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</si>
  <si>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</si>
  <si>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</si>
  <si>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</si>
  <si>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</si>
  <si>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</si>
  <si>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</si>
  <si>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</si>
  <si>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</si>
  <si>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</si>
  <si>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</si>
  <si>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</si>
  <si>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</si>
  <si>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</si>
  <si>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</si>
  <si>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</si>
  <si>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</si>
  <si>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</si>
  <si>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</si>
  <si>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</si>
  <si>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</si>
  <si>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</si>
  <si>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</si>
  <si>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</si>
  <si>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</si>
  <si>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</si>
  <si>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</si>
  <si>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</si>
  <si>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</si>
  <si>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</si>
  <si>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</si>
  <si>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</si>
  <si>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</si>
  <si>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</si>
  <si>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</si>
  <si>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</si>
  <si>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</si>
  <si>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</si>
  <si>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</si>
  <si>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</si>
  <si>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</si>
  <si>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</si>
  <si>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</si>
  <si>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</si>
  <si>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</si>
  <si>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</si>
  <si>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</si>
  <si>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</si>
  <si>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</si>
  <si>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</si>
  <si>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</si>
  <si>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</si>
  <si>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</si>
  <si>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</si>
  <si>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</si>
  <si>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</si>
  <si>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</si>
  <si>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</si>
  <si>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</si>
  <si>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</si>
  <si>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</si>
  <si>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</si>
  <si>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</si>
  <si>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</si>
  <si>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</si>
  <si>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</si>
  <si>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</si>
  <si>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</si>
  <si>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</si>
  <si>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</si>
  <si>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</si>
  <si>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</si>
  <si>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</si>
  <si>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</si>
  <si>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</si>
  <si>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</si>
  <si>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</si>
  <si>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</si>
  <si>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</si>
  <si>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</si>
  <si>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</si>
  <si>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</si>
  <si>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</si>
  <si>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</si>
  <si>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</si>
  <si>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</si>
  <si>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</si>
  <si>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</si>
  <si>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</si>
  <si>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</si>
  <si>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</si>
  <si>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</si>
  <si>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</si>
  <si>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</si>
  <si>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</si>
  <si>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</si>
  <si>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</si>
  <si>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</si>
  <si>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</si>
  <si>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</si>
  <si>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</si>
  <si>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</si>
  <si>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</si>
  <si>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</si>
  <si>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</si>
  <si>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</si>
  <si>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</si>
  <si>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</si>
  <si>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</si>
  <si>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</si>
  <si>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</si>
  <si>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</si>
  <si>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</si>
  <si>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</si>
  <si>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</si>
  <si>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</si>
  <si>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</si>
  <si>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</si>
  <si>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</si>
  <si>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</si>
  <si>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</si>
  <si>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</si>
  <si>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</si>
  <si>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</si>
  <si>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</si>
  <si>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</si>
  <si>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</si>
  <si>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</si>
  <si>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</si>
  <si>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</si>
  <si>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</si>
  <si>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</si>
  <si>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</si>
  <si>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</si>
  <si>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</si>
  <si>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</si>
  <si>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</si>
  <si>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</si>
  <si>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</si>
  <si>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</si>
  <si>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</si>
  <si>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</si>
  <si>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</si>
  <si>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</si>
  <si>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</si>
  <si>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</si>
  <si>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</si>
  <si>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</si>
  <si>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</si>
  <si>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</si>
  <si>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</si>
  <si>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</si>
  <si>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</si>
  <si>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</si>
  <si>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</si>
  <si>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</si>
  <si>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</si>
  <si>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</si>
  <si>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</si>
  <si>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</si>
  <si>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</si>
  <si>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</si>
  <si>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</si>
  <si>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</si>
  <si>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</si>
  <si>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</si>
  <si>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</si>
  <si>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</si>
  <si>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</si>
  <si>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</si>
  <si>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</si>
  <si>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</si>
  <si>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</si>
  <si>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</si>
  <si>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</si>
  <si>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</si>
  <si>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</si>
  <si>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</si>
  <si>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</si>
  <si>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</si>
  <si>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</si>
  <si>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</si>
  <si>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</si>
  <si>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</si>
  <si>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</si>
  <si>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</si>
  <si>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</si>
  <si>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</si>
  <si>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</si>
  <si>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</si>
  <si>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</si>
  <si>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</si>
  <si>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</si>
  <si>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</si>
  <si>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</si>
  <si>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</si>
  <si>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</si>
  <si>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</si>
  <si>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</si>
  <si>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</si>
  <si>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</si>
  <si>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</si>
  <si>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</si>
  <si>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</si>
  <si>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</si>
  <si>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</si>
  <si>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</si>
  <si>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</si>
  <si>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</si>
  <si>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</si>
  <si>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</si>
  <si>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</si>
  <si>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</si>
  <si>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</si>
  <si>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</si>
  <si>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</si>
  <si>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</si>
  <si>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</si>
  <si>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</si>
  <si>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</si>
  <si>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</si>
  <si>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</si>
  <si>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</si>
  <si>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</si>
  <si>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</si>
  <si>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</si>
  <si>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</si>
  <si>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</si>
  <si>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</si>
  <si>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</si>
  <si>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</si>
  <si>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</si>
  <si>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</si>
  <si>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</si>
  <si>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</si>
  <si>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</si>
  <si>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</si>
  <si>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</si>
  <si>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</si>
  <si>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</si>
  <si>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</si>
  <si>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</si>
  <si>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</si>
  <si>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</si>
  <si>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</si>
  <si>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</si>
  <si>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</si>
  <si>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</si>
  <si>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</si>
  <si>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</si>
  <si>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</si>
  <si>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</si>
  <si>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</si>
  <si>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</si>
  <si>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</si>
  <si>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</si>
  <si>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</si>
  <si>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</si>
  <si>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</si>
  <si>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</si>
  <si>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</si>
  <si>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</si>
  <si>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</si>
  <si>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</si>
  <si>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</si>
  <si>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</si>
  <si>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</si>
  <si>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</si>
  <si>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</si>
  <si>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</si>
  <si>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</si>
  <si>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</si>
  <si>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</si>
  <si>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</si>
  <si>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</si>
  <si>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</si>
  <si>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</si>
  <si>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</si>
  <si>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</si>
  <si>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</si>
  <si>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</si>
  <si>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</si>
  <si>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</si>
  <si>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</si>
  <si>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</si>
  <si>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</si>
  <si>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</si>
  <si>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</si>
  <si>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</si>
  <si>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</si>
  <si>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</si>
  <si>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</si>
  <si>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</si>
  <si>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</si>
  <si>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</si>
  <si>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</si>
  <si>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</si>
  <si>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</si>
  <si>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</si>
  <si>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</si>
  <si>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</si>
  <si>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</si>
  <si>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</si>
  <si>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</si>
  <si>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</si>
  <si>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</si>
  <si>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</si>
  <si>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</si>
  <si>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</si>
  <si>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</si>
  <si>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</si>
  <si>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</si>
  <si>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</si>
  <si>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</si>
  <si>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</si>
  <si>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</si>
  <si>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</si>
  <si>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</si>
  <si>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</si>
  <si>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</si>
  <si>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</si>
  <si>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</si>
  <si>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</si>
  <si>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</si>
  <si>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</si>
  <si>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</si>
  <si>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</si>
  <si>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</si>
  <si>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</si>
  <si>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</si>
  <si>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</si>
  <si>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</si>
  <si>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</si>
  <si>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</si>
  <si>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</si>
  <si>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</si>
  <si>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</si>
  <si>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</si>
  <si>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</si>
  <si>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</si>
  <si>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</si>
  <si>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</si>
  <si>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</si>
  <si>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</si>
  <si>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</si>
  <si>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</si>
  <si>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</si>
  <si>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</si>
  <si>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</si>
  <si>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</si>
  <si>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</si>
  <si>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</si>
  <si>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</si>
  <si>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</si>
  <si>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</si>
  <si>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</si>
  <si>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</si>
  <si>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</si>
  <si>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</si>
  <si>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</si>
  <si>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</si>
  <si>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</si>
  <si>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</si>
  <si>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</si>
  <si>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</si>
  <si>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</si>
  <si>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</si>
  <si>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</si>
  <si>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</si>
  <si>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</si>
  <si>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</si>
  <si>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</si>
  <si>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</si>
  <si>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</si>
  <si>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</si>
  <si>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</si>
  <si>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</si>
  <si>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</si>
  <si>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</si>
  <si>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</si>
  <si>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</si>
  <si>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</si>
  <si>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</si>
  <si>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</si>
  <si>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</si>
  <si>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</si>
  <si>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</si>
  <si>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</si>
  <si>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</si>
  <si>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</si>
  <si>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</si>
  <si>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</si>
  <si>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</si>
  <si>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</si>
  <si>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</si>
  <si>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</si>
  <si>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</si>
  <si>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</si>
  <si>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</si>
  <si>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</si>
  <si>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</si>
  <si>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</si>
  <si>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</si>
  <si>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</si>
  <si>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</si>
  <si>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</si>
  <si>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</si>
  <si>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</si>
  <si>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</si>
  <si>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</si>
  <si>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</si>
  <si>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</si>
  <si>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</si>
  <si>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</si>
  <si>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</si>
  <si>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</si>
  <si>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</si>
  <si>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</si>
  <si>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</si>
  <si>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</si>
  <si>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</si>
  <si>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</si>
  <si>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</si>
  <si>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</si>
  <si>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</si>
  <si>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</si>
  <si>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</si>
  <si>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</si>
  <si>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</si>
  <si>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</si>
  <si>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</si>
  <si>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</si>
  <si>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</si>
  <si>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</si>
  <si>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</si>
  <si>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</si>
  <si>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</si>
  <si>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</si>
  <si>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</si>
  <si>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</si>
  <si>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</si>
  <si>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</si>
  <si>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</si>
  <si>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</si>
  <si>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</si>
  <si>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</si>
  <si>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</si>
  <si>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</si>
  <si>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</si>
  <si>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</si>
  <si>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</si>
  <si>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</si>
  <si>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</si>
  <si>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</si>
  <si>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</si>
  <si>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</si>
  <si>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</si>
  <si>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</si>
  <si>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</si>
  <si>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</si>
  <si>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</si>
  <si>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</si>
  <si>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</si>
  <si>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</si>
  <si>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</si>
  <si>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</si>
  <si>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</si>
  <si>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</si>
  <si>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</si>
  <si>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</si>
  <si>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</si>
  <si>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</si>
  <si>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</si>
  <si>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</si>
  <si>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</si>
  <si>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</si>
  <si>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</si>
  <si>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</si>
  <si>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</si>
  <si>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</si>
  <si>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</si>
  <si>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</si>
  <si>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</si>
  <si>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</si>
  <si>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</si>
  <si>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</si>
  <si>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</si>
  <si>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</si>
  <si>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</si>
  <si>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</si>
  <si>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</si>
  <si>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</si>
  <si>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</si>
  <si>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</si>
  <si>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</si>
  <si>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</si>
  <si>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</si>
  <si>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</si>
  <si>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</si>
  <si>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</si>
  <si>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</si>
  <si>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</si>
  <si>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</si>
  <si>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</si>
  <si>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</si>
  <si>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</si>
  <si>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</si>
  <si>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</si>
  <si>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</si>
  <si>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</si>
  <si>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</si>
  <si>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</si>
  <si>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</si>
  <si>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</si>
  <si>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</si>
  <si>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</si>
  <si>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</si>
  <si>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</si>
  <si>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</si>
  <si>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</si>
  <si>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</si>
  <si>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</si>
  <si>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</si>
  <si>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</si>
  <si>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</si>
  <si>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</si>
  <si>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</si>
  <si>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</si>
  <si>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</si>
  <si>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</si>
  <si>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</si>
  <si>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</si>
  <si>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</si>
  <si>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</si>
  <si>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</si>
  <si>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</si>
  <si>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</si>
  <si>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</si>
  <si>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</si>
  <si>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</si>
  <si>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</si>
  <si>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</si>
  <si>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</si>
  <si>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</si>
  <si>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</si>
  <si>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</si>
  <si>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</si>
  <si>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</si>
  <si>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</si>
  <si>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</si>
  <si>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</si>
  <si>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</si>
  <si>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</si>
  <si>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</si>
  <si>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</si>
  <si>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</si>
  <si>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</si>
  <si>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</si>
  <si>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</si>
  <si>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</si>
  <si>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</si>
  <si>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</si>
  <si>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</si>
  <si>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</si>
  <si>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</si>
  <si>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</si>
  <si>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</si>
  <si>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</si>
  <si>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</si>
  <si>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</si>
  <si>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</si>
  <si>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</si>
  <si>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</si>
  <si>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</si>
  <si>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</si>
  <si>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</si>
  <si>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</si>
  <si>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</si>
  <si>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</si>
  <si>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</si>
  <si>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</si>
  <si>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</si>
  <si>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</si>
  <si>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</si>
  <si>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</si>
  <si>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</si>
  <si>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</si>
  <si>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</si>
  <si>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</si>
  <si>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</si>
  <si>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</si>
  <si>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</si>
  <si>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</si>
  <si>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</si>
  <si>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</si>
  <si>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</si>
  <si>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</si>
  <si>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</si>
  <si>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</si>
  <si>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</si>
  <si>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</si>
  <si>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</si>
  <si>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</si>
  <si>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</si>
  <si>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</si>
  <si>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</si>
  <si>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</si>
  <si>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</si>
  <si>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</si>
  <si>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</si>
  <si>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</si>
  <si>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</si>
  <si>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</si>
  <si>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</si>
  <si>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</si>
  <si>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</si>
  <si>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</si>
  <si>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</si>
  <si>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</si>
  <si>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</si>
  <si>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</si>
  <si>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</si>
  <si>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</si>
  <si>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</si>
  <si>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</si>
  <si>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</si>
  <si>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</si>
  <si>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</si>
  <si>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</si>
  <si>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</si>
  <si>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</si>
  <si>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</si>
  <si>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</si>
  <si>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</si>
  <si>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</si>
  <si>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</si>
  <si>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</si>
  <si>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</si>
  <si>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</si>
  <si>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</si>
  <si>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</si>
  <si>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</si>
  <si>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</si>
  <si>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</si>
  <si>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</si>
  <si>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</si>
  <si>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</si>
  <si>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</si>
  <si>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</si>
  <si>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</si>
  <si>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</si>
  <si>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</si>
  <si>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</si>
  <si>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</si>
  <si>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</si>
  <si>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</si>
  <si>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</si>
  <si>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</si>
  <si>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</si>
  <si>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</si>
  <si>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</si>
  <si>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</si>
  <si>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</si>
  <si>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</si>
  <si>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</si>
  <si>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</si>
  <si>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</si>
  <si>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</si>
  <si>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</si>
  <si>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</si>
  <si>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</si>
  <si>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</si>
  <si>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</si>
  <si>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</si>
  <si>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</si>
  <si>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</si>
  <si>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</si>
  <si>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</si>
  <si>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</si>
  <si>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</si>
  <si>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</si>
  <si>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</si>
  <si>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</si>
  <si>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</si>
  <si>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</si>
  <si>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</si>
  <si>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</si>
  <si>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</si>
  <si>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</si>
  <si>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</si>
  <si>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</si>
  <si>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</si>
  <si>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</si>
  <si>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</si>
  <si>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</si>
  <si>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</si>
  <si>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</si>
  <si>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</si>
  <si>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</si>
  <si>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</si>
  <si>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</si>
  <si>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</si>
  <si>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</si>
  <si>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</si>
  <si>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</si>
  <si>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</si>
  <si>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</si>
  <si>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</si>
  <si>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</si>
  <si>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</si>
  <si>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</si>
  <si>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</si>
  <si>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</si>
  <si>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</si>
  <si>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</si>
  <si>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</si>
  <si>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</si>
  <si>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</si>
  <si>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</si>
  <si>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</si>
  <si>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</si>
  <si>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</si>
  <si>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</si>
  <si>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</si>
  <si>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</si>
  <si>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</si>
  <si>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</si>
  <si>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</si>
  <si>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</si>
  <si>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</si>
  <si>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</si>
  <si>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</si>
  <si>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</si>
  <si>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</si>
  <si>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</si>
  <si>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</si>
  <si>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</si>
  <si>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</si>
  <si>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</si>
  <si>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</si>
  <si>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</si>
  <si>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</si>
  <si>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</si>
  <si>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</si>
  <si>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</si>
  <si>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</si>
  <si>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</si>
  <si>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</si>
  <si>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</si>
  <si>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</si>
  <si>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</si>
  <si>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</si>
  <si>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</si>
  <si>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</si>
  <si>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</si>
  <si>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</si>
  <si>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</si>
  <si>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</si>
  <si>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</si>
  <si>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</si>
  <si>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</si>
  <si>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</si>
  <si>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</si>
  <si>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</si>
  <si>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</si>
  <si>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</si>
  <si>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</si>
  <si>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</si>
  <si>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</si>
  <si>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</si>
  <si>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</si>
  <si>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</si>
  <si>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</si>
  <si>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</si>
  <si>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</si>
  <si>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</si>
  <si>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</si>
  <si>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</si>
  <si>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</si>
  <si>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</si>
  <si>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</si>
  <si>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</si>
  <si>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</si>
  <si>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</si>
  <si>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</si>
  <si>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</si>
  <si>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</si>
  <si>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</si>
  <si>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</si>
  <si>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</si>
  <si>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</si>
  <si>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</si>
  <si>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</si>
  <si>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</si>
  <si>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</si>
  <si>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</si>
  <si>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</si>
  <si>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</si>
  <si>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</si>
  <si>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</si>
  <si>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</si>
  <si>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</si>
  <si>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</si>
  <si>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</si>
  <si>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</si>
  <si>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</si>
  <si>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</si>
  <si>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</si>
  <si>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</si>
  <si>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</si>
  <si>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</si>
  <si>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</si>
  <si>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</si>
  <si>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</si>
  <si>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</si>
  <si>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</si>
  <si>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</si>
  <si>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</si>
  <si>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</si>
  <si>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</si>
  <si>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</si>
  <si>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</si>
  <si>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</si>
  <si>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</si>
  <si>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</si>
  <si>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</si>
  <si>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</si>
  <si>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</si>
  <si>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</si>
  <si>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</si>
  <si>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</si>
  <si>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</si>
  <si>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</si>
  <si>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</si>
  <si>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</si>
  <si>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</si>
  <si>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</si>
  <si>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</si>
  <si>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</si>
  <si>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</si>
  <si>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</si>
  <si>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</si>
  <si>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</si>
  <si>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</si>
  <si>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</si>
  <si>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</si>
  <si>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</si>
  <si>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</si>
  <si>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</si>
  <si>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</si>
  <si>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</si>
  <si>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</si>
  <si>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</si>
  <si>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</si>
  <si>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</si>
  <si>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</si>
  <si>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</si>
  <si>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</si>
  <si>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</si>
  <si>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</si>
  <si>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</si>
  <si>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</si>
  <si>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</si>
  <si>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</si>
  <si>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</si>
  <si>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</si>
  <si>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</si>
  <si>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</si>
  <si>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</si>
  <si>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</si>
  <si>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</si>
  <si>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</si>
  <si>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</si>
  <si>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</si>
  <si>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</si>
  <si>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</si>
  <si>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</si>
  <si>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</si>
  <si>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</si>
  <si>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</si>
  <si>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</si>
  <si>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</si>
  <si>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</si>
  <si>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</si>
  <si>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</si>
  <si>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</si>
  <si>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</si>
  <si>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</si>
  <si>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</si>
  <si>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</si>
  <si>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</si>
  <si>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</si>
  <si>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</si>
  <si>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</si>
  <si>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</si>
  <si>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</si>
  <si>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</si>
  <si>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</si>
  <si>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</si>
  <si>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</si>
  <si>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</si>
  <si>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</si>
  <si>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</si>
  <si>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</si>
  <si>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</si>
  <si>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</si>
  <si>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</si>
  <si>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</si>
  <si>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</si>
  <si>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</si>
  <si>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</si>
  <si>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</si>
  <si>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</si>
  <si>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</si>
  <si>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</si>
  <si>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</si>
  <si>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</si>
  <si>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</si>
  <si>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</si>
  <si>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</si>
  <si>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</si>
  <si>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</si>
  <si>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</si>
  <si>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</si>
  <si>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</si>
  <si>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</si>
  <si>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</si>
  <si>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</si>
  <si>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</si>
  <si>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</si>
  <si>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</si>
  <si>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</si>
  <si>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</si>
  <si>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</si>
  <si>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</si>
  <si>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</si>
  <si>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</si>
  <si>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</si>
  <si>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</si>
  <si>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</si>
  <si>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</si>
  <si>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</si>
  <si>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</si>
  <si>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</si>
  <si>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</si>
  <si>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</si>
  <si>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</si>
  <si>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</si>
  <si>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</si>
  <si>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</si>
  <si>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</si>
  <si>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</si>
  <si>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</si>
  <si>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</si>
  <si>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</si>
  <si>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</si>
  <si>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</si>
  <si>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</si>
  <si>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</si>
  <si>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</si>
  <si>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</si>
  <si>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</si>
  <si>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</si>
  <si>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</si>
  <si>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</si>
  <si>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</si>
  <si>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</si>
  <si>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</si>
  <si>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</si>
  <si>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</si>
  <si>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</si>
  <si>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</si>
  <si>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</si>
  <si>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</si>
  <si>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</si>
  <si>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</si>
  <si>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</si>
  <si>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</si>
  <si>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</si>
  <si>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</si>
  <si>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</si>
  <si>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</si>
  <si>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</si>
  <si>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</si>
  <si>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</si>
  <si>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</si>
  <si>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</si>
  <si>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</si>
  <si>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</si>
  <si>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</si>
  <si>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</si>
  <si>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</si>
  <si>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</si>
  <si>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</si>
  <si>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</si>
  <si>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</si>
  <si>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</si>
  <si>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</si>
  <si>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</si>
  <si>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</si>
  <si>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</si>
  <si>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</si>
  <si>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</si>
  <si>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</si>
  <si>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</si>
  <si>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</si>
  <si>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</si>
  <si>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</si>
  <si>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</si>
  <si>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</si>
  <si>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</si>
  <si>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</si>
  <si>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</si>
  <si>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</si>
  <si>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</si>
  <si>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</si>
  <si>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</si>
  <si>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</si>
  <si>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</si>
  <si>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</si>
  <si>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</si>
  <si>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</si>
  <si>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</si>
  <si>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</si>
  <si>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</si>
  <si>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</si>
  <si>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</si>
  <si>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</si>
  <si>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</si>
  <si>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</si>
  <si>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</si>
  <si>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</si>
  <si>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</si>
  <si>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</si>
  <si>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</si>
  <si>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</si>
  <si>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</si>
  <si>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</si>
  <si>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</si>
  <si>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</si>
  <si>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</si>
  <si>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</si>
  <si>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</si>
  <si>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</si>
  <si>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</si>
  <si>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</si>
  <si>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</si>
  <si>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</si>
  <si>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</si>
  <si>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</si>
  <si>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</si>
  <si>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</si>
  <si>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</si>
  <si>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</si>
  <si>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</si>
  <si>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</si>
  <si>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</si>
  <si>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</si>
  <si>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</si>
  <si>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</si>
  <si>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</si>
  <si>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</si>
  <si>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</si>
  <si>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</si>
  <si>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</si>
  <si>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</si>
  <si>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</si>
  <si>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</si>
  <si>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</si>
  <si>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</si>
  <si>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</si>
  <si>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</si>
  <si>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</si>
  <si>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</si>
  <si>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</si>
  <si>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</si>
  <si>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</si>
  <si>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</si>
  <si>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</si>
  <si>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</si>
  <si>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</si>
  <si>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</si>
  <si>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</si>
  <si>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</si>
  <si>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</si>
  <si>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</si>
  <si>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</si>
  <si>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</si>
  <si>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</si>
  <si>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</si>
  <si>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</si>
  <si>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</si>
  <si>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</si>
  <si>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</si>
  <si>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</si>
  <si>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</si>
  <si>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</si>
  <si>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</si>
  <si>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</si>
  <si>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</si>
  <si>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</si>
  <si>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</si>
  <si>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</si>
  <si>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</si>
  <si>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</si>
  <si>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</si>
  <si>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</si>
  <si>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</si>
  <si>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</si>
  <si>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</si>
  <si>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</si>
  <si>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</si>
  <si>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</si>
  <si>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</si>
  <si>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</si>
  <si>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</si>
  <si>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</si>
  <si>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</si>
  <si>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</si>
  <si>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</si>
  <si>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</si>
  <si>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</si>
  <si>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</si>
  <si>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</si>
  <si>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</si>
  <si>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</si>
  <si>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</si>
  <si>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</si>
  <si>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</si>
  <si>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</si>
  <si>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</si>
  <si>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</si>
  <si>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</si>
  <si>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</si>
  <si>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</si>
  <si>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</si>
  <si>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</si>
  <si>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</si>
  <si>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</si>
  <si>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</si>
  <si>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</si>
  <si>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</si>
  <si>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</si>
  <si>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</si>
  <si>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</si>
  <si>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</si>
  <si>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</si>
  <si>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</si>
  <si>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</si>
  <si>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</si>
  <si>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</si>
  <si>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</si>
  <si>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</si>
  <si>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</si>
  <si>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</si>
  <si>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</si>
  <si>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</si>
  <si>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</si>
  <si>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</si>
  <si>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</si>
  <si>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</si>
  <si>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</si>
  <si>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</si>
  <si>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</si>
  <si>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</si>
  <si>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</si>
  <si>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</si>
  <si>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</si>
  <si>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</si>
  <si>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</si>
  <si>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</si>
  <si>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</si>
  <si>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</si>
  <si>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</si>
  <si>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</si>
  <si>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</si>
  <si>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</si>
  <si>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</si>
  <si>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</si>
  <si>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</si>
  <si>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</si>
  <si>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</si>
  <si>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</si>
  <si>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</si>
  <si>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</si>
  <si>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</si>
  <si>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</si>
  <si>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</si>
  <si>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</si>
  <si>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</si>
  <si>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</si>
  <si>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</si>
  <si>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</si>
  <si>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</si>
  <si>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</si>
  <si>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</si>
  <si>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</si>
  <si>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</si>
  <si>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</si>
  <si>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</si>
  <si>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</si>
  <si>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</si>
  <si>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</si>
  <si>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</si>
  <si>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</si>
  <si>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</si>
  <si>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</si>
  <si>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</si>
  <si>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</si>
  <si>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</si>
  <si>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</si>
  <si>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</si>
  <si>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</si>
  <si>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</si>
  <si>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</si>
  <si>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</si>
  <si>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</si>
  <si>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</si>
  <si>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</si>
  <si>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</si>
  <si>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</si>
  <si>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</si>
  <si>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</si>
  <si>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</si>
  <si>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</si>
  <si>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</si>
  <si>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</si>
  <si>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</si>
  <si>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</si>
  <si>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</si>
  <si>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</si>
  <si>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</si>
  <si>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</si>
  <si>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</si>
  <si>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</si>
  <si>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</si>
  <si>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</si>
  <si>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</si>
  <si>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</si>
  <si>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</si>
  <si>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</si>
  <si>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</si>
  <si>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</si>
  <si>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</si>
  <si>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</si>
  <si>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</si>
  <si>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</si>
  <si>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</si>
  <si>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</si>
  <si>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</si>
  <si>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</si>
  <si>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</si>
  <si>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</si>
  <si>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</si>
  <si>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</si>
  <si>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</si>
  <si>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</si>
  <si>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</si>
  <si>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</si>
  <si>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</si>
  <si>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</si>
  <si>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</si>
  <si>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</si>
  <si>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</si>
  <si>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</si>
  <si>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</si>
  <si>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</si>
  <si>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</si>
  <si>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</si>
  <si>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</si>
  <si>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</si>
  <si>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</si>
  <si>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</si>
  <si>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</si>
  <si>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</si>
  <si>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</si>
  <si>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</si>
  <si>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</si>
  <si>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</si>
  <si>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</si>
  <si>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</si>
  <si>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</si>
  <si>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</si>
  <si>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</si>
  <si>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</si>
  <si>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</si>
  <si>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</si>
  <si>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</si>
  <si>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</si>
  <si>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</si>
  <si>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</si>
  <si>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</si>
  <si>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</si>
  <si>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</si>
  <si>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</si>
  <si>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</si>
  <si>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</si>
  <si>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</si>
  <si>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</si>
  <si>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</si>
  <si>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</si>
  <si>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</si>
  <si>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</si>
  <si>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</si>
  <si>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</si>
  <si>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</si>
  <si>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</si>
  <si>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</si>
  <si>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</si>
  <si>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</si>
  <si>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</si>
  <si>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</si>
  <si>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</si>
  <si>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</si>
  <si>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</si>
  <si>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</si>
  <si>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</si>
  <si>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</si>
  <si>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</si>
  <si>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</si>
  <si>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</si>
  <si>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</si>
  <si>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</si>
  <si>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</si>
  <si>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</si>
  <si>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</si>
  <si>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</si>
  <si>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</si>
  <si>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</si>
  <si>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</si>
  <si>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</si>
  <si>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</si>
  <si>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</si>
  <si>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</si>
  <si>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</si>
  <si>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</si>
  <si>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</si>
  <si>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</si>
  <si>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</si>
  <si>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</si>
  <si>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</si>
  <si>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</si>
  <si>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</si>
  <si>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</si>
  <si>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</si>
  <si>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</si>
  <si>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</si>
  <si>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</si>
  <si>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</si>
  <si>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</si>
  <si>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</si>
  <si>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</si>
  <si>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</si>
  <si>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</si>
  <si>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</si>
  <si>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</si>
  <si>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</si>
  <si>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</si>
  <si>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</si>
  <si>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</si>
  <si>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</si>
  <si>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</si>
  <si>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</si>
  <si>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</si>
  <si>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</si>
  <si>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</si>
  <si>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</si>
  <si>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</si>
  <si>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</si>
  <si>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</si>
  <si>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</si>
  <si>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</si>
  <si>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</si>
  <si>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</si>
  <si>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</si>
  <si>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</si>
  <si>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</si>
  <si>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</si>
  <si>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</si>
  <si>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</si>
  <si>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</si>
  <si>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</si>
  <si>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</si>
  <si>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</si>
  <si>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</si>
  <si>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</si>
  <si>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</si>
  <si>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</si>
  <si>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</si>
  <si>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</si>
  <si>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</si>
  <si>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</si>
  <si>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</si>
  <si>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</si>
  <si>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</si>
  <si>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</si>
  <si>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</si>
  <si>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</si>
  <si>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</si>
  <si>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</si>
  <si>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</si>
  <si>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</si>
  <si>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</si>
  <si>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</si>
  <si>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</si>
  <si>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</si>
  <si>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</si>
  <si>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</si>
  <si>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</si>
  <si>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</si>
  <si>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</si>
  <si>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</si>
  <si>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</si>
  <si>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</si>
  <si>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</si>
  <si>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</si>
  <si>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</si>
  <si>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</si>
  <si>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</si>
  <si>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</si>
  <si>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</si>
  <si>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</si>
  <si>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</si>
  <si>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</si>
  <si>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</si>
  <si>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</si>
  <si>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</si>
  <si>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</si>
  <si>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</si>
  <si>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</si>
  <si>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</si>
  <si>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</si>
  <si>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</si>
  <si>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</si>
  <si>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</si>
  <si>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</si>
  <si>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</si>
  <si>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</si>
  <si>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</si>
  <si>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</si>
  <si>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</si>
  <si>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</si>
  <si>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</si>
  <si>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</si>
  <si>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</si>
  <si>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</si>
  <si>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</si>
  <si>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</si>
  <si>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</si>
  <si>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</si>
  <si>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</si>
  <si>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</si>
  <si>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</si>
  <si>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</si>
  <si>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</si>
  <si>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</si>
  <si>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</si>
  <si>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</si>
  <si>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</si>
  <si>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</si>
  <si>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</si>
  <si>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</si>
  <si>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</si>
  <si>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</si>
  <si>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</si>
  <si>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</si>
  <si>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</si>
  <si>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</si>
  <si>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</si>
  <si>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</si>
  <si>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</si>
  <si>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</si>
  <si>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</si>
  <si>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</si>
  <si>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</si>
  <si>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</si>
  <si>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</si>
  <si>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</si>
  <si>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</si>
  <si>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</si>
  <si>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</si>
  <si>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</si>
  <si>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</si>
  <si>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</si>
  <si>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</si>
  <si>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</si>
  <si>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</si>
  <si>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</si>
  <si>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</si>
  <si>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</si>
  <si>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</si>
  <si>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</si>
  <si>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</si>
  <si>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</si>
  <si>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</si>
  <si>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</si>
  <si>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</si>
  <si>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</si>
  <si>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</si>
  <si>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</si>
  <si>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</si>
  <si>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</si>
  <si>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</si>
  <si>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</si>
  <si>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</si>
  <si>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</si>
  <si>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</si>
  <si>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</si>
  <si>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</si>
  <si>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</si>
  <si>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</si>
  <si>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</si>
  <si>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</si>
  <si>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</si>
  <si>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</si>
  <si>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</si>
  <si>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</si>
  <si>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</si>
  <si>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</si>
  <si>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</si>
  <si>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</si>
  <si>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</si>
  <si>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</si>
  <si>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</si>
  <si>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</si>
  <si>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</si>
  <si>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</si>
  <si>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</si>
  <si>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</si>
  <si>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</si>
  <si>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</si>
  <si>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</si>
  <si>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</si>
  <si>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</si>
  <si>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</si>
  <si>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</si>
  <si>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</si>
  <si>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</si>
  <si>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</si>
  <si>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</si>
  <si>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</si>
  <si>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</si>
  <si>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</si>
  <si>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</si>
  <si>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</si>
  <si>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</si>
  <si>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</si>
  <si>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</si>
  <si>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</si>
  <si>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</si>
  <si>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</si>
  <si>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</si>
  <si>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</si>
  <si>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</si>
  <si>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</si>
  <si>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</si>
  <si>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</si>
  <si>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</si>
  <si>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</si>
  <si>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</si>
  <si>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</si>
  <si>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</si>
  <si>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</si>
  <si>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</si>
  <si>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</si>
  <si>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</si>
  <si>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</si>
  <si>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</si>
  <si>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</si>
  <si>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</si>
  <si>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</si>
  <si>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</si>
  <si>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</si>
  <si>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</si>
  <si>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</si>
  <si>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</si>
  <si>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</si>
  <si>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</si>
  <si>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</si>
  <si>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</si>
  <si>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</si>
  <si>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</si>
  <si>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</si>
  <si>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</si>
  <si>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</si>
  <si>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</si>
  <si>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</si>
  <si>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</si>
  <si>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</si>
  <si>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</si>
  <si>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</si>
  <si>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</si>
  <si>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</si>
  <si>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</si>
  <si>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</si>
  <si>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</si>
  <si>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</si>
  <si>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</si>
  <si>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</si>
  <si>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</si>
  <si>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</si>
  <si>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</si>
  <si>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</si>
  <si>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</si>
  <si>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</si>
  <si>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</si>
  <si>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</si>
  <si>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</si>
  <si>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</si>
  <si>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</si>
  <si>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</si>
  <si>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</si>
  <si>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</si>
  <si>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</si>
  <si>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</si>
  <si>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</si>
  <si>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</si>
  <si>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</si>
  <si>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</si>
  <si>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</si>
  <si>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</si>
  <si>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</si>
  <si>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</si>
  <si>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</si>
  <si>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</si>
  <si>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</si>
  <si>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</si>
  <si>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</si>
  <si>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</si>
  <si>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</si>
  <si>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</si>
  <si>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</si>
  <si>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</si>
  <si>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</si>
  <si>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</si>
  <si>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</si>
  <si>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</si>
  <si>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</si>
  <si>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</si>
  <si>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</si>
  <si>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</si>
  <si>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</si>
  <si>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</si>
  <si>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</si>
  <si>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</si>
  <si>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</si>
  <si>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</si>
  <si>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</si>
  <si>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</si>
  <si>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</si>
  <si>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</si>
  <si>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</si>
  <si>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</si>
  <si>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</si>
  <si>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</si>
  <si>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</si>
  <si>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</si>
  <si>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</si>
  <si>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</si>
  <si>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</si>
  <si>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</si>
  <si>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</si>
  <si>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</si>
  <si>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</si>
  <si>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</si>
  <si>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</si>
  <si>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</si>
  <si>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</si>
  <si>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</si>
  <si>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</si>
  <si>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</si>
  <si>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</si>
  <si>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</si>
  <si>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</si>
  <si>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</si>
  <si>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</si>
  <si>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</si>
  <si>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</si>
  <si>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</si>
  <si>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</si>
  <si>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</si>
  <si>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</si>
  <si>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</si>
  <si>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</si>
  <si>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</si>
  <si>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</si>
  <si>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</si>
  <si>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</si>
  <si>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</si>
  <si>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</si>
  <si>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</si>
  <si>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</si>
  <si>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</si>
  <si>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</si>
  <si>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</si>
  <si>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</si>
  <si>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</si>
  <si>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</si>
  <si>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</si>
  <si>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</si>
  <si>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</si>
  <si>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</si>
  <si>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</si>
  <si>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</si>
  <si>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</si>
  <si>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</si>
  <si>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</si>
  <si>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</si>
  <si>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</si>
  <si>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</si>
  <si>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</si>
  <si>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</si>
  <si>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</si>
  <si>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</si>
  <si>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</si>
  <si>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</si>
  <si>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</si>
  <si>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</si>
  <si>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</si>
  <si>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</si>
  <si>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</si>
  <si>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</si>
  <si>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</si>
  <si>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</si>
  <si>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</si>
  <si>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</si>
  <si>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</si>
  <si>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</si>
  <si>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</si>
  <si>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</si>
  <si>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</si>
  <si>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</si>
  <si>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</si>
  <si>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</si>
  <si>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</si>
  <si>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</si>
  <si>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</si>
  <si>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</si>
  <si>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</si>
  <si>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</si>
  <si>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</si>
  <si>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</si>
  <si>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</si>
  <si>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</si>
  <si>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</si>
  <si>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</si>
  <si>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</si>
  <si>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</si>
  <si>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</si>
  <si>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</si>
  <si>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</si>
  <si>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</si>
  <si>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</si>
  <si>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</si>
  <si>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</si>
  <si>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</si>
  <si>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</si>
  <si>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</si>
  <si>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</si>
  <si>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</si>
  <si>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</si>
  <si>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</si>
  <si>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</si>
  <si>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</si>
  <si>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</si>
  <si>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</si>
  <si>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</si>
  <si>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</si>
  <si>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</si>
  <si>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</si>
  <si>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</si>
  <si>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</si>
  <si>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</si>
  <si>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</si>
  <si>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</si>
  <si>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</si>
  <si>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</si>
  <si>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</si>
  <si>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</si>
  <si>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</si>
  <si>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</si>
  <si>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</si>
  <si>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</si>
  <si>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</si>
  <si>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</si>
  <si>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</si>
  <si>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</si>
  <si>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</si>
  <si>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</si>
  <si>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</si>
  <si>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</si>
  <si>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</si>
  <si>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</si>
  <si>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</si>
  <si>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</si>
  <si>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</si>
  <si>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</si>
  <si>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</si>
  <si>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</si>
  <si>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</si>
  <si>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</si>
  <si>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</si>
  <si>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</si>
  <si>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</si>
  <si>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</si>
  <si>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</si>
  <si>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</si>
  <si>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</si>
  <si>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</si>
  <si>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</si>
  <si>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</si>
  <si>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</si>
  <si>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</si>
  <si>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</si>
  <si>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</si>
  <si>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</si>
  <si>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</si>
  <si>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</si>
  <si>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</si>
  <si>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</si>
  <si>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</si>
  <si>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</si>
  <si>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</si>
  <si>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</si>
  <si>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</si>
  <si>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</si>
  <si>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</si>
  <si>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</si>
  <si>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</si>
  <si>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</si>
  <si>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</si>
  <si>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</si>
  <si>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</si>
  <si>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</si>
  <si>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</si>
  <si>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</si>
  <si>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</si>
  <si>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</si>
  <si>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</si>
  <si>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</si>
  <si>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</si>
  <si>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</si>
  <si>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</si>
  <si>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</si>
  <si>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</si>
  <si>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</si>
  <si>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</si>
  <si>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</si>
  <si>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</si>
  <si>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</si>
  <si>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</si>
  <si>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</si>
  <si>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</si>
  <si>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</si>
  <si>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</si>
  <si>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</si>
  <si>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</si>
  <si>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</si>
  <si>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</si>
  <si>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</si>
  <si>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</si>
  <si>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</si>
  <si>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</si>
  <si>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</si>
  <si>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</si>
  <si>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</si>
  <si>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</si>
  <si>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</si>
  <si>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</si>
  <si>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</si>
  <si>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</si>
  <si>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</si>
  <si>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</si>
  <si>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</si>
  <si>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</si>
  <si>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</si>
  <si>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</si>
  <si>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</si>
  <si>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</si>
  <si>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</si>
  <si>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</si>
  <si>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</si>
  <si>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</si>
  <si>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</si>
  <si>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</si>
  <si>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</si>
  <si>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</si>
  <si>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</si>
  <si>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</si>
  <si>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</si>
  <si>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</si>
  <si>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</si>
  <si>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</si>
  <si>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</si>
  <si>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</si>
  <si>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</si>
  <si>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</si>
  <si>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</si>
  <si>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</si>
  <si>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</si>
  <si>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</si>
  <si>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</si>
  <si>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</si>
  <si>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</si>
  <si>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</si>
  <si>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</si>
  <si>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</si>
  <si>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</si>
  <si>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</si>
  <si>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</si>
  <si>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</si>
  <si>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</si>
  <si>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</si>
  <si>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</si>
  <si>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</si>
  <si>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</si>
  <si>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</si>
  <si>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</si>
  <si>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</si>
  <si>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</si>
  <si>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</si>
  <si>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</si>
  <si>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</si>
  <si>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</si>
  <si>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</si>
  <si>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</si>
  <si>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</si>
  <si>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</si>
  <si>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</si>
  <si>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</si>
  <si>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</si>
  <si>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</si>
  <si>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</si>
  <si>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</si>
  <si>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</si>
  <si>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</si>
  <si>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</si>
  <si>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</si>
  <si>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</si>
  <si>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</si>
  <si>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</si>
  <si>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</si>
  <si>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</si>
  <si>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</si>
  <si>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</si>
  <si>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</si>
  <si>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</si>
  <si>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</si>
  <si>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</si>
  <si>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</si>
  <si>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</si>
  <si>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</si>
  <si>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</si>
  <si>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</si>
  <si>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</si>
  <si>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</si>
  <si>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</si>
  <si>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</si>
  <si>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</si>
  <si>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</si>
  <si>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</si>
  <si>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</si>
  <si>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</si>
  <si>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</si>
  <si>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</si>
  <si>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</si>
  <si>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</si>
  <si>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</si>
  <si>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</si>
  <si>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</si>
  <si>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</si>
  <si>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</si>
  <si>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</si>
  <si>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</si>
  <si>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</si>
  <si>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</si>
  <si>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</si>
  <si>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</si>
  <si>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</si>
  <si>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</si>
  <si>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</si>
  <si>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</si>
  <si>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</si>
  <si>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</si>
  <si>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</si>
  <si>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</si>
  <si>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</si>
  <si>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</si>
  <si>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</si>
  <si>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</si>
  <si>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</si>
  <si>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</si>
  <si>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</si>
  <si>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</si>
  <si>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</si>
  <si>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</si>
  <si>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</si>
  <si>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</si>
  <si>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</si>
  <si>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</si>
  <si>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</si>
  <si>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</si>
  <si>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</si>
  <si>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</si>
  <si>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</si>
  <si>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</si>
  <si>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</si>
  <si>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</si>
  <si>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</si>
  <si>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</si>
  <si>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</si>
  <si>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</si>
  <si>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</si>
  <si>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</si>
  <si>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</si>
  <si>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</si>
  <si>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</si>
  <si>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</si>
  <si>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</si>
  <si>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</si>
  <si>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</si>
  <si>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</si>
  <si>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</si>
  <si>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</si>
  <si>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</si>
  <si>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</si>
  <si>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</si>
  <si>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</si>
  <si>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</si>
  <si>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</si>
  <si>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</si>
  <si>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</si>
  <si>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</si>
  <si>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</si>
  <si>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</si>
  <si>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</si>
  <si>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</si>
  <si>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</si>
  <si>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</si>
  <si>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</si>
  <si>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</si>
  <si>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</si>
  <si>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</si>
  <si>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</si>
  <si>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</si>
  <si>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</si>
  <si>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</si>
  <si>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</si>
  <si>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</si>
  <si>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</si>
  <si>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</si>
  <si>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</si>
  <si>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</si>
  <si>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</si>
  <si>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</si>
  <si>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</si>
  <si>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</si>
  <si>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</si>
  <si>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</si>
  <si>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</si>
  <si>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</si>
  <si>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</si>
  <si>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</si>
  <si>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</si>
  <si>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</si>
  <si>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</si>
  <si>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</si>
  <si>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</si>
  <si>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</si>
  <si>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</si>
  <si>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</si>
  <si>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</si>
  <si>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</si>
  <si>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</si>
  <si>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</si>
  <si>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</si>
  <si>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</si>
  <si>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</si>
  <si>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</si>
  <si>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</si>
  <si>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</si>
  <si>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</si>
  <si>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</si>
  <si>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</si>
  <si>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</si>
  <si>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</si>
  <si>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</si>
  <si>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</si>
  <si>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</si>
  <si>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</si>
  <si>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</si>
  <si>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</si>
  <si>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</si>
  <si>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</si>
  <si>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</si>
  <si>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</si>
  <si>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</si>
  <si>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</si>
  <si>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</si>
  <si>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</si>
  <si>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</si>
  <si>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</si>
  <si>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</si>
  <si>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</si>
  <si>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</si>
  <si>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</si>
  <si>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</si>
  <si>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</si>
  <si>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</si>
  <si>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</si>
  <si>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</si>
  <si>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</si>
  <si>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</si>
  <si>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</si>
  <si>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</si>
  <si>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</si>
  <si>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</si>
  <si>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</si>
  <si>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</si>
  <si>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</si>
  <si>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</si>
  <si>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</si>
  <si>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</si>
  <si>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</si>
  <si>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</si>
  <si>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</si>
  <si>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</si>
  <si>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</si>
  <si>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</si>
  <si>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</si>
  <si>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</si>
  <si>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</si>
  <si>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</si>
  <si>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</si>
  <si>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</si>
  <si>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</si>
  <si>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</si>
  <si>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</si>
  <si>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</si>
  <si>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</si>
  <si>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</si>
  <si>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</si>
  <si>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</si>
  <si>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</si>
  <si>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</si>
  <si>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</si>
  <si>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</si>
  <si>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</si>
  <si>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</si>
  <si>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</si>
  <si>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</si>
  <si>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</si>
  <si>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</si>
  <si>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</si>
  <si>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</si>
  <si>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</si>
  <si>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</si>
  <si>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</si>
  <si>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</si>
  <si>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</si>
  <si>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</si>
  <si>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</si>
  <si>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</si>
  <si>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</si>
  <si>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</si>
  <si>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</si>
  <si>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</si>
  <si>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</si>
  <si>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</si>
  <si>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</si>
  <si>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</si>
  <si>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</si>
  <si>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</si>
  <si>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</si>
  <si>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</si>
  <si>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</si>
  <si>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</si>
  <si>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</si>
  <si>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</si>
  <si>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</si>
  <si>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</si>
  <si>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</si>
  <si>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</si>
  <si>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</si>
  <si>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</si>
  <si>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</si>
  <si>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</si>
  <si>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</si>
  <si>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</si>
  <si>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</si>
  <si>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</si>
  <si>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</si>
  <si>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</si>
  <si>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</si>
  <si>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</si>
  <si>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</si>
  <si>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</si>
  <si>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</si>
  <si>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</si>
  <si>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</si>
  <si>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</si>
  <si>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</si>
  <si>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</si>
  <si>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</si>
  <si>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</si>
  <si>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</si>
  <si>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</si>
  <si>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</si>
  <si>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</si>
  <si>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</si>
  <si>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</si>
  <si>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</si>
  <si>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</si>
  <si>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</si>
  <si>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</si>
  <si>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</si>
  <si>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</si>
  <si>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</si>
  <si>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</si>
  <si>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</si>
  <si>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</si>
  <si>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</si>
  <si>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</si>
  <si>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</si>
  <si>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</si>
  <si>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</si>
  <si>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</si>
  <si>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</si>
  <si>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</si>
  <si>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</si>
  <si>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</si>
  <si>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</si>
  <si>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</si>
  <si>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</si>
  <si>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</si>
  <si>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</si>
  <si>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</si>
  <si>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</si>
  <si>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</si>
  <si>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</si>
  <si>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</si>
  <si>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</si>
  <si>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</si>
  <si>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</si>
  <si>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</si>
  <si>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</si>
  <si>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</si>
  <si>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</si>
  <si>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</si>
  <si>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</si>
  <si>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</si>
  <si>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</si>
  <si>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</si>
  <si>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</si>
  <si>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</si>
  <si>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</si>
  <si>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</si>
  <si>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</si>
  <si>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</si>
  <si>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</si>
  <si>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</si>
  <si>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</si>
  <si>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</si>
  <si>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</si>
  <si>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</si>
  <si>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</si>
  <si>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</si>
  <si>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</si>
  <si>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</si>
  <si>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</si>
  <si>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</si>
  <si>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</si>
  <si>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</si>
  <si>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</si>
  <si>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</si>
  <si>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</si>
  <si>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</si>
  <si>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</si>
  <si>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</si>
  <si>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</si>
  <si>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</si>
  <si>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</si>
  <si>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</si>
  <si>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</si>
  <si>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</si>
  <si>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</si>
  <si>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</si>
  <si>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</si>
  <si>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</si>
  <si>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</si>
  <si>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</si>
  <si>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</si>
  <si>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</si>
  <si>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</si>
  <si>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</si>
  <si>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</si>
  <si>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</si>
  <si>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</si>
  <si>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</si>
  <si>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</si>
  <si>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</si>
  <si>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</si>
  <si>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</si>
  <si>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</si>
  <si>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</si>
  <si>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</si>
  <si>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</si>
  <si>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</si>
  <si>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</si>
  <si>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</si>
  <si>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</si>
  <si>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</si>
  <si>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</si>
  <si>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</si>
  <si>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</si>
  <si>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</si>
  <si>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</si>
  <si>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</si>
  <si>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</si>
  <si>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</si>
  <si>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</si>
  <si>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</si>
  <si>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</si>
  <si>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</si>
  <si>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</si>
  <si>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</si>
  <si>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</si>
  <si>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</si>
  <si>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</si>
  <si>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</si>
  <si>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</si>
  <si>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</si>
  <si>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</si>
  <si>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</si>
  <si>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</si>
  <si>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</si>
  <si>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</si>
  <si>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</si>
  <si>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</si>
  <si>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</si>
  <si>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</si>
  <si>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</si>
  <si>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</si>
  <si>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</si>
  <si>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</si>
  <si>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</si>
  <si>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</si>
  <si>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</si>
  <si>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</si>
  <si>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</si>
  <si>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</si>
  <si>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</si>
  <si>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</si>
  <si>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</si>
  <si>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</si>
  <si>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</si>
  <si>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</si>
  <si>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</si>
  <si>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</si>
  <si>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</si>
  <si>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</si>
  <si>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</si>
  <si>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</si>
  <si>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</si>
  <si>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</si>
  <si>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</si>
  <si>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</si>
  <si>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</si>
  <si>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</si>
  <si>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</si>
  <si>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</si>
  <si>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</si>
  <si>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</si>
  <si>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</si>
  <si>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</si>
  <si>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</si>
  <si>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</si>
  <si>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</si>
  <si>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</si>
  <si>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</si>
  <si>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</si>
  <si>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</si>
  <si>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</si>
  <si>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</si>
  <si>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</si>
  <si>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</si>
  <si>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</si>
  <si>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</si>
  <si>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</si>
  <si>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</si>
  <si>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</si>
  <si>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</si>
  <si>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</si>
  <si>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</si>
  <si>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</si>
  <si>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</si>
  <si>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</si>
  <si>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</si>
  <si>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</si>
  <si>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</si>
  <si>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</si>
  <si>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</si>
  <si>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</si>
  <si>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</si>
  <si>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</si>
  <si>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</si>
  <si>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</si>
  <si>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</si>
  <si>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</si>
  <si>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</si>
  <si>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</si>
  <si>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</si>
  <si>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</si>
  <si>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</si>
  <si>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</si>
  <si>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</si>
  <si>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</si>
  <si>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</si>
  <si>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</si>
  <si>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</si>
  <si>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</si>
  <si>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</si>
  <si>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</si>
  <si>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</si>
  <si>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</si>
  <si>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</si>
  <si>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</si>
  <si>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</si>
  <si>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</si>
  <si>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</si>
  <si>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</si>
  <si>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</si>
  <si>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</si>
  <si>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</si>
  <si>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</si>
  <si>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</si>
  <si>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</si>
  <si>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</si>
  <si>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</si>
  <si>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</si>
  <si>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</si>
  <si>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</si>
  <si>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</si>
  <si>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</si>
  <si>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</si>
  <si>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</si>
  <si>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</si>
  <si>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</si>
  <si>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</si>
  <si>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</si>
  <si>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</si>
  <si>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</si>
  <si>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</si>
  <si>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</si>
  <si>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</si>
  <si>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</si>
  <si>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</si>
  <si>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</si>
  <si>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</si>
  <si>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</si>
  <si>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</si>
  <si>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</si>
  <si>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</si>
  <si>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</si>
  <si>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</si>
  <si>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</si>
  <si>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</si>
  <si>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</si>
  <si>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</si>
  <si>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</si>
  <si>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</si>
  <si>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</si>
  <si>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</si>
  <si>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</si>
  <si>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</si>
  <si>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</si>
  <si>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</si>
  <si>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</si>
  <si>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</si>
  <si>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</si>
  <si>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</si>
  <si>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</si>
  <si>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</si>
  <si>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</si>
  <si>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</si>
  <si>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</si>
  <si>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</si>
  <si>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</si>
  <si>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</si>
  <si>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</si>
  <si>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</si>
  <si>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</si>
  <si>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</si>
  <si>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</si>
  <si>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</si>
  <si>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</si>
  <si>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</si>
  <si>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</si>
  <si>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</si>
  <si>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</si>
  <si>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</si>
  <si>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</si>
  <si>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</si>
  <si>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</si>
  <si>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</si>
  <si>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</si>
  <si>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</si>
  <si>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</si>
  <si>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</si>
  <si>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</si>
  <si>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</si>
  <si>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</si>
  <si>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</si>
  <si>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</si>
  <si>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</si>
  <si>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</si>
  <si>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</si>
  <si>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</si>
  <si>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</si>
  <si>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</si>
  <si>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</si>
  <si>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</si>
  <si>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</si>
  <si>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</si>
  <si>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</si>
  <si>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</si>
  <si>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</si>
  <si>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</si>
  <si>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</si>
  <si>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</si>
  <si>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</si>
  <si>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</si>
  <si>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</si>
  <si>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</si>
  <si>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</si>
  <si>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</si>
  <si>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</si>
  <si>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</si>
  <si>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</si>
  <si>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</si>
  <si>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</si>
  <si>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</si>
  <si>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</si>
  <si>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</si>
  <si>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</si>
  <si>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</si>
  <si>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</si>
  <si>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</si>
  <si>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</si>
  <si>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</si>
  <si>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</si>
  <si>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</si>
  <si>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</si>
  <si>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</si>
  <si>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</si>
  <si>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</si>
  <si>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</si>
  <si>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</si>
  <si>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</si>
  <si>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</si>
  <si>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</si>
  <si>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</si>
  <si>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</si>
  <si>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</si>
  <si>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</si>
  <si>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</si>
  <si>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</si>
  <si>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</si>
  <si>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</si>
  <si>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</si>
  <si>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</si>
  <si>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</si>
  <si>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</si>
  <si>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</si>
  <si>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</si>
  <si>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</si>
  <si>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</si>
  <si>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</si>
  <si>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</si>
  <si>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</si>
  <si>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</si>
  <si>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</si>
  <si>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</si>
  <si>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</si>
  <si>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</si>
  <si>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</si>
  <si>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</si>
  <si>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</si>
  <si>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</si>
  <si>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</si>
  <si>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</si>
  <si>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</si>
  <si>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</si>
  <si>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</si>
  <si>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</si>
  <si>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</si>
  <si>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</si>
  <si>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</si>
  <si>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</si>
  <si>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</si>
  <si>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</si>
  <si>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</si>
  <si>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</si>
  <si>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</si>
  <si>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</si>
  <si>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</si>
  <si>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</si>
  <si>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</si>
  <si>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</si>
  <si>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</si>
  <si>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</si>
  <si>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</si>
  <si>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</si>
  <si>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</si>
  <si>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</si>
  <si>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</si>
  <si>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</si>
  <si>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</si>
  <si>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</si>
  <si>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</si>
  <si>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</si>
  <si>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</si>
  <si>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</si>
  <si>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</si>
  <si>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</si>
  <si>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</si>
  <si>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</si>
  <si>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</si>
  <si>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</si>
  <si>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</si>
  <si>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</si>
  <si>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</si>
  <si>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</si>
  <si>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</si>
  <si>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</si>
  <si>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</si>
  <si>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</si>
  <si>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</si>
  <si>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</si>
  <si>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</si>
  <si>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</si>
  <si>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</si>
  <si>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</si>
  <si>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</si>
  <si>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</si>
  <si>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</si>
  <si>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</si>
  <si>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</si>
  <si>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</si>
  <si>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</si>
  <si>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</si>
  <si>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</si>
  <si>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</si>
  <si>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</si>
  <si>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</si>
  <si>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</si>
  <si>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</si>
  <si>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</si>
  <si>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</si>
  <si>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</si>
  <si>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</si>
  <si>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</si>
  <si>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</si>
  <si>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</si>
  <si>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</si>
  <si>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</si>
  <si>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</si>
  <si>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</si>
  <si>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</si>
  <si>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</si>
  <si>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</si>
  <si>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</si>
  <si>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</si>
  <si>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</si>
  <si>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</si>
  <si>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</si>
  <si>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</si>
  <si>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</si>
  <si>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</si>
  <si>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</si>
  <si>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</si>
  <si>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</si>
  <si>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</si>
  <si>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</si>
  <si>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</si>
  <si>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</si>
  <si>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</si>
  <si>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</si>
  <si>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</si>
  <si>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</si>
  <si>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</si>
  <si>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</si>
  <si>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</si>
  <si>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</si>
  <si>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</si>
  <si>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</si>
  <si>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</si>
  <si>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</si>
  <si>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</si>
  <si>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</si>
  <si>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</si>
  <si>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</si>
  <si>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</si>
  <si>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</si>
  <si>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</si>
  <si>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</si>
  <si>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</si>
  <si>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</si>
  <si>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</si>
  <si>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</si>
  <si>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</si>
  <si>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</si>
  <si>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</si>
  <si>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</si>
  <si>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</si>
  <si>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</si>
  <si>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</si>
  <si>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</si>
  <si>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</si>
  <si>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</si>
  <si>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</si>
  <si>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</si>
  <si>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</si>
  <si>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</si>
  <si>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</si>
  <si>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</si>
  <si>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</si>
  <si>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</si>
  <si>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</si>
  <si>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</si>
  <si>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</si>
  <si>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</si>
  <si>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</si>
  <si>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</si>
  <si>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</si>
  <si>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</si>
  <si>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</si>
  <si>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</si>
  <si>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</si>
  <si>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</si>
  <si>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</si>
  <si>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</si>
  <si>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</si>
  <si>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</si>
  <si>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</si>
  <si>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</si>
  <si>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</si>
  <si>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</si>
  <si>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</si>
  <si>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</si>
  <si>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</si>
  <si>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</si>
  <si>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</si>
  <si>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</si>
  <si>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</si>
  <si>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</si>
  <si>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</si>
  <si>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</si>
  <si>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</si>
  <si>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</si>
  <si>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</si>
  <si>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</si>
  <si>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</si>
  <si>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</si>
  <si>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</si>
  <si>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</si>
  <si>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</si>
  <si>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</si>
  <si>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</si>
  <si>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</si>
  <si>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</si>
  <si>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</si>
  <si>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</si>
  <si>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</si>
  <si>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</si>
  <si>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</si>
  <si>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</si>
  <si>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</si>
  <si>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</si>
  <si>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</si>
  <si>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</si>
  <si>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</si>
  <si>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</si>
  <si>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</si>
  <si>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</si>
  <si>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</si>
  <si>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</si>
  <si>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</si>
  <si>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</si>
  <si>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</si>
  <si>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</si>
  <si>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</si>
  <si>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</si>
  <si>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</si>
  <si>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</si>
  <si>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</si>
  <si>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</si>
  <si>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</si>
  <si>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</si>
  <si>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</si>
  <si>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</si>
  <si>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</si>
  <si>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</si>
  <si>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</si>
  <si>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</si>
  <si>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</si>
  <si>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</si>
  <si>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</si>
  <si>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</si>
  <si>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</si>
  <si>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</si>
  <si>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</si>
  <si>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</si>
  <si>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</si>
  <si>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</si>
  <si>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</si>
  <si>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</si>
  <si>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</si>
  <si>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</si>
  <si>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</si>
  <si>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</si>
  <si>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</si>
  <si>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</si>
  <si>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</si>
  <si>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</si>
  <si>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</si>
  <si>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</si>
  <si>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</si>
  <si>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</si>
  <si>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</si>
  <si>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</si>
  <si>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</si>
  <si>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</si>
  <si>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</si>
  <si>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</si>
  <si>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</si>
  <si>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</si>
  <si>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</si>
  <si>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</si>
  <si>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</si>
  <si>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</si>
  <si>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</si>
  <si>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</si>
  <si>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</si>
  <si>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</si>
  <si>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</si>
  <si>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</si>
  <si>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</si>
  <si>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</si>
  <si>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</si>
  <si>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</si>
  <si>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</si>
  <si>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</si>
  <si>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</si>
  <si>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</si>
  <si>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</si>
  <si>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</si>
  <si>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</si>
  <si>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</si>
  <si>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</si>
  <si>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</si>
  <si>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</si>
  <si>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</si>
  <si>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</si>
  <si>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</si>
  <si>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</si>
  <si>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</si>
  <si>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</si>
  <si>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</si>
  <si>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</si>
  <si>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</si>
  <si>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</si>
  <si>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</si>
  <si>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</si>
  <si>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</si>
  <si>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</si>
  <si>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</si>
  <si>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</si>
  <si>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</si>
  <si>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</si>
  <si>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</si>
  <si>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</si>
  <si>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</si>
  <si>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</si>
  <si>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</si>
  <si>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</si>
  <si>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</si>
  <si>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</si>
  <si>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</si>
  <si>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</si>
  <si>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</si>
  <si>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</si>
  <si>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</si>
  <si>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</si>
  <si>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</si>
  <si>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</si>
  <si>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</si>
  <si>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</si>
  <si>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</si>
  <si>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</si>
  <si>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</si>
  <si>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</si>
  <si>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</si>
  <si>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</si>
  <si>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</si>
  <si>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</si>
  <si>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</si>
  <si>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</si>
  <si>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</si>
  <si>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</si>
  <si>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</si>
  <si>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</si>
  <si>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</si>
  <si>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</si>
  <si>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</si>
  <si>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</si>
  <si>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</si>
  <si>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</si>
  <si>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</si>
  <si>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</si>
  <si>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</si>
  <si>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</si>
  <si>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</si>
  <si>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</si>
  <si>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</si>
  <si>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</si>
  <si>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</si>
  <si>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</si>
  <si>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</si>
  <si>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</si>
  <si>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</si>
  <si>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</si>
  <si>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</si>
  <si>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</si>
  <si>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</si>
  <si>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</si>
  <si>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</si>
  <si>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</si>
  <si>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</si>
  <si>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</si>
  <si>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</si>
  <si>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</si>
  <si>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</si>
  <si>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</si>
  <si>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</si>
  <si>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</si>
  <si>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</si>
  <si>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</si>
  <si>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</si>
  <si>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</si>
  <si>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</si>
  <si>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</si>
  <si>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</si>
  <si>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</si>
  <si>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</si>
  <si>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</si>
  <si>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</si>
  <si>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</si>
  <si>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</si>
  <si>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</si>
  <si>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</si>
  <si>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</si>
  <si>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</si>
  <si>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</si>
  <si>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</si>
  <si>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</si>
  <si>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</si>
  <si>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</si>
  <si>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</si>
  <si>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</si>
  <si>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</si>
  <si>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</si>
  <si>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</si>
  <si>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</si>
  <si>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</si>
  <si>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</si>
  <si>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</si>
  <si>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</si>
  <si>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</si>
  <si>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</si>
  <si>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</si>
  <si>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</si>
  <si>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</si>
  <si>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</si>
  <si>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</si>
  <si>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1554504#2</t>
  </si>
  <si>
    <t>Frimont Sa</t>
  </si>
  <si>
    <t>4549848#1</t>
  </si>
  <si>
    <t>Cmrcimbras</t>
  </si>
  <si>
    <t>4478992#1, 1129100#1</t>
  </si>
  <si>
    <t>Jvconstructor</t>
  </si>
  <si>
    <t>4553745#1</t>
  </si>
  <si>
    <t>Hrcasinopuntacana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</si>
  <si>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</si>
  <si>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</si>
  <si>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</si>
  <si>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</si>
  <si>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</si>
  <si>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</si>
  <si>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</si>
  <si>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</si>
  <si>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</si>
  <si>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</si>
  <si>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</si>
  <si>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</si>
  <si>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</si>
  <si>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</si>
  <si>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</si>
  <si>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</si>
  <si>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</si>
  <si>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</si>
  <si>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</si>
  <si>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</si>
  <si>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</si>
  <si>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</si>
  <si>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</si>
  <si>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</si>
  <si>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</si>
  <si>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</si>
  <si>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</si>
  <si>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</si>
  <si>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</si>
  <si>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</si>
  <si>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</si>
  <si>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</si>
  <si>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</si>
  <si>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</si>
  <si>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</si>
  <si>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</si>
  <si>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</si>
  <si>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</si>
  <si>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</si>
  <si>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2514614#1</t>
  </si>
  <si>
    <t>Colortex</t>
  </si>
  <si>
    <t>2418649#1</t>
  </si>
  <si>
    <t>Tecno Lite</t>
  </si>
  <si>
    <t>4448993#1</t>
  </si>
  <si>
    <t>GRUPO MOLICOM</t>
  </si>
  <si>
    <t>4440948#1</t>
  </si>
  <si>
    <t>Teco</t>
  </si>
  <si>
    <t>3858152#1</t>
  </si>
  <si>
    <t>Cafesoluble</t>
  </si>
  <si>
    <t>441299#4</t>
  </si>
  <si>
    <t>maquiprocesos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</si>
  <si>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</si>
  <si>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</si>
  <si>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</si>
  <si>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</si>
  <si>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</si>
  <si>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</si>
  <si>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4402198#1</t>
  </si>
  <si>
    <t>Salum &amp; Wenz Constructora</t>
  </si>
  <si>
    <t>576639#1</t>
  </si>
  <si>
    <t>Zegesa</t>
  </si>
  <si>
    <t>4294850#1</t>
  </si>
  <si>
    <t>INTEGRA RETAIL</t>
  </si>
  <si>
    <t>4442904#1</t>
  </si>
  <si>
    <t>Amalgama S A</t>
  </si>
  <si>
    <t>4576429#1</t>
  </si>
  <si>
    <t>Tilde Studio</t>
  </si>
  <si>
    <t>4546586#1</t>
  </si>
  <si>
    <t>Kaizen360pe</t>
  </si>
  <si>
    <t>991036#1</t>
  </si>
  <si>
    <t>Ramada Buenos Aires hotel</t>
  </si>
  <si>
    <t>4384525#1</t>
  </si>
  <si>
    <t>Ramac</t>
  </si>
  <si>
    <t>2145417#1</t>
  </si>
  <si>
    <t>Ultramodular</t>
  </si>
  <si>
    <t>4477790#1</t>
  </si>
  <si>
    <t>Lumierearquitectura</t>
  </si>
  <si>
    <t>552169#1</t>
  </si>
  <si>
    <t>Ricardo Esteban Castellon Bogran</t>
  </si>
  <si>
    <t>878469#1</t>
  </si>
  <si>
    <t>Miranda Arquitectos</t>
  </si>
  <si>
    <t>3585492#1</t>
  </si>
  <si>
    <t>ASM Construcciones</t>
  </si>
  <si>
    <t>4587314#1</t>
  </si>
  <si>
    <t>Opuscenter</t>
  </si>
  <si>
    <t>4615441#1</t>
  </si>
  <si>
    <t>Prodemco</t>
  </si>
  <si>
    <t>4649784#1</t>
  </si>
  <si>
    <t>Vialterra</t>
  </si>
  <si>
    <t>1264286#1</t>
  </si>
  <si>
    <t>Expo Imagen Hn</t>
  </si>
  <si>
    <t>1714541#1</t>
  </si>
  <si>
    <t>Thomasjefferson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</si>
  <si>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</si>
  <si>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</si>
  <si>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</si>
  <si>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</si>
  <si>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</si>
  <si>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</si>
  <si>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</si>
  <si>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</si>
  <si>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</si>
  <si>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</si>
  <si>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</si>
  <si>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</si>
  <si>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</si>
  <si>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</si>
  <si>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</si>
  <si>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</si>
  <si>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</si>
  <si>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</si>
  <si>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</si>
  <si>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</si>
  <si>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4212196#1</t>
  </si>
  <si>
    <t>Ifssac</t>
  </si>
  <si>
    <t>4528943#1</t>
  </si>
  <si>
    <t>Construccionescct</t>
  </si>
  <si>
    <t>2392382#1</t>
  </si>
  <si>
    <t>Cobitat</t>
  </si>
  <si>
    <t>4610393#1</t>
  </si>
  <si>
    <t>Ingomar - Soluciones en Caucho</t>
  </si>
  <si>
    <t>4589085#1</t>
  </si>
  <si>
    <t>Omeinteriors</t>
  </si>
  <si>
    <t>3867287#1</t>
  </si>
  <si>
    <t>Gomez Roco</t>
  </si>
  <si>
    <t>4573944#1</t>
  </si>
  <si>
    <t>Laposta</t>
  </si>
  <si>
    <t>4562412#1</t>
  </si>
  <si>
    <t>Aesarquitectos</t>
  </si>
  <si>
    <t>1329080#1</t>
  </si>
  <si>
    <t>EXO S.A. - Soluciones Tecnológicas</t>
  </si>
  <si>
    <t>4605286#1</t>
  </si>
  <si>
    <t>Grupoancon</t>
  </si>
  <si>
    <t>1830401#2</t>
  </si>
  <si>
    <t>DelCampo School</t>
  </si>
  <si>
    <t>2394114#1</t>
  </si>
  <si>
    <t>Carpeal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</si>
  <si>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</si>
  <si>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</si>
  <si>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</si>
  <si>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</si>
  <si>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</si>
  <si>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</si>
  <si>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</si>
  <si>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4643293#1</t>
  </si>
  <si>
    <t>MUEBLES GL SAC</t>
  </si>
  <si>
    <t>4576242#1</t>
  </si>
  <si>
    <t>Echegarayarquitectos</t>
  </si>
  <si>
    <t>4590983#1</t>
  </si>
  <si>
    <t>Filabe</t>
  </si>
  <si>
    <t>4544508#1</t>
  </si>
  <si>
    <t>Ofinova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</si>
  <si>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</si>
  <si>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</si>
  <si>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</si>
  <si>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</si>
  <si>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</si>
  <si>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</si>
  <si>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</si>
  <si>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</si>
  <si>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</si>
  <si>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</si>
  <si>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</si>
  <si>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</si>
  <si>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</si>
  <si>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</si>
  <si>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</si>
  <si>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</si>
  <si>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</si>
  <si>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</si>
  <si>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</si>
  <si>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</si>
  <si>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</si>
  <si>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</si>
  <si>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</si>
  <si>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</si>
  <si>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</si>
  <si>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</si>
  <si>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</si>
  <si>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</si>
  <si>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</si>
  <si>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</si>
  <si>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</si>
  <si>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</si>
  <si>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</si>
  <si>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</si>
  <si>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</si>
  <si>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</si>
  <si>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</si>
  <si>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</si>
  <si>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</si>
  <si>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</si>
  <si>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</si>
  <si>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</si>
  <si>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</si>
  <si>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</si>
  <si>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</si>
  <si>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</si>
  <si>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</si>
  <si>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</si>
  <si>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</si>
  <si>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</si>
  <si>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</si>
  <si>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</si>
  <si>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</si>
  <si>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</si>
  <si>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1069552#1</t>
  </si>
  <si>
    <t>Zibza Arquitectos</t>
  </si>
  <si>
    <t>752966#2</t>
  </si>
  <si>
    <t>Intenisa</t>
  </si>
  <si>
    <t>1909411#1, 1692352#1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</si>
  <si>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</si>
  <si>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</si>
  <si>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</si>
  <si>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</si>
  <si>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</si>
  <si>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</si>
  <si>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</si>
  <si>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</si>
  <si>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</si>
  <si>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</si>
  <si>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</si>
  <si>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</si>
  <si>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</si>
  <si>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</si>
  <si>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</si>
  <si>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</si>
  <si>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</si>
  <si>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</si>
  <si>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</si>
  <si>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</si>
  <si>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</si>
  <si>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</si>
  <si>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</si>
  <si>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</si>
  <si>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</si>
  <si>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</si>
  <si>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</si>
  <si>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</si>
  <si>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</si>
  <si>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</si>
  <si>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</si>
  <si>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</si>
  <si>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</si>
  <si>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</si>
  <si>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</si>
  <si>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</si>
  <si>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</si>
  <si>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4334064#1</t>
  </si>
  <si>
    <t>Elmntosarquitectura</t>
  </si>
  <si>
    <t>891797#1</t>
  </si>
  <si>
    <t>Benito Roggio e Hijos S.A Paraguay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</si>
  <si>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</si>
  <si>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</si>
  <si>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</si>
  <si>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</si>
  <si>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</si>
  <si>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1548654#1</t>
  </si>
  <si>
    <t>Duodesignlatam</t>
  </si>
  <si>
    <t>1193653#1</t>
  </si>
  <si>
    <t>Lihue Ingenieria S A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</si>
  <si>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</si>
  <si>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</si>
  <si>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</si>
  <si>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</si>
  <si>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</si>
  <si>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4390615#1</t>
  </si>
  <si>
    <t>Cohenarchitecture</t>
  </si>
  <si>
    <t>1856715#1</t>
  </si>
  <si>
    <t>Rowa S A</t>
  </si>
  <si>
    <t>4427483#1</t>
  </si>
  <si>
    <t>Dfsolucionescr</t>
  </si>
  <si>
    <t>448954#1</t>
  </si>
  <si>
    <t>Arke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</si>
  <si>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</si>
  <si>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</si>
  <si>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</si>
  <si>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</si>
  <si>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</si>
  <si>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2243817#1</t>
  </si>
  <si>
    <t>Arquifoamgt</t>
  </si>
  <si>
    <t>Multiplied case - Ruvixx Strategic Old Accounts</t>
  </si>
  <si>
    <t>715742#1</t>
  </si>
  <si>
    <t>ROSART Eirl</t>
  </si>
  <si>
    <t>2294246#1</t>
  </si>
  <si>
    <t>Programática de Costa Rica S.A.</t>
  </si>
  <si>
    <t>4366325#1</t>
  </si>
  <si>
    <t>Admdalvian</t>
  </si>
  <si>
    <t>3802131#2</t>
  </si>
  <si>
    <t>Desarrollo Y Nutricion Animal</t>
  </si>
  <si>
    <t>4551859#1</t>
  </si>
  <si>
    <t>Alcasrl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</si>
  <si>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</si>
  <si>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</si>
  <si>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</si>
  <si>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</si>
  <si>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</si>
  <si>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</si>
  <si>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</si>
  <si>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</si>
  <si>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4216035#1</t>
  </si>
  <si>
    <t>Solrealgroup</t>
  </si>
  <si>
    <t>2189826#1</t>
  </si>
  <si>
    <t>Grupo MDay</t>
  </si>
  <si>
    <t>1451853#2</t>
  </si>
  <si>
    <t>SCH ConsultorÃ­a y ConstrucciÃ³n</t>
  </si>
  <si>
    <t>2353931#1</t>
  </si>
  <si>
    <t>Palma Orlando Agustin</t>
  </si>
  <si>
    <t>593940#1</t>
  </si>
  <si>
    <t>Cb2arq</t>
  </si>
  <si>
    <t>1265310#1</t>
  </si>
  <si>
    <t>CScreatividad Stands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</si>
  <si>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</si>
  <si>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</si>
  <si>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</si>
  <si>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</si>
  <si>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</si>
  <si>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</si>
  <si>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</si>
  <si>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</si>
  <si>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</si>
  <si>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</si>
  <si>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</si>
  <si>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</si>
  <si>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</si>
  <si>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</si>
  <si>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</si>
  <si>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</si>
  <si>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</si>
  <si>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</si>
  <si>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</si>
  <si>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</si>
  <si>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</si>
  <si>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</si>
  <si>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</si>
  <si>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</si>
  <si>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</si>
  <si>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</si>
  <si>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</si>
  <si>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</si>
  <si>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</si>
  <si>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</si>
  <si>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</si>
  <si>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</si>
  <si>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</si>
  <si>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</si>
  <si>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</si>
  <si>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</si>
  <si>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</si>
  <si>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</si>
  <si>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</si>
  <si>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</si>
  <si>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</si>
  <si>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</si>
  <si>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</si>
  <si>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</si>
  <si>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Reincidencia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</si>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</sst>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59aed092-ae7c-4772-805f-0333bbdcfd5e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m/>
      </sharedItems>
    </cacheField>
    <cacheField name="Country" numFmtId="0">
      <sharedItems containsBlank="1">
        <s v="Dominican Republic"/>
        <s v="Costa Rica"/>
        <s v="Guatemala"/>
        <s v="Belize"/>
        <s v="Honduras"/>
        <s v="Nicaragua"/>
        <s v="Mexico"/>
        <s v="Panama"/>
        <s v="El Salvador"/>
        <m/>
      </sharedItems>
    </cacheField>
    <cacheField name="Investigator" numFmtId="0">
      <sharedItems containsBlank="1">
        <s v="Clara"/>
        <s v="Maria Celeste"/>
        <s v="Noel"/>
        <s v="Francisco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>
      <sharedItems containsDate="1" containsString="0" containsBlank="1" containsMixedTypes="1">
        <d v="2026-06-09T00:00:00Z"/>
        <d v="2026-06-08T00:00:00Z"/>
        <n v="6706379.0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m/>
      </sharedItems>
    </cacheField>
    <cacheField name="Investigator" numFmtId="0">
      <sharedItems containsBlank="1">
        <s v="Luis"/>
        <s v="Rafael"/>
        <s v="Mariadelaida"/>
        <s v="Daniela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3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name="Country" axis="axisRow" dataField="1" compact="0" outline="0" multipleItemSelectionAllowed="1" showAll="0" sortType="ascending">
      <items>
        <item x="9"/>
        <item x="3"/>
        <item x="1"/>
        <item x="0"/>
        <item x="8"/>
        <item x="2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4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3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7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ountry" axis="axisRow" dataField="1" compact="0" outline="0" multipleItemSelectionAllowed="1" showAll="0" sortType="ascending">
      <items>
        <item x="7"/>
        <item x="0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59aed092-ae7c-4772-805f-0333bbdcfd5e}" id="{d8255f6c-7bc5-4be0-bf90-1f4156741429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</v>
      </c>
      <c r="F55" s="246">
        <f t="shared" ref="F55:F57" si="3">C55-E55</f>
        <v>29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9</v>
      </c>
      <c r="L55" s="33">
        <f t="shared" ref="L55:L59" si="4">I55-K55</f>
        <v>1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11</v>
      </c>
      <c r="F56" s="246">
        <f t="shared" si="3"/>
        <v>9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9</v>
      </c>
      <c r="L56" s="33">
        <f t="shared" si="4"/>
        <v>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10</v>
      </c>
      <c r="F57" s="246">
        <f t="shared" si="3"/>
        <v>10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9</v>
      </c>
      <c r="L57" s="33">
        <f t="shared" si="4"/>
        <v>11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4</v>
      </c>
      <c r="L58" s="33">
        <f t="shared" si="4"/>
        <v>16</v>
      </c>
    </row>
    <row r="59" outlineLevel="1">
      <c r="D59" s="10"/>
      <c r="E59" s="37" t="s">
        <v>41</v>
      </c>
      <c r="F59" s="38">
        <f>SUM(F55:F57)</f>
        <v>48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10</v>
      </c>
      <c r="L59" s="33">
        <f t="shared" si="4"/>
        <v>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29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/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/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 t="s">
        <v>16</v>
      </c>
      <c r="V4" s="370" t="s">
        <v>9</v>
      </c>
      <c r="W4" s="195"/>
      <c r="X4" s="371"/>
      <c r="Z4" s="401">
        <v>46181.0</v>
      </c>
      <c r="AA4" s="273" t="s">
        <v>3688</v>
      </c>
      <c r="AB4" s="273" t="s">
        <v>3689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3690</v>
      </c>
      <c r="D5" s="373" t="s">
        <v>3691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3692</v>
      </c>
      <c r="L5" s="109" t="s">
        <v>3693</v>
      </c>
      <c r="M5" s="58"/>
      <c r="N5" s="58" t="s">
        <v>20</v>
      </c>
      <c r="O5" s="109" t="s">
        <v>3694</v>
      </c>
      <c r="P5" s="298"/>
      <c r="R5" s="369">
        <v>46182.0</v>
      </c>
      <c r="S5" s="326" t="s">
        <v>3695</v>
      </c>
      <c r="T5" s="326" t="s">
        <v>3696</v>
      </c>
      <c r="U5" s="370" t="s">
        <v>10</v>
      </c>
      <c r="V5" s="370" t="s">
        <v>9</v>
      </c>
      <c r="W5" s="195"/>
      <c r="X5" s="371"/>
      <c r="Z5" s="403">
        <v>46181.0</v>
      </c>
      <c r="AA5" s="294" t="s">
        <v>3697</v>
      </c>
      <c r="AB5" s="294" t="s">
        <v>3698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3699</v>
      </c>
      <c r="D6" s="273" t="s">
        <v>3700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3701</v>
      </c>
      <c r="L6" s="109" t="s">
        <v>3702</v>
      </c>
      <c r="M6" s="58"/>
      <c r="N6" s="58" t="s">
        <v>20</v>
      </c>
      <c r="O6" s="109" t="s">
        <v>3703</v>
      </c>
      <c r="P6" s="298"/>
      <c r="R6" s="369">
        <v>46182.0</v>
      </c>
      <c r="S6" s="326" t="s">
        <v>3704</v>
      </c>
      <c r="T6" s="326" t="s">
        <v>3705</v>
      </c>
      <c r="U6" s="370" t="s">
        <v>10</v>
      </c>
      <c r="V6" s="370" t="s">
        <v>9</v>
      </c>
      <c r="W6" s="326"/>
      <c r="X6" s="386"/>
      <c r="Z6" s="401">
        <v>46181.0</v>
      </c>
      <c r="AA6" s="273" t="s">
        <v>3706</v>
      </c>
      <c r="AB6" s="273" t="s">
        <v>3707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3708</v>
      </c>
      <c r="D7" s="373" t="s">
        <v>3709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3710</v>
      </c>
      <c r="L7" s="109" t="s">
        <v>3711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3712</v>
      </c>
      <c r="T7" s="326" t="s">
        <v>3713</v>
      </c>
      <c r="U7" s="370" t="s">
        <v>950</v>
      </c>
      <c r="V7" s="370" t="s">
        <v>9</v>
      </c>
      <c r="W7" s="195"/>
      <c r="X7" s="371"/>
      <c r="Z7" s="403">
        <v>46181.0</v>
      </c>
      <c r="AA7" s="294" t="s">
        <v>3714</v>
      </c>
      <c r="AB7" s="294" t="s">
        <v>3715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3716</v>
      </c>
      <c r="D8" s="457" t="s">
        <v>3717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3718</v>
      </c>
      <c r="L8" s="109" t="s">
        <v>3719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3720</v>
      </c>
      <c r="T8" s="460" t="s">
        <v>3721</v>
      </c>
      <c r="U8" s="461" t="s">
        <v>19</v>
      </c>
      <c r="V8" s="462" t="s">
        <v>2347</v>
      </c>
      <c r="W8" s="109"/>
      <c r="X8" s="298"/>
      <c r="Z8" s="401">
        <v>46181.0</v>
      </c>
      <c r="AA8" s="273" t="s">
        <v>3722</v>
      </c>
      <c r="AB8" s="273" t="s">
        <v>3723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3724</v>
      </c>
      <c r="D9" s="373" t="s">
        <v>3725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3726</v>
      </c>
      <c r="L9" s="294" t="s">
        <v>3727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3728</v>
      </c>
      <c r="T9" s="459" t="s">
        <v>3729</v>
      </c>
      <c r="U9" s="464" t="s">
        <v>19</v>
      </c>
      <c r="V9" s="465" t="s">
        <v>9</v>
      </c>
      <c r="W9" s="61"/>
      <c r="X9" s="269"/>
      <c r="Z9" s="403">
        <v>46181.0</v>
      </c>
      <c r="AA9" s="294" t="s">
        <v>3730</v>
      </c>
      <c r="AB9" s="294" t="s">
        <v>3731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3732</v>
      </c>
      <c r="D10" s="413" t="s">
        <v>3733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3734</v>
      </c>
      <c r="L10" s="273" t="s">
        <v>3735</v>
      </c>
      <c r="M10" s="274" t="s">
        <v>15</v>
      </c>
      <c r="N10" s="274" t="s">
        <v>2337</v>
      </c>
      <c r="O10" s="109" t="s">
        <v>3736</v>
      </c>
      <c r="P10" s="298"/>
      <c r="R10" s="369">
        <v>46182.0</v>
      </c>
      <c r="S10" s="459" t="s">
        <v>3737</v>
      </c>
      <c r="T10" s="459" t="s">
        <v>3738</v>
      </c>
      <c r="U10" s="58" t="s">
        <v>32</v>
      </c>
      <c r="V10" s="58" t="s">
        <v>9</v>
      </c>
      <c r="W10" s="61"/>
      <c r="X10" s="269"/>
      <c r="Z10" s="401">
        <v>46181.0</v>
      </c>
      <c r="AA10" s="273" t="s">
        <v>3739</v>
      </c>
      <c r="AB10" s="273" t="s">
        <v>3740</v>
      </c>
      <c r="AC10" s="402" t="s">
        <v>18</v>
      </c>
      <c r="AD10" s="402" t="s">
        <v>2337</v>
      </c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3741</v>
      </c>
      <c r="D11" s="273" t="s">
        <v>3742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3743</v>
      </c>
      <c r="L11" s="294" t="s">
        <v>3744</v>
      </c>
      <c r="M11" s="295" t="s">
        <v>18</v>
      </c>
      <c r="N11" s="295" t="s">
        <v>2337</v>
      </c>
      <c r="O11" s="109" t="s">
        <v>3745</v>
      </c>
      <c r="P11" s="269" t="b">
        <v>1</v>
      </c>
      <c r="R11" s="270">
        <v>46182.0</v>
      </c>
      <c r="S11" s="273" t="s">
        <v>3746</v>
      </c>
      <c r="T11" s="413" t="s">
        <v>3747</v>
      </c>
      <c r="U11" s="402" t="s">
        <v>32</v>
      </c>
      <c r="V11" s="58" t="s">
        <v>12</v>
      </c>
      <c r="W11" s="109"/>
      <c r="X11" s="269"/>
      <c r="Z11" s="270">
        <v>46182.0</v>
      </c>
      <c r="AA11" s="109" t="s">
        <v>3748</v>
      </c>
      <c r="AB11" s="109" t="s">
        <v>3749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3750</v>
      </c>
      <c r="D12" s="294" t="s">
        <v>3751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3752</v>
      </c>
      <c r="L12" s="273" t="s">
        <v>3753</v>
      </c>
      <c r="M12" s="274" t="s">
        <v>27</v>
      </c>
      <c r="N12" s="274" t="s">
        <v>2337</v>
      </c>
      <c r="O12" s="109" t="s">
        <v>3745</v>
      </c>
      <c r="P12" s="269" t="b">
        <v>1</v>
      </c>
      <c r="R12" s="270">
        <v>46182.0</v>
      </c>
      <c r="S12" s="294" t="s">
        <v>3754</v>
      </c>
      <c r="T12" s="411" t="s">
        <v>3755</v>
      </c>
      <c r="U12" s="391" t="s">
        <v>22</v>
      </c>
      <c r="V12" s="58" t="s">
        <v>12</v>
      </c>
      <c r="W12" s="61"/>
      <c r="X12" s="269"/>
      <c r="Z12" s="270">
        <v>46182.0</v>
      </c>
      <c r="AA12" s="109" t="s">
        <v>3756</v>
      </c>
      <c r="AB12" s="109" t="s">
        <v>3757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3758</v>
      </c>
      <c r="D13" s="273" t="s">
        <v>3759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3760</v>
      </c>
      <c r="L13" s="294" t="s">
        <v>3761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3762</v>
      </c>
      <c r="T13" s="413" t="s">
        <v>3763</v>
      </c>
      <c r="U13" s="402" t="s">
        <v>32</v>
      </c>
      <c r="V13" s="58" t="s">
        <v>12</v>
      </c>
      <c r="W13" s="61"/>
      <c r="X13" s="269"/>
      <c r="Z13" s="270">
        <v>46182.0</v>
      </c>
      <c r="AA13" s="109" t="s">
        <v>3764</v>
      </c>
      <c r="AB13" s="109" t="s">
        <v>3765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3766</v>
      </c>
      <c r="D14" s="472" t="s">
        <v>3767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3768</v>
      </c>
      <c r="L14" s="273" t="s">
        <v>3769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3770</v>
      </c>
      <c r="T14" s="411" t="s">
        <v>3771</v>
      </c>
      <c r="U14" s="391" t="s">
        <v>10</v>
      </c>
      <c r="V14" s="58" t="s">
        <v>12</v>
      </c>
      <c r="W14" s="109"/>
      <c r="X14" s="269"/>
      <c r="Z14" s="270">
        <v>46182.0</v>
      </c>
      <c r="AA14" s="109" t="s">
        <v>3772</v>
      </c>
      <c r="AB14" s="109" t="s">
        <v>3773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3774</v>
      </c>
      <c r="D15" s="294" t="s">
        <v>3775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3776</v>
      </c>
      <c r="L15" s="294" t="s">
        <v>3777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3778</v>
      </c>
      <c r="T15" s="273" t="s">
        <v>3779</v>
      </c>
      <c r="U15" s="402" t="s">
        <v>24</v>
      </c>
      <c r="V15" s="402" t="s">
        <v>2344</v>
      </c>
      <c r="W15" s="61"/>
      <c r="X15" s="269"/>
      <c r="Z15" s="270">
        <v>46182.0</v>
      </c>
      <c r="AA15" s="384" t="s">
        <v>3780</v>
      </c>
      <c r="AB15" s="109" t="s">
        <v>3781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3782</v>
      </c>
      <c r="D16" s="273" t="s">
        <v>3783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3784</v>
      </c>
      <c r="L16" s="273" t="s">
        <v>3785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3786</v>
      </c>
      <c r="T16" s="294" t="s">
        <v>3787</v>
      </c>
      <c r="U16" s="391" t="s">
        <v>13</v>
      </c>
      <c r="V16" s="391" t="s">
        <v>2344</v>
      </c>
      <c r="W16" s="61"/>
      <c r="X16" s="269"/>
      <c r="Z16" s="270">
        <v>46182.0</v>
      </c>
      <c r="AA16" s="109" t="s">
        <v>3788</v>
      </c>
      <c r="AB16" s="109" t="s">
        <v>3789</v>
      </c>
      <c r="AC16" s="58" t="s">
        <v>11</v>
      </c>
      <c r="AD16" s="58" t="s">
        <v>20</v>
      </c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3790</v>
      </c>
      <c r="D17" s="273" t="s">
        <v>3791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3792</v>
      </c>
      <c r="L17" s="294" t="s">
        <v>3793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3794</v>
      </c>
      <c r="T17" s="294" t="s">
        <v>3795</v>
      </c>
      <c r="U17" s="391" t="s">
        <v>24</v>
      </c>
      <c r="V17" s="391" t="s">
        <v>2344</v>
      </c>
      <c r="W17" s="61"/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3796</v>
      </c>
      <c r="D18" s="273" t="s">
        <v>3797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3798</v>
      </c>
      <c r="L18" s="273" t="s">
        <v>3799</v>
      </c>
      <c r="M18" s="399" t="s">
        <v>11</v>
      </c>
      <c r="N18" s="410" t="s">
        <v>2338</v>
      </c>
      <c r="O18" s="109" t="s">
        <v>3800</v>
      </c>
      <c r="P18" s="298"/>
      <c r="R18" s="270">
        <v>46182.0</v>
      </c>
      <c r="S18" s="474" t="s">
        <v>3801</v>
      </c>
      <c r="T18" s="273" t="s">
        <v>2186</v>
      </c>
      <c r="U18" s="402" t="s">
        <v>24</v>
      </c>
      <c r="V18" s="402" t="s">
        <v>2344</v>
      </c>
      <c r="W18" s="61"/>
      <c r="X18" s="269"/>
      <c r="Z18" s="270">
        <v>46182.0</v>
      </c>
      <c r="AA18" s="109" t="s">
        <v>3802</v>
      </c>
      <c r="AB18" s="109" t="s">
        <v>3803</v>
      </c>
      <c r="AC18" s="58" t="s">
        <v>11</v>
      </c>
      <c r="AD18" s="58" t="s">
        <v>20</v>
      </c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3804</v>
      </c>
      <c r="D19" s="294" t="s">
        <v>3805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3806</v>
      </c>
      <c r="L19" s="294" t="s">
        <v>3807</v>
      </c>
      <c r="M19" s="441" t="s">
        <v>23</v>
      </c>
      <c r="N19" s="404" t="s">
        <v>2338</v>
      </c>
      <c r="O19" s="109" t="s">
        <v>3745</v>
      </c>
      <c r="P19" s="269" t="b">
        <v>1</v>
      </c>
      <c r="R19" s="270">
        <v>46182.0</v>
      </c>
      <c r="S19" s="474" t="s">
        <v>3808</v>
      </c>
      <c r="T19" s="273" t="s">
        <v>3809</v>
      </c>
      <c r="U19" s="402" t="s">
        <v>44</v>
      </c>
      <c r="V19" s="402" t="s">
        <v>2344</v>
      </c>
      <c r="W19" s="109"/>
      <c r="X19" s="269"/>
      <c r="Z19" s="270">
        <v>46182.0</v>
      </c>
      <c r="AA19" s="109" t="s">
        <v>3810</v>
      </c>
      <c r="AB19" s="109" t="s">
        <v>3811</v>
      </c>
      <c r="AC19" s="58" t="s">
        <v>18</v>
      </c>
      <c r="AD19" s="58" t="s">
        <v>20</v>
      </c>
      <c r="AE19" s="61"/>
      <c r="AF19" s="269"/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3812</v>
      </c>
      <c r="D20" s="273" t="s">
        <v>3813</v>
      </c>
      <c r="E20" s="402"/>
      <c r="F20" s="274" t="s">
        <v>2344</v>
      </c>
      <c r="G20" s="109" t="s">
        <v>3814</v>
      </c>
      <c r="H20" s="269"/>
      <c r="J20" s="382">
        <v>46174.0</v>
      </c>
      <c r="K20" s="273" t="s">
        <v>3815</v>
      </c>
      <c r="L20" s="273" t="s">
        <v>3816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3817</v>
      </c>
      <c r="T20" s="413" t="s">
        <v>3818</v>
      </c>
      <c r="U20" s="402" t="s">
        <v>13</v>
      </c>
      <c r="V20" s="58" t="s">
        <v>12</v>
      </c>
      <c r="W20" s="61"/>
      <c r="X20" s="269"/>
      <c r="Z20" s="270">
        <v>46182.0</v>
      </c>
      <c r="AA20" s="109" t="s">
        <v>3819</v>
      </c>
      <c r="AB20" s="407" t="s">
        <v>3820</v>
      </c>
      <c r="AC20" s="58" t="s">
        <v>11</v>
      </c>
      <c r="AD20" s="58" t="s">
        <v>20</v>
      </c>
      <c r="AE20" s="109"/>
      <c r="AF20" s="269"/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3821</v>
      </c>
      <c r="D21" s="430" t="s">
        <v>3822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3823</v>
      </c>
      <c r="L21" s="294" t="s">
        <v>3824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3825</v>
      </c>
      <c r="T21" s="411" t="s">
        <v>3826</v>
      </c>
      <c r="U21" s="391" t="s">
        <v>10</v>
      </c>
      <c r="V21" s="58" t="s">
        <v>12</v>
      </c>
      <c r="W21" s="109"/>
      <c r="X21" s="269"/>
      <c r="Z21" s="270">
        <v>46182.0</v>
      </c>
      <c r="AA21" s="109" t="s">
        <v>3827</v>
      </c>
      <c r="AB21" s="109" t="s">
        <v>3828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3829</v>
      </c>
      <c r="D22" s="480" t="s">
        <v>3830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3831</v>
      </c>
      <c r="L22" s="273" t="s">
        <v>3832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3833</v>
      </c>
      <c r="T22" s="413" t="s">
        <v>3834</v>
      </c>
      <c r="U22" s="402" t="s">
        <v>32</v>
      </c>
      <c r="V22" s="58" t="s">
        <v>12</v>
      </c>
      <c r="W22" s="61"/>
      <c r="X22" s="269"/>
      <c r="Z22" s="270">
        <v>46182.0</v>
      </c>
      <c r="AA22" s="109" t="s">
        <v>3835</v>
      </c>
      <c r="AB22" s="109" t="s">
        <v>3836</v>
      </c>
      <c r="AC22" s="58" t="s">
        <v>11</v>
      </c>
      <c r="AD22" s="58" t="s">
        <v>20</v>
      </c>
      <c r="AE22" s="61"/>
      <c r="AF22" s="269"/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3837</v>
      </c>
      <c r="D23" s="405" t="s">
        <v>3838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3839</v>
      </c>
      <c r="L23" s="294" t="s">
        <v>3840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3841</v>
      </c>
      <c r="T23" s="411" t="s">
        <v>3842</v>
      </c>
      <c r="U23" s="391" t="s">
        <v>24</v>
      </c>
      <c r="V23" s="58" t="s">
        <v>12</v>
      </c>
      <c r="W23" s="61"/>
      <c r="X23" s="269"/>
      <c r="Z23" s="270">
        <v>46182.0</v>
      </c>
      <c r="AA23" s="109" t="s">
        <v>3843</v>
      </c>
      <c r="AB23" s="109" t="s">
        <v>3844</v>
      </c>
      <c r="AC23" s="58" t="s">
        <v>21</v>
      </c>
      <c r="AD23" s="58" t="s">
        <v>20</v>
      </c>
      <c r="AE23" s="61"/>
      <c r="AF23" s="269"/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3845</v>
      </c>
      <c r="D24" s="373" t="s">
        <v>3846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3847</v>
      </c>
      <c r="L24" s="273" t="s">
        <v>3848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344"/>
      <c r="W24" s="61"/>
      <c r="X24" s="269"/>
      <c r="Z24" s="270">
        <v>46182.0</v>
      </c>
      <c r="AA24" s="109" t="s">
        <v>3849</v>
      </c>
      <c r="AB24" s="109" t="s">
        <v>3850</v>
      </c>
      <c r="AC24" s="58" t="s">
        <v>11</v>
      </c>
      <c r="AD24" s="58" t="s">
        <v>20</v>
      </c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3851</v>
      </c>
      <c r="D25" s="430" t="s">
        <v>3852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3853</v>
      </c>
      <c r="L25" s="294" t="s">
        <v>3854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344"/>
      <c r="W25" s="61"/>
      <c r="X25" s="269"/>
      <c r="Z25" s="270">
        <v>46182.0</v>
      </c>
      <c r="AA25" s="109" t="s">
        <v>3855</v>
      </c>
      <c r="AB25" s="109" t="s">
        <v>3856</v>
      </c>
      <c r="AC25" s="58" t="s">
        <v>21</v>
      </c>
      <c r="AD25" s="58" t="s">
        <v>20</v>
      </c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3857</v>
      </c>
      <c r="D26" s="294" t="s">
        <v>3858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3859</v>
      </c>
      <c r="L26" s="273" t="s">
        <v>3860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344"/>
      <c r="W26" s="61"/>
      <c r="X26" s="269"/>
      <c r="Z26" s="270">
        <v>46182.0</v>
      </c>
      <c r="AA26" s="109" t="s">
        <v>3861</v>
      </c>
      <c r="AB26" s="109" t="s">
        <v>3862</v>
      </c>
      <c r="AC26" s="58" t="s">
        <v>21</v>
      </c>
      <c r="AD26" s="58" t="s">
        <v>20</v>
      </c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3863</v>
      </c>
      <c r="D27" s="273" t="s">
        <v>3864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3865</v>
      </c>
      <c r="L27" s="294" t="s">
        <v>3866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344"/>
      <c r="W27" s="109"/>
      <c r="X27" s="269"/>
      <c r="Z27" s="270">
        <v>46182.0</v>
      </c>
      <c r="AA27" s="109" t="s">
        <v>3867</v>
      </c>
      <c r="AB27" s="109" t="s">
        <v>3868</v>
      </c>
      <c r="AC27" s="58" t="s">
        <v>21</v>
      </c>
      <c r="AD27" s="58" t="s">
        <v>20</v>
      </c>
      <c r="AE27" s="61"/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3869</v>
      </c>
      <c r="D28" s="373" t="s">
        <v>3870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3871</v>
      </c>
      <c r="L28" s="273" t="s">
        <v>3872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412"/>
      <c r="W28" s="61"/>
      <c r="X28" s="269"/>
      <c r="Z28" s="270">
        <v>6706379.0</v>
      </c>
      <c r="AA28" s="109" t="s">
        <v>3873</v>
      </c>
      <c r="AB28" s="109" t="s">
        <v>3874</v>
      </c>
      <c r="AC28" s="58" t="s">
        <v>21</v>
      </c>
      <c r="AD28" s="58" t="s">
        <v>20</v>
      </c>
      <c r="AE28" s="61"/>
      <c r="AF28" s="269"/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3875</v>
      </c>
      <c r="D29" s="373" t="s">
        <v>3876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3877</v>
      </c>
      <c r="L29" s="294" t="s">
        <v>3878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344"/>
      <c r="W29" s="61"/>
      <c r="X29" s="269"/>
      <c r="Z29" s="270">
        <v>46182.0</v>
      </c>
      <c r="AA29" s="109" t="s">
        <v>3879</v>
      </c>
      <c r="AB29" s="109" t="s">
        <v>3880</v>
      </c>
      <c r="AC29" s="58" t="s">
        <v>11</v>
      </c>
      <c r="AD29" s="58" t="s">
        <v>20</v>
      </c>
      <c r="AE29" s="61"/>
      <c r="AF29" s="269"/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3881</v>
      </c>
      <c r="D30" s="373" t="s">
        <v>3882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3883</v>
      </c>
      <c r="L30" s="273" t="s">
        <v>3884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344"/>
      <c r="W30" s="61"/>
      <c r="X30" s="269"/>
      <c r="Z30" s="270">
        <v>46182.0</v>
      </c>
      <c r="AA30" s="109" t="s">
        <v>3885</v>
      </c>
      <c r="AB30" s="109" t="s">
        <v>3886</v>
      </c>
      <c r="AC30" s="58" t="s">
        <v>21</v>
      </c>
      <c r="AD30" s="58" t="s">
        <v>20</v>
      </c>
      <c r="AE30" s="61"/>
      <c r="AF30" s="269"/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3887</v>
      </c>
      <c r="D31" s="373" t="s">
        <v>3888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3889</v>
      </c>
      <c r="L31" s="273" t="s">
        <v>3890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3"/>
      <c r="U31" s="58"/>
      <c r="V31" s="344"/>
      <c r="W31" s="61"/>
      <c r="X31" s="269"/>
      <c r="Z31" s="270">
        <v>46182.0</v>
      </c>
      <c r="AA31" s="109" t="s">
        <v>3891</v>
      </c>
      <c r="AB31" s="109" t="s">
        <v>3892</v>
      </c>
      <c r="AC31" s="58" t="s">
        <v>11</v>
      </c>
      <c r="AD31" s="58" t="s">
        <v>20</v>
      </c>
      <c r="AE31" s="61"/>
      <c r="AF31" s="269"/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3893</v>
      </c>
      <c r="D32" s="373" t="s">
        <v>3894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3895</v>
      </c>
      <c r="L32" s="294" t="s">
        <v>3896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344"/>
      <c r="W32" s="61"/>
      <c r="X32" s="269"/>
      <c r="Z32" s="270">
        <v>46182.0</v>
      </c>
      <c r="AA32" s="486" t="s">
        <v>3897</v>
      </c>
      <c r="AB32" s="460" t="s">
        <v>3898</v>
      </c>
      <c r="AC32" s="461" t="s">
        <v>18</v>
      </c>
      <c r="AD32" s="462" t="s">
        <v>14</v>
      </c>
      <c r="AE32" s="61"/>
      <c r="AF32" s="269"/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3899</v>
      </c>
      <c r="D33" s="373" t="s">
        <v>3900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3901</v>
      </c>
      <c r="L33" s="273" t="s">
        <v>3902</v>
      </c>
      <c r="M33" s="398"/>
      <c r="N33" s="431" t="s">
        <v>2338</v>
      </c>
      <c r="O33" s="109" t="s">
        <v>3537</v>
      </c>
      <c r="P33" s="269"/>
      <c r="R33" s="270"/>
      <c r="S33" s="384"/>
      <c r="T33" s="487"/>
      <c r="U33" s="58"/>
      <c r="V33" s="344"/>
      <c r="W33" s="61"/>
      <c r="X33" s="269"/>
      <c r="Z33" s="270">
        <v>46182.0</v>
      </c>
      <c r="AA33" s="486" t="s">
        <v>3903</v>
      </c>
      <c r="AB33" s="486" t="s">
        <v>3904</v>
      </c>
      <c r="AC33" s="488" t="s">
        <v>21</v>
      </c>
      <c r="AD33" s="462" t="s">
        <v>14</v>
      </c>
      <c r="AE33" s="61"/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9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3905</v>
      </c>
      <c r="D34" s="373" t="s">
        <v>3906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3907</v>
      </c>
      <c r="L34" s="294" t="s">
        <v>3908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344"/>
      <c r="W34" s="61"/>
      <c r="X34" s="269"/>
      <c r="Z34" s="270">
        <v>46182.0</v>
      </c>
      <c r="AA34" s="109" t="s">
        <v>3909</v>
      </c>
      <c r="AB34" s="109" t="s">
        <v>3910</v>
      </c>
      <c r="AC34" s="58" t="s">
        <v>27</v>
      </c>
      <c r="AD34" s="462" t="s">
        <v>14</v>
      </c>
      <c r="AE34" s="61"/>
      <c r="AF34" s="269"/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3911</v>
      </c>
      <c r="D35" s="373" t="s">
        <v>3912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3913</v>
      </c>
      <c r="L35" s="273" t="s">
        <v>3914</v>
      </c>
      <c r="M35" s="398"/>
      <c r="N35" s="431" t="s">
        <v>2338</v>
      </c>
      <c r="O35" s="109" t="s">
        <v>3915</v>
      </c>
      <c r="P35" s="269"/>
      <c r="R35" s="270"/>
      <c r="S35" s="109"/>
      <c r="T35" s="109"/>
      <c r="U35" s="58"/>
      <c r="V35" s="344"/>
      <c r="W35" s="61"/>
      <c r="X35" s="269"/>
      <c r="Z35" s="403">
        <v>46182.0</v>
      </c>
      <c r="AA35" s="294" t="s">
        <v>3916</v>
      </c>
      <c r="AB35" s="294" t="s">
        <v>3917</v>
      </c>
      <c r="AC35" s="391" t="s">
        <v>18</v>
      </c>
      <c r="AD35" s="391" t="s">
        <v>2337</v>
      </c>
      <c r="AE35" s="61"/>
      <c r="AF35" s="269"/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3918</v>
      </c>
      <c r="D36" s="294" t="s">
        <v>3919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3920</v>
      </c>
      <c r="L36" s="294" t="s">
        <v>3921</v>
      </c>
      <c r="M36" s="396"/>
      <c r="N36" s="391" t="s">
        <v>2338</v>
      </c>
      <c r="O36" s="109" t="s">
        <v>3922</v>
      </c>
      <c r="P36" s="269"/>
      <c r="R36" s="270"/>
      <c r="S36" s="109"/>
      <c r="T36" s="109"/>
      <c r="U36" s="58"/>
      <c r="V36" s="344"/>
      <c r="W36" s="61"/>
      <c r="X36" s="269"/>
      <c r="Z36" s="401">
        <v>46182.0</v>
      </c>
      <c r="AA36" s="273" t="s">
        <v>3923</v>
      </c>
      <c r="AB36" s="273" t="s">
        <v>3924</v>
      </c>
      <c r="AC36" s="402" t="s">
        <v>23</v>
      </c>
      <c r="AD36" s="402" t="s">
        <v>2337</v>
      </c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3925</v>
      </c>
      <c r="D37" s="430" t="s">
        <v>3926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3927</v>
      </c>
      <c r="L37" s="109" t="s">
        <v>3928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344"/>
      <c r="W37" s="61"/>
      <c r="X37" s="269"/>
      <c r="Z37" s="403">
        <v>46182.0</v>
      </c>
      <c r="AA37" s="294" t="s">
        <v>3929</v>
      </c>
      <c r="AB37" s="294" t="s">
        <v>3930</v>
      </c>
      <c r="AC37" s="391" t="s">
        <v>18</v>
      </c>
      <c r="AD37" s="391" t="s">
        <v>2337</v>
      </c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3931</v>
      </c>
      <c r="D38" s="373" t="s">
        <v>3932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3933</v>
      </c>
      <c r="L38" s="109" t="s">
        <v>3934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344"/>
      <c r="W38" s="61"/>
      <c r="X38" s="269"/>
      <c r="Z38" s="401">
        <v>46182.0</v>
      </c>
      <c r="AA38" s="273" t="s">
        <v>3935</v>
      </c>
      <c r="AB38" s="273" t="s">
        <v>3936</v>
      </c>
      <c r="AC38" s="402" t="s">
        <v>30</v>
      </c>
      <c r="AD38" s="402" t="s">
        <v>2337</v>
      </c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3937</v>
      </c>
      <c r="D39" s="273" t="s">
        <v>3938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3939</v>
      </c>
      <c r="L39" s="109" t="s">
        <v>3940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344"/>
      <c r="W39" s="61"/>
      <c r="X39" s="269"/>
      <c r="Z39" s="403">
        <v>46182.0</v>
      </c>
      <c r="AA39" s="294" t="s">
        <v>3941</v>
      </c>
      <c r="AB39" s="294" t="s">
        <v>3942</v>
      </c>
      <c r="AC39" s="391" t="s">
        <v>30</v>
      </c>
      <c r="AD39" s="391" t="s">
        <v>2337</v>
      </c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3943</v>
      </c>
      <c r="D40" s="405" t="s">
        <v>3944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3945</v>
      </c>
      <c r="L40" s="109" t="s">
        <v>3946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344"/>
      <c r="W40" s="61"/>
      <c r="X40" s="269"/>
      <c r="Z40" s="401">
        <v>46182.0</v>
      </c>
      <c r="AA40" s="273" t="s">
        <v>3947</v>
      </c>
      <c r="AB40" s="273" t="s">
        <v>3948</v>
      </c>
      <c r="AC40" s="402" t="s">
        <v>27</v>
      </c>
      <c r="AD40" s="402" t="s">
        <v>2337</v>
      </c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3949</v>
      </c>
      <c r="D41" s="373" t="s">
        <v>3950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3951</v>
      </c>
      <c r="L41" s="109" t="s">
        <v>3952</v>
      </c>
      <c r="M41" s="58" t="s">
        <v>11</v>
      </c>
      <c r="N41" s="58" t="s">
        <v>20</v>
      </c>
      <c r="O41" s="109" t="s">
        <v>3953</v>
      </c>
      <c r="P41" s="269"/>
      <c r="R41" s="270"/>
      <c r="S41" s="384"/>
      <c r="T41" s="109"/>
      <c r="U41" s="344"/>
      <c r="V41" s="344"/>
      <c r="W41" s="109"/>
      <c r="X41" s="298"/>
      <c r="Z41" s="403">
        <v>46182.0</v>
      </c>
      <c r="AA41" s="294" t="s">
        <v>3954</v>
      </c>
      <c r="AB41" s="294" t="s">
        <v>3955</v>
      </c>
      <c r="AC41" s="391" t="s">
        <v>23</v>
      </c>
      <c r="AD41" s="391" t="s">
        <v>2337</v>
      </c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3956</v>
      </c>
      <c r="D42" s="373" t="s">
        <v>3957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3958</v>
      </c>
      <c r="L42" s="109" t="s">
        <v>3959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344"/>
      <c r="W42" s="61"/>
      <c r="X42" s="269"/>
      <c r="Z42" s="401">
        <v>46182.0</v>
      </c>
      <c r="AA42" s="273" t="s">
        <v>3960</v>
      </c>
      <c r="AB42" s="273" t="s">
        <v>3961</v>
      </c>
      <c r="AC42" s="402" t="s">
        <v>27</v>
      </c>
      <c r="AD42" s="402" t="s">
        <v>2337</v>
      </c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3962</v>
      </c>
      <c r="D43" s="490" t="s">
        <v>3963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3964</v>
      </c>
      <c r="L43" s="109" t="s">
        <v>3965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344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3966</v>
      </c>
      <c r="D44" s="373" t="s">
        <v>3967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3968</v>
      </c>
      <c r="L44" s="109" t="s">
        <v>3969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344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3970</v>
      </c>
      <c r="D45" s="373" t="s">
        <v>3971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3972</v>
      </c>
      <c r="L45" s="109" t="s">
        <v>3973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344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3974</v>
      </c>
      <c r="D46" s="373" t="s">
        <v>3975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3976</v>
      </c>
      <c r="L46" s="109" t="s">
        <v>3977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344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3978</v>
      </c>
      <c r="D47" s="373" t="s">
        <v>3979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3980</v>
      </c>
      <c r="L47" s="109" t="s">
        <v>3981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344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3982</v>
      </c>
      <c r="D48" s="373" t="s">
        <v>3983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3984</v>
      </c>
      <c r="L48" s="109" t="s">
        <v>3985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3"/>
      <c r="U48" s="58"/>
      <c r="V48" s="344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3986</v>
      </c>
      <c r="D49" s="373" t="s">
        <v>3987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3988</v>
      </c>
      <c r="L49" s="109" t="s">
        <v>3989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3"/>
      <c r="U49" s="58"/>
      <c r="V49" s="344"/>
      <c r="W49" s="61"/>
      <c r="X49" s="269"/>
      <c r="Z49" s="270"/>
      <c r="AA49" s="109"/>
      <c r="AB49" s="109"/>
      <c r="AC49" s="58"/>
      <c r="AD49" s="58"/>
      <c r="AE49" s="61"/>
      <c r="AF49" s="269"/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3990</v>
      </c>
      <c r="D50" s="373" t="s">
        <v>3991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3992</v>
      </c>
      <c r="L50" s="109" t="s">
        <v>3993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7"/>
      <c r="U50" s="58"/>
      <c r="V50" s="344"/>
      <c r="W50" s="109"/>
      <c r="X50" s="269"/>
      <c r="Z50" s="270"/>
      <c r="AA50" s="109"/>
      <c r="AB50" s="109"/>
      <c r="AC50" s="58"/>
      <c r="AD50" s="58"/>
      <c r="AE50" s="61"/>
      <c r="AF50" s="269"/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3994</v>
      </c>
      <c r="D51" s="373" t="s">
        <v>3995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3996</v>
      </c>
      <c r="L51" s="109" t="s">
        <v>3997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3"/>
      <c r="U51" s="344"/>
      <c r="V51" s="344"/>
      <c r="W51" s="109"/>
      <c r="X51" s="298"/>
      <c r="Z51" s="270"/>
      <c r="AA51" s="109"/>
      <c r="AB51" s="109"/>
      <c r="AC51" s="58"/>
      <c r="AD51" s="58"/>
      <c r="AE51" s="61"/>
      <c r="AF51" s="269"/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3998</v>
      </c>
      <c r="D52" s="373" t="s">
        <v>3999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4000</v>
      </c>
      <c r="L52" s="109" t="s">
        <v>4001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344"/>
      <c r="W52" s="61"/>
      <c r="X52" s="269"/>
      <c r="Z52" s="270"/>
      <c r="AA52" s="109"/>
      <c r="AB52" s="109"/>
      <c r="AC52" s="58"/>
      <c r="AD52" s="58"/>
      <c r="AE52" s="61"/>
      <c r="AF52" s="269"/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4002</v>
      </c>
      <c r="D53" s="490" t="s">
        <v>4003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4004</v>
      </c>
      <c r="L53" s="109" t="s">
        <v>4005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344"/>
      <c r="W53" s="61"/>
      <c r="X53" s="269"/>
      <c r="Z53" s="270"/>
      <c r="AA53" s="109"/>
      <c r="AB53" s="109"/>
      <c r="AC53" s="58"/>
      <c r="AD53" s="58"/>
      <c r="AE53" s="61"/>
      <c r="AF53" s="269"/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4006</v>
      </c>
      <c r="D54" s="392" t="s">
        <v>4007</v>
      </c>
      <c r="E54" s="58" t="s">
        <v>19</v>
      </c>
      <c r="F54" s="58" t="s">
        <v>2349</v>
      </c>
      <c r="G54" s="427" t="s">
        <v>4008</v>
      </c>
      <c r="H54" s="269"/>
      <c r="J54" s="403">
        <v>46176.0</v>
      </c>
      <c r="K54" s="294" t="s">
        <v>4009</v>
      </c>
      <c r="L54" s="294" t="s">
        <v>4010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344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4011</v>
      </c>
      <c r="D55" s="430" t="s">
        <v>4012</v>
      </c>
      <c r="E55" s="431" t="s">
        <v>19</v>
      </c>
      <c r="F55" s="58" t="s">
        <v>12</v>
      </c>
      <c r="G55" s="109" t="s">
        <v>4013</v>
      </c>
      <c r="H55" s="269" t="b">
        <v>1</v>
      </c>
      <c r="J55" s="401">
        <v>46176.0</v>
      </c>
      <c r="K55" s="273" t="s">
        <v>4014</v>
      </c>
      <c r="L55" s="273" t="s">
        <v>4015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344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4016</v>
      </c>
      <c r="D56" s="373" t="s">
        <v>4017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4018</v>
      </c>
      <c r="L56" s="294" t="s">
        <v>4019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344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4020</v>
      </c>
      <c r="D57" s="373" t="s">
        <v>4021</v>
      </c>
      <c r="E57" s="58" t="s">
        <v>16</v>
      </c>
      <c r="F57" s="58" t="s">
        <v>20</v>
      </c>
      <c r="G57" s="109" t="s">
        <v>4013</v>
      </c>
      <c r="H57" s="269" t="b">
        <v>1</v>
      </c>
      <c r="J57" s="401">
        <v>46176.0</v>
      </c>
      <c r="K57" s="273" t="s">
        <v>4022</v>
      </c>
      <c r="L57" s="273" t="s">
        <v>4023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344"/>
      <c r="W57" s="493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4024</v>
      </c>
      <c r="D58" s="430" t="s">
        <v>4025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4026</v>
      </c>
      <c r="L58" s="294" t="s">
        <v>4027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344"/>
      <c r="W58" s="109"/>
      <c r="X58" s="269"/>
      <c r="Z58" s="270"/>
      <c r="AA58" s="109"/>
      <c r="AB58" s="109"/>
      <c r="AC58" s="58"/>
      <c r="AD58" s="58"/>
      <c r="AE58" s="61"/>
      <c r="AF58" s="269"/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4028</v>
      </c>
      <c r="D59" s="373" t="s">
        <v>4029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4030</v>
      </c>
      <c r="L59" s="294" t="s">
        <v>4031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344"/>
      <c r="W59" s="109"/>
      <c r="X59" s="269"/>
      <c r="Z59" s="270"/>
      <c r="AA59" s="109"/>
      <c r="AB59" s="109"/>
      <c r="AC59" s="58"/>
      <c r="AD59" s="58"/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4032</v>
      </c>
      <c r="D60" s="373" t="s">
        <v>4033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4034</v>
      </c>
      <c r="L60" s="273" t="s">
        <v>4035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344"/>
      <c r="W60" s="109"/>
      <c r="X60" s="298"/>
      <c r="Z60" s="270"/>
      <c r="AA60" s="109"/>
      <c r="AB60" s="109"/>
      <c r="AC60" s="58"/>
      <c r="AD60" s="58"/>
      <c r="AE60" s="61"/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4036</v>
      </c>
      <c r="D61" s="373" t="s">
        <v>4037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4038</v>
      </c>
      <c r="L61" s="294" t="s">
        <v>4039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4040</v>
      </c>
      <c r="D62" s="373" t="s">
        <v>4041</v>
      </c>
      <c r="E62" s="58" t="s">
        <v>10</v>
      </c>
      <c r="F62" s="58" t="s">
        <v>14</v>
      </c>
      <c r="G62" s="109" t="s">
        <v>4042</v>
      </c>
      <c r="H62" s="269"/>
      <c r="J62" s="382">
        <v>46176.0</v>
      </c>
      <c r="K62" s="273" t="s">
        <v>4043</v>
      </c>
      <c r="L62" s="273" t="s">
        <v>4044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7"/>
      <c r="U62" s="58"/>
      <c r="V62" s="344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4045</v>
      </c>
      <c r="D63" s="373" t="s">
        <v>4046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4047</v>
      </c>
      <c r="L63" s="294" t="s">
        <v>4048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4049</v>
      </c>
      <c r="D64" s="373" t="s">
        <v>4050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4051</v>
      </c>
      <c r="L64" s="273" t="s">
        <v>4052</v>
      </c>
      <c r="M64" s="398"/>
      <c r="N64" s="431" t="s">
        <v>2338</v>
      </c>
      <c r="O64" s="109" t="s">
        <v>4053</v>
      </c>
      <c r="P64" s="269"/>
      <c r="R64" s="270"/>
      <c r="S64" s="109"/>
      <c r="T64" s="47"/>
      <c r="U64" s="58"/>
      <c r="V64" s="344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4054</v>
      </c>
      <c r="D65" s="373" t="s">
        <v>4055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4056</v>
      </c>
      <c r="L65" s="109" t="s">
        <v>4057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4058</v>
      </c>
      <c r="D66" s="373" t="s">
        <v>4059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4060</v>
      </c>
      <c r="L66" s="109" t="s">
        <v>4061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4062</v>
      </c>
      <c r="D67" s="373" t="s">
        <v>4063</v>
      </c>
      <c r="E67" s="58" t="s">
        <v>10</v>
      </c>
      <c r="F67" s="58" t="s">
        <v>9</v>
      </c>
      <c r="G67" s="109" t="s">
        <v>4064</v>
      </c>
      <c r="H67" s="269" t="b">
        <v>1</v>
      </c>
      <c r="J67" s="270">
        <v>46177.0</v>
      </c>
      <c r="K67" s="109" t="s">
        <v>4065</v>
      </c>
      <c r="L67" s="109" t="s">
        <v>4066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4067</v>
      </c>
      <c r="D68" s="373" t="s">
        <v>4068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4069</v>
      </c>
      <c r="L68" s="109" t="s">
        <v>4070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4071</v>
      </c>
      <c r="D69" s="373" t="s">
        <v>4072</v>
      </c>
      <c r="E69" s="58" t="s">
        <v>10</v>
      </c>
      <c r="F69" s="58" t="s">
        <v>9</v>
      </c>
      <c r="G69" s="109" t="s">
        <v>4073</v>
      </c>
      <c r="H69" s="269"/>
      <c r="J69" s="270">
        <v>46177.0</v>
      </c>
      <c r="K69" s="109" t="s">
        <v>4074</v>
      </c>
      <c r="L69" s="109" t="s">
        <v>4075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4076</v>
      </c>
      <c r="D70" s="373" t="s">
        <v>4077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4078</v>
      </c>
      <c r="L70" s="109" t="s">
        <v>4079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4080</v>
      </c>
      <c r="D71" s="373" t="s">
        <v>4081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4082</v>
      </c>
      <c r="L71" s="109" t="s">
        <v>4083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4084</v>
      </c>
      <c r="D72" s="373" t="s">
        <v>4085</v>
      </c>
      <c r="E72" s="58" t="s">
        <v>22</v>
      </c>
      <c r="F72" s="58" t="s">
        <v>9</v>
      </c>
      <c r="G72" s="109" t="s">
        <v>4086</v>
      </c>
      <c r="H72" s="298"/>
      <c r="J72" s="270">
        <v>46177.0</v>
      </c>
      <c r="K72" s="109" t="s">
        <v>4087</v>
      </c>
      <c r="L72" s="109" t="s">
        <v>4088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4089</v>
      </c>
      <c r="D73" s="373" t="s">
        <v>4090</v>
      </c>
      <c r="E73" s="58" t="s">
        <v>16</v>
      </c>
      <c r="F73" s="58" t="s">
        <v>2347</v>
      </c>
      <c r="G73" s="109" t="s">
        <v>4091</v>
      </c>
      <c r="H73" s="269" t="b">
        <v>1</v>
      </c>
      <c r="J73" s="270">
        <v>46177.0</v>
      </c>
      <c r="K73" s="109" t="s">
        <v>4092</v>
      </c>
      <c r="L73" s="109" t="s">
        <v>4093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4094</v>
      </c>
      <c r="D74" s="373" t="s">
        <v>4095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4096</v>
      </c>
      <c r="L74" s="273" t="s">
        <v>4097</v>
      </c>
      <c r="M74" s="402" t="s">
        <v>11</v>
      </c>
      <c r="N74" s="402" t="s">
        <v>2337</v>
      </c>
      <c r="O74" s="109" t="s">
        <v>3745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4098</v>
      </c>
      <c r="D75" s="373" t="s">
        <v>4099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4100</v>
      </c>
      <c r="L75" s="294" t="s">
        <v>4101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70"/>
      <c r="AA75" s="453"/>
      <c r="AB75" s="453"/>
      <c r="AC75" s="471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4102</v>
      </c>
      <c r="D76" s="294" t="s">
        <v>4103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4104</v>
      </c>
      <c r="L76" s="273" t="s">
        <v>4105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3"/>
      <c r="AA76" s="450"/>
      <c r="AB76" s="450"/>
      <c r="AC76" s="477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4106</v>
      </c>
      <c r="D77" s="273" t="s">
        <v>4107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4108</v>
      </c>
      <c r="L77" s="294" t="s">
        <v>4109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70"/>
      <c r="AA77" s="453"/>
      <c r="AB77" s="453"/>
      <c r="AC77" s="471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4110</v>
      </c>
      <c r="D78" s="294" t="s">
        <v>4111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4112</v>
      </c>
      <c r="L78" s="273" t="s">
        <v>4113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3"/>
      <c r="AA78" s="450"/>
      <c r="AB78" s="450"/>
      <c r="AC78" s="477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4114</v>
      </c>
      <c r="D79" s="273" t="s">
        <v>4115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4116</v>
      </c>
      <c r="L79" s="294" t="s">
        <v>4117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70"/>
      <c r="AA79" s="453"/>
      <c r="AB79" s="453"/>
      <c r="AC79" s="471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4118</v>
      </c>
      <c r="D80" s="294" t="s">
        <v>4119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4120</v>
      </c>
      <c r="L80" s="273" t="s">
        <v>4121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7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4122</v>
      </c>
      <c r="D81" s="373" t="s">
        <v>4123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4124</v>
      </c>
      <c r="L81" s="109" t="s">
        <v>4125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8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4126</v>
      </c>
      <c r="D82" s="373" t="s">
        <v>4127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4128</v>
      </c>
      <c r="L82" s="109" t="s">
        <v>4129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6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4130</v>
      </c>
      <c r="D83" s="373" t="s">
        <v>4131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4132</v>
      </c>
      <c r="L83" s="109" t="s">
        <v>4133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5"/>
      <c r="AA83" s="460"/>
      <c r="AB83" s="460"/>
      <c r="AC83" s="496"/>
      <c r="AD83" s="46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4134</v>
      </c>
      <c r="D84" s="294" t="s">
        <v>4135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4136</v>
      </c>
      <c r="L84" s="109" t="s">
        <v>4137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4138</v>
      </c>
      <c r="D85" s="326" t="s">
        <v>4139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4140</v>
      </c>
      <c r="L85" s="109" t="s">
        <v>4141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4142</v>
      </c>
      <c r="D86" s="273" t="s">
        <v>4143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4144</v>
      </c>
      <c r="L86" s="109" t="s">
        <v>4145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4146</v>
      </c>
      <c r="D87" s="294" t="s">
        <v>4147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4148</v>
      </c>
      <c r="L87" s="430" t="s">
        <v>4149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4150</v>
      </c>
      <c r="L88" s="405" t="s">
        <v>4151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4152</v>
      </c>
      <c r="L89" s="273" t="s">
        <v>4153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3"/>
      <c r="AA89" s="460"/>
      <c r="AB89" s="450"/>
      <c r="AC89" s="477"/>
      <c r="AD89" s="452"/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4154</v>
      </c>
      <c r="L90" s="294" t="s">
        <v>4155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4156</v>
      </c>
      <c r="L91" s="294" t="s">
        <v>4157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497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4158</v>
      </c>
      <c r="L92" s="273" t="s">
        <v>4159</v>
      </c>
      <c r="M92" s="498" t="s">
        <v>11</v>
      </c>
      <c r="N92" s="402" t="s">
        <v>2338</v>
      </c>
      <c r="O92" s="109" t="s">
        <v>4160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4161</v>
      </c>
      <c r="L93" s="430" t="s">
        <v>4162</v>
      </c>
      <c r="M93" s="499" t="s">
        <v>11</v>
      </c>
      <c r="N93" s="431" t="s">
        <v>2338</v>
      </c>
      <c r="O93" s="109" t="s">
        <v>4163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497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0">
        <v>46181.0</v>
      </c>
      <c r="K94" s="501" t="s">
        <v>4164</v>
      </c>
      <c r="L94" s="501" t="s">
        <v>4165</v>
      </c>
      <c r="M94" s="502" t="s">
        <v>11</v>
      </c>
      <c r="N94" s="503" t="s">
        <v>28</v>
      </c>
      <c r="O94" s="501" t="s">
        <v>4166</v>
      </c>
      <c r="P94" s="504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4167</v>
      </c>
      <c r="L95" s="294" t="s">
        <v>4168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4169</v>
      </c>
      <c r="L96" s="273" t="s">
        <v>4170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4171</v>
      </c>
      <c r="L97" s="294" t="s">
        <v>4172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4173</v>
      </c>
      <c r="L98" s="273" t="s">
        <v>4174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4175</v>
      </c>
      <c r="L99" s="294" t="s">
        <v>4176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4177</v>
      </c>
      <c r="L100" s="273" t="s">
        <v>4178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4179</v>
      </c>
      <c r="L101" s="294" t="s">
        <v>4180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5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6"/>
      <c r="C1003" s="507" t="s">
        <v>3164</v>
      </c>
      <c r="D1003" s="109" t="s">
        <v>3165</v>
      </c>
      <c r="E1003" s="508" t="s">
        <v>13</v>
      </c>
      <c r="F1003" s="508" t="s">
        <v>2347</v>
      </c>
      <c r="G1003" s="509"/>
      <c r="H1003" s="510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6"/>
      <c r="C1004" s="109" t="s">
        <v>4181</v>
      </c>
      <c r="D1004" s="109" t="s">
        <v>4182</v>
      </c>
      <c r="E1004" s="508" t="s">
        <v>22</v>
      </c>
      <c r="F1004" s="508" t="s">
        <v>2347</v>
      </c>
      <c r="G1004" s="509"/>
      <c r="H1004" s="510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6"/>
      <c r="C1005" s="109" t="s">
        <v>4183</v>
      </c>
      <c r="D1005" s="109" t="s">
        <v>4184</v>
      </c>
      <c r="E1005" s="508" t="s">
        <v>22</v>
      </c>
      <c r="F1005" s="508" t="s">
        <v>2347</v>
      </c>
      <c r="G1005" s="509"/>
      <c r="H1005" s="510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6"/>
      <c r="C1006" s="109" t="s">
        <v>4185</v>
      </c>
      <c r="D1006" s="109" t="s">
        <v>4186</v>
      </c>
      <c r="E1006" s="508" t="s">
        <v>22</v>
      </c>
      <c r="F1006" s="508" t="s">
        <v>2347</v>
      </c>
      <c r="G1006" s="509"/>
      <c r="H1006" s="510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6"/>
      <c r="C1007" s="109"/>
      <c r="D1007" s="109"/>
      <c r="E1007" s="508"/>
      <c r="F1007" s="508"/>
      <c r="G1007" s="509"/>
      <c r="H1007" s="510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6"/>
      <c r="C1008" s="109"/>
      <c r="D1008" s="109"/>
      <c r="E1008" s="508"/>
      <c r="F1008" s="508"/>
      <c r="G1008" s="509"/>
      <c r="H1008" s="510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