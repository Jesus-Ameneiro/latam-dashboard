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tc={8d5412c8-9ea5-44ff-a162-110a98d6140b}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8d5412c8-9ea5-44ff-a162-110a98d6140b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<sst xmlns="http://schemas.openxmlformats.org/spreadsheetml/2006/main" count="8938" uniqueCount="4001">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</sst>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957b384-3668-4fe5-bf06-5d0e4edeef9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Multiple Cases (Linked to a LOST case with recent events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957b384-3668-4fe5-bf06-5d0e4edeef9a}" id="{8d5412c8-9ea5-44ff-a162-110a98d6140b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31</v>
      </c>
      <c r="F19" s="246">
        <f t="shared" ref="F19:F21" si="1">C19-E19</f>
        <v>-1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11</v>
      </c>
      <c r="F20" s="246">
        <f t="shared" si="1"/>
        <v>4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3933</v>
      </c>
      <c r="D66" s="373" t="s">
        <v>3934</v>
      </c>
      <c r="E66" s="58" t="s">
        <v>22</v>
      </c>
      <c r="F66" s="58" t="s">
        <v>9</v>
      </c>
      <c r="G66" s="61"/>
      <c r="H66" s="269"/>
      <c r="J66" s="270">
        <v>46177.0</v>
      </c>
      <c r="K66" s="384" t="s">
        <v>3935</v>
      </c>
      <c r="L66" s="109" t="s">
        <v>3936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3937</v>
      </c>
      <c r="D67" s="373" t="s">
        <v>3938</v>
      </c>
      <c r="E67" s="58" t="s">
        <v>10</v>
      </c>
      <c r="F67" s="58" t="s">
        <v>9</v>
      </c>
      <c r="G67" s="109" t="s">
        <v>3939</v>
      </c>
      <c r="H67" s="269"/>
      <c r="J67" s="270">
        <v>46177.0</v>
      </c>
      <c r="K67" s="109" t="s">
        <v>3940</v>
      </c>
      <c r="L67" s="109" t="s">
        <v>3941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61"/>
      <c r="D68" s="373"/>
      <c r="E68" s="58"/>
      <c r="F68" s="344"/>
      <c r="G68" s="109"/>
      <c r="H68" s="298"/>
      <c r="J68" s="270">
        <v>46177.0</v>
      </c>
      <c r="K68" s="109" t="s">
        <v>3942</v>
      </c>
      <c r="L68" s="109" t="s">
        <v>3943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3944</v>
      </c>
      <c r="L69" s="109" t="s">
        <v>3945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3946</v>
      </c>
      <c r="L70" s="109" t="s">
        <v>3947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3948</v>
      </c>
      <c r="L71" s="109" t="s">
        <v>3949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3950</v>
      </c>
      <c r="L72" s="109" t="s">
        <v>3951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3952</v>
      </c>
      <c r="L73" s="109" t="s">
        <v>3953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3954</v>
      </c>
      <c r="L74" s="273" t="s">
        <v>3955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3956</v>
      </c>
      <c r="L75" s="294" t="s">
        <v>3957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3958</v>
      </c>
      <c r="L76" s="273" t="s">
        <v>3959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3960</v>
      </c>
      <c r="L77" s="294" t="s">
        <v>3961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3962</v>
      </c>
      <c r="L78" s="273" t="s">
        <v>3963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3964</v>
      </c>
      <c r="L79" s="294" t="s">
        <v>3965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3966</v>
      </c>
      <c r="L80" s="273" t="s">
        <v>3967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3968</v>
      </c>
      <c r="L81" s="109" t="s">
        <v>3969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3970</v>
      </c>
      <c r="L82" s="109" t="s">
        <v>3971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3972</v>
      </c>
      <c r="L83" s="109" t="s">
        <v>3973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3974</v>
      </c>
      <c r="L84" s="109" t="s">
        <v>3975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3976</v>
      </c>
      <c r="L85" s="109" t="s">
        <v>3977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3978</v>
      </c>
      <c r="L86" s="109" t="s">
        <v>3979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3980</v>
      </c>
      <c r="L87" s="430" t="s">
        <v>3981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3982</v>
      </c>
      <c r="L88" s="405" t="s">
        <v>3983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3984</v>
      </c>
      <c r="L89" s="273" t="s">
        <v>3985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3986</v>
      </c>
      <c r="L90" s="294" t="s">
        <v>3987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3988</v>
      </c>
      <c r="L91" s="294" t="s">
        <v>3989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3990</v>
      </c>
      <c r="L92" s="273" t="s">
        <v>3991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3992</v>
      </c>
      <c r="L93" s="430" t="s">
        <v>3993</v>
      </c>
      <c r="M93" s="501" t="s">
        <v>11</v>
      </c>
      <c r="N93" s="431" t="s">
        <v>2338</v>
      </c>
      <c r="O93" s="109" t="s">
        <v>3994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3995</v>
      </c>
      <c r="D1004" s="109" t="s">
        <v>3996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3997</v>
      </c>
      <c r="D1005" s="109" t="s">
        <v>3998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3999</v>
      </c>
      <c r="D1006" s="109" t="s">
        <v>4000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