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June!$B$1:$H$1008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tc={a20e7af3-f8d2-4618-8dfe-10feca8b2a46}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a20e7af3-f8d2-4618-8dfe-10feca8b2a46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<sst xmlns="http://schemas.openxmlformats.org/spreadsheetml/2006/main" count="8977" uniqueCount="4023">
  <si>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</si>
  <si>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</si>
  <si>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</si>
  <si>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</si>
  <si>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</si>
  <si>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</si>
  <si>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</si>
  <si>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</si>
  <si>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</si>
  <si>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</si>
  <si>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</si>
  <si>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</si>
  <si>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</si>
  <si>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</si>
  <si>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</si>
  <si>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</si>
  <si>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</si>
  <si>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</si>
  <si>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</si>
  <si>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</si>
  <si>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</si>
  <si>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</si>
  <si>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</si>
  <si>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</si>
  <si>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</si>
  <si>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</si>
  <si>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</si>
  <si>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</si>
  <si>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</si>
  <si>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</si>
  <si>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</si>
  <si>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</si>
  <si>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</si>
  <si>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</si>
  <si>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</si>
  <si>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</si>
  <si>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</si>
  <si>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</si>
  <si>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</si>
  <si>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</si>
  <si>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</si>
  <si>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</si>
  <si>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</si>
  <si>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</si>
  <si>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</si>
  <si>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</si>
  <si>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</si>
  <si>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</si>
  <si>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</si>
  <si>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</si>
  <si>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</si>
  <si>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</si>
  <si>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</si>
  <si>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</si>
  <si>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</si>
  <si>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</si>
  <si>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</si>
  <si>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</si>
  <si>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</si>
  <si>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</si>
  <si>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</si>
  <si>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</si>
  <si>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</si>
  <si>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</si>
  <si>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</si>
  <si>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</si>
  <si>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</si>
  <si>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</si>
  <si>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</si>
  <si>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</si>
  <si>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</si>
  <si>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</si>
  <si>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</si>
  <si>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</si>
  <si>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</si>
  <si>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</si>
  <si>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</si>
  <si>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</si>
  <si>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</si>
  <si>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</si>
  <si>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</si>
  <si>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</si>
  <si>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</si>
  <si>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</si>
  <si>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</si>
  <si>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</si>
  <si>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</si>
  <si>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</si>
  <si>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</si>
  <si>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</si>
  <si>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</si>
  <si>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</si>
  <si>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</si>
  <si>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</si>
  <si>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</si>
  <si>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</si>
  <si>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</si>
  <si>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</si>
  <si>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</si>
  <si>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</si>
  <si>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</si>
  <si>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</si>
  <si>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</si>
  <si>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</si>
  <si>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</si>
  <si>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</si>
  <si>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</si>
  <si>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</si>
  <si>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</si>
  <si>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</si>
  <si>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</si>
  <si>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</si>
  <si>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</si>
  <si>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</si>
  <si>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</si>
  <si>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</si>
  <si>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</si>
  <si>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</si>
  <si>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</si>
  <si>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</si>
  <si>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</si>
  <si>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</si>
  <si>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</si>
  <si>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</si>
  <si>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</si>
  <si>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</si>
  <si>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</si>
  <si>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</si>
  <si>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</si>
  <si>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</si>
  <si>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</si>
  <si>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</si>
  <si>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</si>
  <si>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</si>
  <si>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</si>
  <si>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</si>
  <si>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</si>
  <si>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</si>
  <si>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</si>
  <si>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</si>
  <si>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</si>
  <si>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</si>
  <si>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</si>
  <si>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</si>
  <si>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</si>
  <si>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</si>
  <si>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</si>
  <si>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</si>
  <si>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</si>
  <si>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</si>
  <si>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</si>
  <si>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</si>
  <si>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</si>
  <si>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</si>
  <si>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</si>
  <si>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</si>
  <si>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</si>
  <si>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</si>
  <si>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</si>
  <si>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</si>
  <si>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</si>
  <si>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</si>
  <si>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</si>
  <si>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</si>
  <si>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</si>
  <si>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</si>
  <si>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</si>
  <si>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</si>
  <si>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</si>
  <si>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</si>
  <si>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</si>
  <si>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</si>
  <si>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</si>
  <si>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</si>
  <si>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</si>
  <si>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</si>
  <si>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</si>
  <si>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</si>
  <si>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</si>
  <si>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</si>
  <si>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</si>
  <si>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</si>
  <si>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</si>
  <si>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</si>
  <si>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</si>
  <si>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</si>
  <si>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</si>
  <si>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</si>
  <si>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</si>
  <si>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</si>
  <si>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</si>
  <si>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</si>
  <si>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</si>
  <si>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</si>
  <si>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</si>
  <si>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</si>
  <si>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</si>
  <si>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</si>
  <si>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</si>
  <si>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</si>
  <si>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</si>
  <si>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</si>
  <si>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</si>
  <si>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</si>
  <si>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</si>
  <si>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</si>
  <si>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</si>
  <si>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</si>
  <si>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</si>
  <si>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</si>
  <si>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</si>
  <si>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</si>
  <si>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</si>
  <si>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</si>
  <si>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</si>
  <si>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</si>
  <si>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</si>
  <si>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</si>
  <si>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</si>
  <si>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</si>
  <si>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</si>
  <si>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</si>
  <si>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</si>
  <si>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</si>
  <si>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</si>
  <si>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</si>
  <si>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</si>
  <si>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</si>
  <si>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</si>
  <si>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</si>
  <si>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</si>
  <si>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</si>
  <si>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</si>
  <si>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</si>
  <si>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</si>
  <si>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</si>
  <si>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</si>
  <si>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</si>
  <si>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</si>
  <si>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</si>
  <si>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</si>
  <si>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</si>
  <si>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</si>
  <si>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</si>
  <si>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</si>
  <si>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</si>
  <si>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</si>
  <si>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</si>
  <si>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</si>
  <si>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</si>
  <si>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</si>
  <si>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</si>
  <si>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</si>
  <si>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</si>
  <si>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</si>
  <si>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</si>
  <si>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</si>
  <si>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</si>
  <si>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</si>
  <si>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</si>
  <si>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</si>
  <si>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</si>
  <si>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</si>
  <si>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</si>
  <si>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</si>
  <si>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</si>
  <si>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</si>
  <si>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</si>
  <si>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</si>
  <si>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</si>
  <si>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</si>
  <si>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</si>
  <si>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</si>
  <si>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</si>
  <si>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</si>
  <si>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</si>
  <si>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</si>
  <si>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</si>
  <si>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</si>
  <si>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</si>
  <si>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</si>
  <si>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</si>
  <si>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</si>
  <si>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</si>
  <si>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</si>
  <si>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</si>
  <si>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</si>
  <si>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</si>
  <si>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</si>
  <si>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</si>
  <si>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</si>
  <si>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</si>
  <si>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</si>
  <si>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</si>
  <si>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</si>
  <si>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</si>
  <si>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</si>
  <si>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</si>
  <si>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</si>
  <si>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</si>
  <si>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</si>
  <si>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</si>
  <si>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</si>
  <si>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</si>
  <si>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</si>
  <si>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</si>
  <si>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</si>
  <si>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</si>
  <si>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</si>
  <si>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</si>
  <si>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</si>
  <si>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</si>
  <si>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</si>
  <si>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</si>
  <si>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</si>
  <si>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</si>
  <si>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</si>
  <si>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</si>
  <si>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</si>
  <si>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</si>
  <si>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</si>
  <si>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</si>
  <si>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</si>
  <si>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</si>
  <si>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</si>
  <si>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</si>
  <si>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</si>
  <si>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</si>
  <si>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</si>
  <si>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</si>
  <si>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</si>
  <si>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</si>
  <si>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</si>
  <si>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</si>
  <si>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</si>
  <si>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</si>
  <si>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</si>
  <si>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</si>
  <si>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</si>
  <si>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</si>
  <si>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</si>
  <si>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</si>
  <si>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</si>
  <si>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</si>
  <si>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</si>
  <si>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</si>
  <si>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</si>
  <si>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</si>
  <si>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</si>
  <si>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</si>
  <si>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</si>
  <si>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</si>
  <si>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</si>
  <si>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</si>
  <si>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</si>
  <si>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</si>
  <si>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</si>
  <si>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</si>
  <si>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</si>
  <si>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</si>
  <si>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</si>
  <si>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</si>
  <si>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</si>
  <si>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</si>
  <si>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</si>
  <si>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</si>
  <si>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</si>
  <si>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</si>
  <si>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</si>
  <si>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</si>
  <si>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</si>
  <si>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</si>
  <si>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</si>
  <si>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</si>
  <si>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</si>
  <si>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</si>
  <si>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</si>
  <si>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</si>
  <si>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</si>
  <si>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</si>
  <si>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</si>
  <si>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</si>
  <si>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</si>
  <si>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</si>
  <si>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</si>
  <si>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</si>
  <si>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</si>
  <si>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</si>
  <si>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</si>
  <si>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</si>
  <si>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</si>
  <si>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</si>
  <si>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</si>
  <si>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</si>
  <si>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</si>
  <si>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</si>
  <si>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</si>
  <si>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</si>
  <si>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</si>
  <si>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</si>
  <si>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</si>
  <si>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</si>
  <si>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</si>
  <si>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</si>
  <si>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</si>
  <si>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</si>
  <si>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</si>
  <si>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</si>
  <si>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</si>
  <si>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</si>
  <si>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</si>
  <si>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</si>
  <si>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</si>
  <si>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</si>
  <si>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</si>
  <si>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</si>
  <si>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</si>
  <si>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</si>
  <si>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</si>
  <si>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</si>
  <si>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</si>
  <si>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</si>
  <si>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</si>
  <si>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</si>
  <si>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</si>
  <si>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</si>
  <si>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</si>
  <si>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</si>
  <si>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</si>
  <si>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</si>
  <si>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</si>
  <si>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</si>
  <si>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</si>
  <si>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</si>
  <si>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</si>
  <si>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</si>
  <si>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</si>
  <si>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</si>
  <si>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</si>
  <si>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</si>
  <si>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</si>
  <si>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</si>
  <si>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</si>
  <si>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</si>
  <si>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</si>
  <si>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</si>
  <si>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</si>
  <si>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</si>
  <si>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</si>
  <si>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</si>
  <si>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</si>
  <si>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</si>
  <si>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</si>
  <si>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</si>
  <si>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</si>
  <si>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</si>
  <si>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</si>
  <si>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</si>
  <si>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</si>
  <si>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</si>
  <si>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</si>
  <si>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</si>
  <si>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</si>
  <si>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</si>
  <si>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</si>
  <si>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</si>
  <si>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</si>
  <si>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</si>
  <si>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</si>
  <si>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</si>
  <si>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</si>
  <si>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</si>
  <si>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</si>
  <si>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</si>
  <si>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</si>
  <si>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</si>
  <si>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</si>
  <si>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</si>
  <si>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</si>
  <si>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</si>
  <si>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</si>
  <si>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</si>
  <si>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</si>
  <si>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</si>
  <si>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</si>
  <si>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</si>
  <si>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</si>
  <si>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</si>
  <si>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</si>
  <si>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</si>
  <si>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</si>
  <si>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</si>
  <si>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</si>
  <si>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</si>
  <si>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</si>
  <si>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</si>
  <si>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</si>
  <si>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</si>
  <si>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</si>
  <si>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</si>
  <si>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</si>
  <si>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</si>
  <si>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</si>
  <si>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</si>
  <si>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</si>
  <si>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</si>
  <si>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</si>
  <si>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</si>
  <si>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</si>
  <si>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</si>
  <si>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</si>
  <si>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</si>
  <si>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</si>
  <si>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</si>
  <si>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</si>
  <si>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</si>
  <si>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</si>
  <si>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</si>
  <si>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</si>
  <si>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</si>
  <si>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</si>
  <si>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</si>
  <si>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</si>
  <si>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</si>
  <si>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</si>
  <si>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</si>
  <si>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</si>
  <si>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</si>
  <si>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</si>
  <si>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</si>
  <si>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</si>
  <si>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</si>
  <si>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</si>
  <si>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</si>
  <si>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</si>
  <si>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</si>
  <si>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</si>
  <si>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</si>
  <si>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</si>
  <si>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</si>
  <si>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</si>
  <si>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</si>
  <si>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</si>
  <si>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</si>
  <si>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</si>
  <si>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</si>
  <si>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</si>
  <si>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</si>
  <si>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</si>
  <si>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</si>
  <si>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</si>
  <si>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</si>
  <si>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</si>
  <si>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</si>
  <si>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</si>
  <si>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</si>
  <si>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</si>
  <si>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</si>
  <si>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</si>
  <si>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</si>
  <si>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</si>
  <si>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</si>
  <si>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</si>
  <si>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</si>
  <si>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</si>
  <si>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</si>
  <si>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</si>
  <si>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</si>
  <si>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</si>
  <si>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</si>
  <si>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</si>
  <si>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</si>
  <si>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</si>
  <si>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</si>
  <si>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</si>
  <si>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</si>
  <si>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</si>
  <si>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</si>
  <si>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</si>
  <si>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</si>
  <si>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</si>
  <si>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</si>
  <si>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</si>
  <si>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</si>
  <si>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</si>
  <si>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</si>
  <si>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</si>
  <si>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</si>
  <si>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</si>
  <si>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</si>
  <si>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</si>
  <si>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</si>
  <si>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</si>
  <si>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</si>
  <si>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</si>
  <si>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</si>
  <si>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</si>
  <si>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</si>
  <si>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</si>
  <si>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</si>
  <si>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</si>
  <si>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</si>
  <si>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</si>
  <si>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</si>
  <si>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</si>
  <si>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</si>
  <si>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</si>
  <si>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</si>
  <si>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</si>
  <si>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</si>
  <si>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</si>
  <si>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</si>
  <si>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</si>
  <si>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</si>
  <si>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</si>
  <si>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</si>
  <si>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</si>
  <si>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</si>
  <si>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</si>
  <si>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</si>
  <si>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</si>
  <si>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</si>
  <si>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</si>
  <si>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</si>
  <si>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</si>
  <si>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</si>
  <si>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</si>
  <si>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</si>
  <si>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</si>
  <si>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</si>
  <si>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</si>
  <si>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</si>
  <si>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</si>
  <si>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</si>
  <si>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</si>
  <si>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</si>
  <si>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</si>
  <si>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</si>
  <si>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</si>
  <si>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</si>
  <si>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</si>
  <si>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</si>
  <si>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</si>
  <si>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</si>
  <si>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</si>
  <si>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</si>
  <si>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</si>
  <si>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</si>
  <si>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</si>
  <si>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</si>
  <si>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</si>
  <si>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</si>
  <si>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</si>
  <si>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</si>
  <si>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</si>
  <si>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</si>
  <si>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</si>
  <si>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</si>
  <si>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</si>
  <si>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</si>
  <si>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</si>
  <si>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</si>
  <si>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</si>
  <si>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</si>
  <si>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</si>
  <si>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</si>
  <si>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</si>
  <si>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</si>
  <si>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</si>
  <si>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</si>
  <si>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</si>
  <si>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</si>
  <si>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</si>
  <si>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</si>
  <si>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</si>
  <si>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</si>
  <si>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</si>
  <si>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</si>
  <si>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</si>
  <si>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</si>
  <si>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</si>
  <si>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</si>
  <si>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</si>
  <si>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</si>
  <si>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</si>
  <si>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</si>
  <si>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</si>
  <si>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</si>
  <si>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</si>
  <si>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</si>
  <si>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</si>
  <si>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</si>
  <si>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</si>
  <si>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</si>
  <si>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</si>
  <si>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</si>
  <si>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</si>
  <si>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</si>
  <si>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</si>
  <si>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</si>
  <si>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</si>
  <si>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</si>
  <si>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</si>
  <si>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</si>
  <si>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</si>
  <si>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</si>
  <si>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</si>
  <si>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</si>
  <si>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</si>
  <si>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</si>
  <si>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</si>
  <si>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</si>
  <si>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</si>
  <si>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</si>
  <si>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</si>
  <si>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</si>
  <si>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</si>
  <si>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</si>
  <si>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</si>
  <si>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</si>
  <si>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</si>
  <si>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</si>
  <si>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</si>
  <si>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</si>
  <si>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</si>
  <si>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</si>
  <si>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</si>
  <si>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</si>
  <si>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</si>
  <si>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</si>
  <si>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</si>
  <si>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</si>
  <si>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</si>
  <si>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</si>
  <si>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</si>
  <si>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</si>
  <si>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</si>
  <si>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</si>
  <si>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</si>
  <si>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</si>
  <si>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</si>
  <si>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</si>
  <si>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</si>
  <si>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</si>
  <si>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</si>
  <si>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</si>
  <si>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</si>
  <si>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</si>
  <si>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</si>
  <si>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</si>
  <si>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</si>
  <si>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</si>
  <si>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</si>
  <si>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</si>
  <si>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</si>
  <si>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</si>
  <si>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</si>
  <si>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</si>
  <si>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</si>
  <si>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</si>
  <si>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</si>
  <si>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</si>
  <si>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</si>
  <si>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</si>
  <si>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</si>
  <si>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</si>
  <si>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</si>
  <si>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</si>
  <si>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</si>
  <si>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</si>
  <si>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</si>
  <si>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</si>
  <si>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</si>
  <si>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</si>
  <si>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</si>
  <si>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</si>
  <si>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</si>
  <si>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</si>
  <si>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</si>
  <si>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</si>
  <si>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</si>
  <si>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</si>
  <si>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</si>
  <si>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</si>
  <si>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</si>
  <si>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</si>
  <si>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</si>
  <si>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</si>
  <si>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</si>
  <si>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</si>
  <si>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</si>
  <si>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</si>
  <si>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</si>
  <si>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</si>
  <si>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</si>
  <si>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</si>
  <si>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</si>
  <si>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</si>
  <si>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</si>
  <si>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</si>
  <si>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</si>
  <si>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</si>
  <si>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</si>
  <si>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</si>
  <si>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</si>
  <si>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</si>
  <si>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</si>
  <si>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</si>
  <si>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</si>
  <si>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</si>
  <si>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</si>
  <si>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</si>
  <si>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</si>
  <si>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</si>
  <si>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</si>
  <si>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</si>
  <si>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</si>
  <si>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</si>
  <si>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</si>
  <si>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</si>
  <si>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</si>
  <si>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</si>
  <si>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</si>
  <si>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</si>
  <si>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</si>
  <si>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</si>
  <si>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</si>
  <si>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</si>
  <si>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</si>
  <si>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</si>
  <si>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</si>
  <si>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</si>
  <si>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</si>
  <si>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</si>
  <si>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</si>
  <si>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</si>
  <si>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</si>
  <si>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</si>
  <si>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</si>
  <si>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</si>
  <si>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</si>
  <si>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</si>
  <si>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</si>
  <si>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</si>
  <si>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</si>
  <si>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</si>
  <si>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</si>
  <si>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</si>
  <si>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</si>
  <si>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</si>
  <si>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</si>
  <si>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</si>
  <si>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</si>
  <si>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</si>
  <si>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</si>
  <si>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</si>
  <si>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</si>
  <si>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</si>
  <si>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</si>
  <si>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</si>
  <si>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</si>
  <si>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</si>
  <si>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</si>
  <si>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</si>
  <si>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</si>
  <si>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</si>
  <si>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</si>
  <si>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</si>
  <si>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</si>
  <si>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</si>
  <si>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</si>
  <si>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</si>
  <si>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</si>
  <si>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</si>
  <si>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</si>
  <si>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</si>
  <si>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</si>
  <si>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</si>
  <si>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</si>
  <si>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</si>
  <si>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</si>
  <si>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</si>
  <si>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</si>
  <si>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</si>
  <si>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</si>
  <si>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</si>
  <si>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</si>
  <si>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</si>
  <si>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</si>
  <si>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</si>
  <si>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</si>
  <si>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</si>
  <si>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</si>
  <si>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</si>
  <si>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</si>
  <si>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</si>
  <si>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</si>
  <si>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</si>
  <si>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</si>
  <si>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</si>
  <si>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</si>
  <si>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</si>
  <si>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</si>
  <si>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</si>
  <si>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</si>
  <si>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</si>
  <si>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</si>
  <si>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</si>
  <si>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</si>
  <si>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</si>
  <si>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</si>
  <si>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</si>
  <si>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</si>
  <si>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</si>
  <si>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</si>
  <si>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</si>
  <si>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</si>
  <si>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</si>
  <si>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</si>
  <si>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</si>
  <si>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</si>
  <si>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</si>
  <si>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</si>
  <si>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</si>
  <si>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</si>
  <si>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</si>
  <si>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</si>
  <si>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</si>
  <si>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</si>
  <si>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</si>
  <si>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</si>
  <si>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</si>
  <si>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</si>
  <si>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</si>
  <si>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</si>
  <si>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</si>
  <si>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</si>
  <si>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</si>
  <si>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</si>
  <si>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</si>
  <si>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</si>
  <si>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</si>
  <si>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</si>
  <si>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</si>
  <si>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</si>
  <si>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</si>
  <si>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</si>
  <si>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</si>
  <si>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</si>
  <si>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</si>
  <si>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</si>
  <si>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</si>
  <si>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</si>
  <si>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</si>
  <si>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</si>
  <si>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</si>
  <si>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</si>
  <si>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</si>
  <si>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</si>
  <si>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</si>
  <si>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</si>
  <si>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</si>
  <si>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</si>
  <si>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</si>
  <si>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</si>
  <si>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</si>
  <si>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</si>
  <si>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</si>
  <si>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</si>
  <si>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</si>
  <si>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</si>
  <si>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</si>
  <si>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</si>
  <si>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</si>
  <si>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</si>
  <si>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</si>
  <si>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</si>
  <si>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</si>
  <si>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</si>
  <si>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</si>
  <si>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</si>
  <si>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</si>
  <si>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</si>
  <si>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</si>
  <si>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</si>
  <si>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</si>
  <si>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</si>
  <si>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</si>
  <si>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</si>
  <si>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</si>
  <si>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</si>
  <si>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</si>
  <si>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</si>
  <si>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</si>
  <si>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</si>
  <si>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</si>
  <si>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</si>
  <si>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</si>
  <si>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</si>
  <si>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</si>
  <si>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</si>
  <si>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</si>
  <si>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</si>
  <si>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</si>
  <si>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</si>
  <si>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</si>
  <si>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</si>
  <si>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</si>
  <si>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</si>
  <si>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</si>
  <si>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</si>
  <si>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</si>
  <si>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</si>
  <si>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</si>
  <si>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</si>
  <si>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</si>
  <si>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</si>
  <si>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</si>
  <si>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</si>
  <si>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</si>
  <si>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</si>
  <si>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</si>
  <si>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</si>
  <si>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</si>
  <si>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</si>
  <si>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</si>
  <si>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</si>
  <si>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</si>
  <si>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</si>
  <si>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</si>
  <si>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</si>
  <si>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</si>
  <si>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</si>
  <si>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</si>
  <si>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</si>
  <si>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</si>
  <si>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</si>
  <si>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</si>
  <si>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</si>
  <si>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</si>
  <si>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</si>
  <si>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</si>
  <si>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</si>
  <si>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</si>
  <si>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</si>
  <si>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</si>
  <si>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</si>
  <si>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</si>
  <si>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</si>
  <si>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</si>
  <si>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</si>
  <si>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</si>
  <si>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</si>
  <si>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</si>
  <si>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</si>
  <si>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</si>
  <si>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</si>
  <si>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</si>
  <si>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</si>
  <si>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</si>
  <si>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</si>
  <si>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</si>
  <si>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</si>
  <si>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</si>
  <si>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</si>
  <si>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</si>
  <si>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</si>
  <si>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</si>
  <si>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</si>
  <si>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</si>
  <si>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</si>
  <si>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</si>
  <si>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</si>
  <si>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</si>
  <si>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</si>
  <si>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</si>
  <si>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</si>
  <si>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</si>
  <si>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</si>
  <si>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</si>
  <si>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</si>
  <si>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</si>
  <si>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</si>
  <si>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</si>
  <si>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</si>
  <si>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</si>
  <si>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</si>
  <si>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</si>
  <si>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</si>
  <si>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</si>
  <si>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</si>
  <si>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</si>
  <si>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</si>
  <si>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</si>
  <si>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</si>
  <si>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</si>
  <si>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</si>
  <si>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</si>
  <si>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</si>
  <si>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</si>
  <si>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</si>
  <si>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</si>
  <si>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</si>
  <si>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</si>
  <si>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</si>
  <si>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</si>
  <si>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</si>
  <si>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</si>
  <si>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</si>
  <si>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</si>
  <si>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</si>
  <si>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</si>
  <si>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</si>
  <si>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</si>
  <si>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</si>
  <si>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</si>
  <si>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</si>
  <si>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</si>
  <si>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</si>
  <si>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</si>
  <si>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</si>
  <si>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</si>
  <si>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</si>
  <si>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</si>
  <si>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</si>
  <si>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</si>
  <si>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</si>
  <si>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</si>
  <si>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</si>
  <si>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</si>
  <si>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</si>
  <si>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</si>
  <si>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</si>
  <si>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</si>
  <si>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</si>
  <si>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</si>
  <si>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</si>
  <si>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</si>
  <si>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</si>
  <si>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</si>
  <si>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</si>
  <si>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</si>
  <si>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</si>
  <si>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</si>
  <si>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</si>
  <si>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</si>
  <si>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</si>
  <si>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</si>
  <si>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</si>
  <si>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</si>
  <si>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</si>
  <si>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</si>
  <si>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</si>
  <si>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</si>
  <si>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</si>
  <si>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</si>
  <si>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</si>
  <si>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</si>
  <si>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</si>
  <si>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</si>
  <si>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</si>
  <si>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</si>
  <si>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</si>
  <si>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</si>
  <si>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</si>
  <si>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</si>
  <si>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</si>
  <si>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</si>
  <si>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</si>
  <si>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</si>
  <si>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</si>
  <si>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</si>
  <si>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</si>
  <si>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</si>
  <si>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</si>
  <si>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</si>
  <si>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</si>
  <si>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</si>
  <si>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</si>
  <si>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</si>
  <si>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</si>
  <si>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</si>
  <si>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</si>
  <si>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</si>
  <si>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</si>
  <si>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</si>
  <si>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</si>
  <si>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</si>
  <si>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</si>
  <si>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</si>
  <si>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</si>
  <si>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</si>
  <si>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</si>
  <si>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</si>
  <si>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</si>
  <si>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</si>
  <si>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</si>
  <si>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</si>
  <si>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</si>
  <si>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</si>
  <si>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</si>
  <si>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</si>
  <si>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</si>
  <si>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</si>
  <si>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</si>
  <si>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</si>
  <si>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</si>
  <si>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</si>
  <si>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</si>
  <si>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</si>
  <si>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</si>
  <si>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</si>
  <si>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</si>
  <si>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</si>
  <si>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</si>
  <si>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</si>
  <si>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</si>
  <si>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</si>
  <si>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</si>
  <si>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</si>
  <si>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</si>
  <si>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</si>
  <si>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</si>
  <si>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</si>
  <si>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</si>
  <si>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</si>
  <si>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</si>
  <si>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</si>
  <si>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</si>
  <si>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</si>
  <si>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</si>
  <si>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</si>
  <si>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</si>
  <si>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</si>
  <si>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</si>
  <si>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</si>
  <si>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</si>
  <si>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</si>
  <si>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</si>
  <si>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</si>
  <si>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</si>
  <si>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</si>
  <si>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</si>
  <si>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</si>
  <si>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</si>
  <si>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</si>
  <si>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</si>
  <si>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</si>
  <si>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</si>
  <si>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</si>
  <si>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</si>
  <si>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</si>
  <si>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</si>
  <si>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</si>
  <si>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</si>
  <si>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</si>
  <si>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</si>
  <si>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</si>
  <si>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</si>
  <si>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</si>
  <si>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</si>
  <si>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</si>
  <si>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</si>
  <si>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</si>
  <si>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</si>
  <si>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</si>
  <si>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</si>
  <si>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</si>
  <si>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</si>
  <si>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</si>
  <si>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</si>
  <si>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</si>
  <si>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</si>
  <si>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</si>
  <si>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</si>
  <si>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</si>
  <si>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</si>
  <si>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</si>
  <si>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</si>
  <si>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</si>
  <si>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</si>
  <si>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</si>
  <si>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</si>
  <si>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</si>
  <si>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</si>
  <si>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</si>
  <si>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</si>
  <si>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</si>
  <si>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</si>
  <si>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</si>
  <si>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</si>
  <si>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</si>
  <si>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</si>
  <si>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</si>
  <si>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</si>
  <si>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</si>
  <si>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</si>
  <si>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</si>
  <si>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</si>
  <si>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</si>
  <si>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</si>
  <si>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</si>
  <si>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</si>
  <si>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</si>
  <si>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</si>
  <si>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</si>
  <si>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</si>
  <si>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</si>
  <si>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</si>
  <si>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</si>
  <si>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</si>
  <si>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</si>
  <si>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</si>
  <si>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</si>
  <si>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</si>
  <si>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</si>
  <si>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</si>
  <si>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</si>
  <si>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</si>
  <si>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</si>
  <si>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</si>
  <si>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</si>
  <si>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</si>
  <si>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</si>
  <si>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</si>
  <si>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</si>
  <si>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</si>
  <si>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</si>
  <si>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</si>
  <si>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</si>
  <si>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</si>
  <si>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</si>
  <si>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</si>
  <si>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</si>
  <si>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</si>
  <si>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</si>
  <si>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</si>
  <si>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</si>
  <si>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</si>
  <si>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</si>
  <si>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</si>
  <si>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</si>
  <si>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</si>
  <si>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</si>
  <si>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</si>
  <si>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</si>
  <si>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</si>
  <si>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</si>
  <si>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</si>
  <si>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</si>
  <si>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</si>
  <si>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</si>
  <si>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</si>
  <si>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</si>
  <si>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</si>
  <si>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</si>
  <si>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</si>
  <si>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</si>
  <si>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</si>
  <si>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</si>
  <si>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</si>
  <si>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</si>
  <si>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</si>
  <si>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</si>
  <si>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</si>
  <si>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</si>
  <si>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</si>
  <si>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</si>
  <si>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</si>
  <si>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</si>
  <si>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</si>
  <si>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</si>
  <si>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</si>
  <si>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</si>
  <si>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</si>
  <si>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</si>
  <si>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</si>
  <si>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</si>
  <si>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</si>
  <si>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</si>
  <si>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</si>
  <si>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</si>
  <si>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</si>
  <si>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</si>
  <si>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</si>
  <si>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</si>
  <si>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</si>
  <si>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</si>
  <si>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</si>
  <si>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</si>
  <si>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</si>
  <si>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</si>
  <si>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</si>
  <si>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</si>
  <si>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</si>
  <si>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</si>
  <si>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</si>
  <si>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</si>
  <si>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</si>
  <si>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</si>
  <si>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</si>
  <si>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</si>
  <si>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</si>
  <si>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</si>
  <si>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</si>
  <si>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</si>
  <si>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</si>
  <si>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</si>
  <si>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</si>
  <si>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</si>
  <si>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</si>
  <si>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</si>
  <si>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</si>
  <si>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</si>
  <si>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</si>
  <si>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</si>
  <si>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</si>
  <si>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</si>
  <si>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</si>
  <si>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</si>
  <si>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</si>
  <si>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</si>
  <si>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</si>
  <si>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</si>
  <si>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</si>
  <si>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</si>
  <si>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</si>
  <si>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</si>
  <si>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</si>
  <si>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</si>
  <si>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</si>
  <si>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</si>
  <si>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</si>
  <si>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</si>
  <si>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</si>
  <si>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</si>
  <si>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</si>
  <si>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</si>
  <si>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</si>
  <si>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</si>
  <si>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</si>
  <si>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</si>
  <si>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</si>
  <si>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</si>
  <si>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</si>
  <si>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</si>
  <si>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</si>
  <si>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</si>
  <si>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</si>
  <si>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</si>
  <si>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</si>
  <si>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</si>
  <si>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</si>
  <si>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</si>
  <si>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</si>
  <si>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</si>
  <si>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</si>
  <si>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</si>
  <si>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</si>
  <si>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</si>
  <si>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</si>
  <si>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</si>
  <si>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</si>
  <si>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</si>
  <si>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</si>
  <si>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</si>
  <si>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</si>
  <si>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</si>
  <si>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</si>
  <si>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</si>
  <si>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</si>
  <si>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</si>
  <si>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</si>
  <si>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</si>
  <si>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</si>
  <si>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</si>
  <si>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</si>
  <si>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</si>
  <si>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</si>
  <si>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</si>
  <si>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</si>
  <si>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</si>
  <si>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</si>
  <si>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</si>
  <si>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</si>
  <si>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</si>
  <si>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</si>
  <si>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</si>
  <si>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</si>
  <si>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</si>
  <si>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</si>
  <si>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</si>
  <si>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</si>
  <si>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</si>
  <si>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</si>
  <si>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</si>
  <si>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</si>
  <si>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</si>
  <si>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</si>
  <si>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</si>
  <si>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</si>
  <si>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</si>
  <si>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</si>
  <si>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</si>
  <si>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</si>
  <si>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</si>
  <si>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</si>
  <si>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</si>
  <si>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</si>
  <si>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</si>
  <si>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</si>
  <si>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</si>
  <si>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</si>
  <si>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</si>
  <si>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</si>
  <si>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</si>
  <si>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</si>
  <si>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</si>
  <si>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</si>
  <si>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</si>
  <si>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</si>
  <si>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</si>
  <si>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</si>
  <si>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</si>
  <si>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</si>
  <si>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</si>
  <si>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</si>
  <si>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</si>
  <si>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</si>
  <si>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</si>
  <si>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</si>
  <si>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</si>
  <si>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</si>
  <si>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</si>
  <si>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</si>
  <si>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</si>
  <si>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</si>
  <si>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</si>
  <si>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</si>
  <si>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</si>
  <si>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</si>
  <si>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</si>
  <si>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</si>
  <si>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</si>
  <si>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</si>
  <si>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</si>
  <si>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</si>
  <si>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</si>
  <si>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</si>
  <si>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</si>
  <si>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</si>
  <si>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</si>
  <si>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</si>
  <si>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</si>
  <si>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</si>
  <si>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</si>
  <si>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</si>
  <si>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</si>
  <si>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</si>
  <si>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</si>
  <si>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</si>
  <si>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</si>
  <si>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</si>
  <si>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</si>
  <si>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</si>
  <si>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</si>
  <si>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</si>
  <si>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</si>
  <si>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</si>
  <si>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</si>
  <si>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</si>
  <si>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</si>
  <si>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</si>
  <si>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</si>
  <si>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</si>
  <si>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</si>
  <si>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</si>
  <si>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</si>
  <si>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</si>
  <si>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</si>
  <si>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</si>
  <si>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</si>
  <si>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</si>
  <si>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</si>
  <si>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</si>
  <si>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</si>
  <si>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</si>
  <si>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</si>
  <si>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</si>
  <si>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</si>
  <si>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</si>
  <si>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</si>
  <si>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</si>
  <si>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</si>
  <si>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</si>
  <si>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</si>
  <si>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</si>
  <si>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</si>
  <si>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</si>
  <si>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</si>
  <si>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</si>
  <si>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</si>
  <si>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</si>
  <si>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</si>
  <si>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</si>
  <si>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</si>
  <si>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</si>
  <si>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</si>
  <si>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</si>
  <si>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</si>
  <si>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</si>
  <si>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</si>
  <si>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</si>
  <si>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</si>
  <si>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</si>
  <si>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</si>
  <si>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</si>
  <si>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</si>
  <si>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</si>
  <si>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</si>
  <si>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</si>
  <si>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</si>
  <si>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</si>
  <si>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</si>
  <si>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</si>
  <si>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</si>
  <si>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</si>
  <si>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</si>
  <si>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</si>
  <si>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</si>
  <si>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</si>
  <si>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</si>
  <si>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</si>
  <si>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</si>
  <si>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</si>
  <si>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</si>
  <si>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</si>
  <si>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</si>
  <si>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</si>
  <si>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</si>
  <si>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</si>
  <si>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</si>
  <si>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</si>
  <si>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</si>
  <si>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</si>
  <si>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</si>
  <si>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</si>
  <si>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</si>
  <si>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</si>
  <si>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</si>
  <si>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</si>
  <si>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</si>
  <si>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</si>
  <si>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</si>
  <si>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</si>
  <si>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</si>
  <si>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</si>
  <si>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</si>
  <si>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</si>
  <si>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</si>
  <si>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</si>
  <si>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</si>
  <si>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</si>
  <si>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</si>
  <si>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</si>
  <si>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</si>
  <si>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</si>
  <si>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</si>
  <si>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</si>
  <si>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</si>
  <si>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</si>
  <si>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</si>
  <si>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</si>
  <si>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</si>
  <si>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</si>
  <si>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</si>
  <si>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</si>
  <si>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</si>
  <si>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</si>
  <si>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</si>
  <si>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</si>
  <si>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</si>
  <si>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</si>
  <si>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</si>
  <si>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</si>
  <si>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</si>
  <si>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</si>
  <si>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</si>
  <si>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</si>
  <si>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</si>
  <si>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</si>
  <si>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</si>
  <si>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</si>
  <si>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</si>
  <si>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</si>
  <si>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</si>
  <si>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</si>
  <si>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</si>
  <si>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</si>
  <si>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</si>
  <si>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</si>
  <si>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</si>
  <si>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</si>
  <si>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</si>
  <si>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</si>
  <si>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</si>
  <si>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</si>
  <si>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</si>
  <si>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</si>
  <si>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</si>
  <si>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</si>
  <si>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</si>
  <si>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</si>
  <si>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</si>
  <si>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</si>
  <si>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</si>
  <si>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</si>
  <si>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</si>
  <si>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</si>
  <si>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</si>
  <si>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</si>
  <si>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</si>
  <si>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</si>
  <si>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</si>
  <si>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</si>
  <si>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</si>
  <si>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</si>
  <si>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</si>
  <si>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</si>
  <si>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</si>
  <si>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</si>
  <si>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</si>
  <si>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</si>
  <si>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</si>
  <si>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</si>
  <si>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</si>
  <si>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</si>
  <si>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</si>
  <si>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</si>
  <si>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</si>
  <si>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</si>
  <si>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</si>
  <si>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</si>
  <si>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</si>
  <si>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</si>
  <si>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</si>
  <si>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</si>
  <si>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</si>
  <si>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</si>
  <si>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</si>
  <si>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</si>
  <si>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</si>
  <si>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</si>
  <si>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</si>
  <si>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</si>
  <si>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</si>
  <si>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</si>
  <si>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</si>
  <si>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</si>
  <si>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</si>
  <si>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</si>
  <si>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</si>
  <si>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</si>
  <si>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</si>
  <si>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</si>
  <si>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</si>
  <si>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</si>
  <si>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</si>
  <si>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</si>
  <si>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</si>
  <si>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</si>
  <si>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</si>
  <si>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</si>
  <si>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</si>
  <si>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</si>
  <si>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</si>
  <si>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</si>
  <si>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</si>
  <si>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</si>
  <si>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</si>
  <si>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</si>
  <si>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</si>
  <si>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</si>
  <si>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</si>
  <si>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</si>
  <si>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</si>
  <si>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</si>
  <si>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</si>
  <si>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</si>
  <si>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</si>
  <si>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</si>
  <si>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</si>
  <si>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</si>
  <si>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</si>
  <si>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</si>
  <si>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</si>
  <si>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</si>
  <si>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</si>
  <si>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</si>
  <si>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</si>
  <si>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</si>
  <si>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</si>
  <si>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</si>
  <si>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</si>
  <si>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</si>
  <si>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</si>
  <si>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</si>
  <si>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</si>
  <si>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</si>
  <si>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</si>
  <si>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</si>
  <si>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</si>
  <si>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</si>
  <si>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</si>
  <si>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</si>
  <si>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</si>
  <si>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</si>
  <si>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</si>
  <si>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</si>
  <si>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</si>
  <si>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</si>
  <si>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</si>
  <si>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</si>
  <si>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</si>
  <si>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</si>
  <si>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</si>
  <si>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</si>
  <si>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</si>
  <si>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</si>
  <si>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</si>
  <si>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</si>
  <si>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</si>
  <si>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</si>
  <si>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</si>
  <si>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</si>
  <si>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</si>
  <si>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</si>
  <si>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</si>
  <si>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</si>
  <si>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</si>
  <si>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</si>
  <si>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</si>
  <si>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</si>
  <si>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</si>
  <si>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</si>
  <si>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</si>
  <si>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</si>
  <si>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</si>
  <si>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</si>
  <si>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</si>
  <si>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</si>
  <si>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</si>
  <si>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</si>
  <si>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</si>
  <si>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</si>
  <si>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</si>
  <si>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</si>
  <si>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</si>
  <si>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</si>
  <si>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</si>
  <si>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</si>
  <si>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</si>
  <si>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</si>
  <si>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</si>
  <si>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</si>
  <si>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</si>
  <si>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</si>
  <si>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</si>
  <si>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</si>
  <si>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</si>
  <si>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</si>
  <si>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</si>
  <si>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</si>
  <si>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</si>
  <si>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</si>
  <si>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</si>
  <si>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</si>
  <si>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</si>
  <si>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</si>
  <si>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</si>
  <si>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</si>
  <si>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</si>
  <si>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</si>
  <si>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</si>
  <si>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</si>
  <si>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</si>
  <si>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</si>
  <si>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</si>
  <si>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</si>
  <si>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</si>
  <si>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</si>
  <si>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</si>
  <si>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</si>
  <si>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</si>
  <si>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</si>
  <si>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</si>
  <si>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</si>
  <si>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</si>
  <si>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</si>
  <si>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</si>
  <si>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</si>
  <si>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</si>
  <si>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</si>
  <si>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</si>
  <si>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</si>
  <si>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</si>
  <si>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</si>
  <si>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</si>
  <si>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</si>
  <si>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</si>
  <si>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</si>
  <si>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</si>
  <si>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</si>
  <si>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</si>
  <si>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</si>
  <si>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</si>
  <si>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</si>
  <si>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</si>
  <si>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</si>
  <si>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</si>
  <si>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</si>
  <si>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</si>
  <si>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</si>
  <si>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</si>
  <si>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</si>
  <si>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</si>
  <si>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</si>
  <si>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</si>
  <si>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</si>
  <si>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</si>
  <si>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</si>
  <si>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</si>
  <si>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</si>
  <si>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</si>
  <si>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</si>
  <si>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</si>
  <si>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</si>
  <si>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</si>
  <si>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</si>
  <si>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</si>
  <si>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</si>
  <si>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</si>
  <si>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</si>
  <si>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</si>
  <si>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</si>
  <si>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</si>
  <si>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</si>
  <si>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</si>
  <si>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</si>
  <si>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</si>
  <si>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</si>
  <si>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</si>
  <si>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</si>
  <si>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</si>
  <si>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</si>
  <si>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</si>
  <si>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</si>
  <si>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</si>
  <si>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</si>
  <si>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</si>
  <si>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</si>
  <si>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</si>
  <si>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</si>
  <si>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</si>
  <si>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</si>
  <si>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</si>
  <si>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</si>
  <si>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</si>
  <si>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</si>
  <si>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</si>
  <si>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</si>
  <si>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</si>
  <si>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</si>
  <si>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</si>
  <si>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</si>
  <si>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</si>
  <si>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</si>
  <si>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</si>
  <si>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</si>
  <si>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</si>
  <si>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</si>
  <si>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</si>
  <si>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</si>
  <si>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</si>
  <si>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</si>
  <si>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</si>
  <si>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</si>
  <si>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</si>
  <si>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</si>
  <si>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</si>
  <si>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</si>
  <si>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</si>
  <si>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</si>
  <si>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</si>
  <si>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</si>
  <si>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</si>
  <si>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</si>
  <si>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</si>
  <si>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</si>
  <si>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</si>
  <si>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</si>
  <si>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</si>
  <si>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</si>
  <si>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</si>
  <si>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</si>
  <si>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</si>
  <si>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</si>
  <si>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</si>
  <si>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</si>
  <si>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</si>
  <si>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</si>
  <si>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</si>
  <si>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</si>
  <si>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</si>
  <si>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</si>
  <si>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</si>
  <si>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</si>
  <si>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</si>
  <si>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</si>
  <si>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</si>
  <si>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</si>
  <si>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</si>
  <si>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</si>
  <si>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</si>
  <si>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</si>
  <si>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</si>
  <si>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</si>
  <si>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</si>
  <si>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</si>
  <si>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</si>
  <si>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</si>
  <si>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</si>
  <si>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</si>
  <si>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</si>
  <si>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</si>
  <si>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</si>
  <si>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</si>
  <si>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</si>
  <si>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</si>
  <si>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</si>
  <si>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</si>
  <si>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</si>
  <si>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</si>
  <si>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</si>
  <si>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</si>
  <si>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</si>
  <si>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</si>
  <si>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</si>
  <si>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</si>
  <si>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</si>
  <si>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</si>
  <si>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</si>
  <si>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</si>
  <si>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</si>
  <si>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</si>
  <si>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</si>
  <si>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</si>
  <si>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</si>
  <si>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</si>
  <si>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</si>
  <si>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</si>
  <si>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</si>
  <si>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</si>
  <si>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</si>
  <si>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</si>
  <si>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</si>
  <si>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</si>
  <si>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</si>
  <si>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</si>
  <si>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</si>
  <si>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</si>
  <si>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</si>
  <si>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</si>
  <si>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</si>
  <si>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</si>
  <si>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</si>
  <si>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</si>
  <si>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</si>
  <si>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</si>
  <si>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</si>
  <si>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</si>
  <si>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</si>
  <si>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</si>
  <si>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</si>
  <si>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</si>
  <si>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</si>
  <si>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</si>
  <si>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</si>
  <si>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</si>
  <si>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</si>
  <si>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</si>
  <si>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</si>
  <si>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</si>
  <si>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</si>
  <si>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</si>
  <si>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</si>
  <si>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</si>
  <si>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</si>
  <si>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</si>
  <si>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</si>
  <si>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</si>
  <si>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</si>
  <si>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</si>
  <si>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</si>
  <si>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</si>
  <si>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</si>
  <si>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</si>
  <si>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</si>
  <si>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</si>
  <si>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</si>
  <si>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</si>
  <si>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</si>
  <si>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</si>
  <si>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</si>
  <si>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</si>
  <si>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</si>
  <si>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</si>
  <si>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</si>
  <si>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</si>
  <si>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</si>
  <si>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</si>
  <si>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</si>
  <si>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</si>
  <si>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</si>
  <si>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</si>
  <si>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</si>
  <si>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</si>
  <si>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</si>
  <si>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</si>
  <si>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</si>
  <si>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</si>
  <si>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</si>
  <si>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</si>
  <si>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</si>
  <si>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</si>
  <si>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</si>
  <si>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</si>
  <si>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</si>
  <si>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</si>
  <si>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</si>
  <si>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</si>
  <si>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</si>
  <si>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</si>
  <si>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</si>
  <si>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</si>
  <si>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</si>
  <si>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</si>
  <si>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</si>
  <si>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</si>
  <si>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</si>
  <si>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</si>
  <si>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</si>
  <si>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</si>
  <si>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</si>
  <si>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</si>
  <si>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</si>
  <si>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</si>
  <si>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</si>
  <si>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</si>
  <si>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</si>
  <si>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</si>
  <si>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</si>
  <si>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</si>
  <si>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</si>
  <si>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</si>
  <si>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</si>
  <si>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</si>
  <si>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</si>
  <si>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</si>
  <si>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</si>
  <si>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</si>
  <si>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</si>
  <si>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</si>
  <si>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</si>
  <si>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</si>
  <si>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</si>
  <si>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</si>
  <si>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</si>
  <si>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</si>
  <si>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</si>
  <si>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</si>
  <si>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</si>
  <si>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</si>
  <si>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</si>
  <si>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</si>
  <si>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</si>
  <si>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</si>
  <si>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</si>
  <si>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</si>
  <si>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</si>
  <si>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</si>
  <si>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</si>
  <si>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</si>
  <si>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</si>
  <si>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</si>
  <si>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</si>
  <si>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</si>
  <si>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</si>
  <si>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</si>
  <si>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</si>
  <si>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</si>
  <si>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</si>
  <si>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</si>
  <si>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</si>
  <si>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</si>
  <si>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</si>
  <si>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</si>
  <si>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</si>
  <si>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</si>
  <si>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</si>
  <si>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</si>
  <si>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</si>
  <si>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</si>
  <si>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</si>
  <si>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</si>
  <si>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</si>
  <si>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</si>
  <si>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</si>
  <si>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</si>
  <si>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</si>
  <si>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</si>
  <si>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</si>
  <si>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</si>
  <si>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</si>
  <si>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</si>
  <si>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</si>
  <si>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</si>
  <si>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</si>
  <si>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</si>
  <si>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</si>
  <si>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</si>
  <si>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</si>
  <si>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</si>
  <si>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</si>
  <si>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</si>
  <si>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</si>
  <si>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</si>
  <si>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</si>
  <si>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</si>
  <si>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</si>
  <si>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</si>
  <si>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</si>
  <si>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</si>
  <si>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</si>
  <si>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</si>
  <si>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</si>
  <si>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</si>
  <si>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</si>
  <si>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</si>
  <si>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</si>
  <si>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</si>
  <si>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</si>
  <si>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</si>
  <si>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</si>
  <si>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</si>
  <si>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</si>
  <si>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</si>
  <si>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</si>
  <si>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</si>
  <si>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</si>
  <si>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</si>
  <si>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</si>
  <si>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</si>
  <si>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</si>
  <si>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</si>
  <si>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</si>
  <si>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</si>
  <si>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</si>
  <si>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</si>
  <si>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</si>
  <si>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</si>
  <si>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</si>
  <si>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</si>
  <si>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</si>
  <si>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</si>
  <si>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</si>
  <si>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</si>
  <si>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</si>
  <si>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</si>
  <si>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</si>
  <si>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</si>
  <si>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</si>
  <si>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</si>
  <si>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</si>
  <si>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</si>
  <si>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</si>
  <si>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</si>
  <si>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</si>
  <si>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</si>
  <si>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</si>
  <si>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</si>
  <si>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</si>
  <si>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</si>
  <si>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</si>
  <si>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</si>
  <si>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</si>
  <si>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</si>
  <si>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</si>
  <si>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</si>
  <si>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</si>
  <si>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</si>
  <si>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</si>
  <si>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</si>
  <si>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</si>
  <si>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</si>
  <si>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</si>
  <si>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</si>
  <si>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</si>
  <si>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</si>
  <si>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</si>
  <si>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</si>
  <si>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</si>
  <si>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</si>
  <si>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</si>
  <si>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</si>
  <si>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</si>
  <si>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</si>
  <si>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</si>
  <si>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</si>
  <si>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</si>
  <si>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</si>
  <si>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</si>
  <si>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</si>
  <si>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</si>
  <si>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</si>
  <si>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</si>
  <si>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</si>
  <si>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</si>
  <si>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</si>
  <si>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</si>
  <si>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</si>
  <si>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</si>
  <si>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</si>
  <si>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</si>
  <si>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</si>
  <si>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</si>
  <si>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</si>
  <si>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</si>
  <si>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</si>
  <si>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</si>
  <si>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</si>
  <si>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</si>
  <si>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</si>
  <si>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</si>
  <si>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</si>
  <si>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</si>
  <si>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</si>
  <si>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</si>
  <si>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</si>
  <si>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</si>
  <si>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</si>
  <si>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</si>
  <si>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</si>
  <si>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</si>
  <si>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</si>
  <si>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</si>
  <si>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</si>
  <si>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</si>
  <si>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</si>
  <si>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</si>
  <si>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</si>
  <si>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</si>
  <si>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</si>
  <si>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</si>
  <si>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</si>
  <si>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</si>
  <si>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</si>
  <si>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</si>
  <si>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</si>
  <si>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</si>
  <si>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</si>
  <si>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</si>
  <si>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</si>
  <si>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</si>
  <si>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</si>
  <si>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</si>
  <si>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</si>
  <si>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</si>
  <si>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</si>
  <si>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</si>
  <si>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</si>
  <si>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</si>
  <si>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</si>
  <si>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</si>
  <si>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</si>
  <si>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</si>
  <si>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</si>
  <si>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</si>
  <si>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</si>
  <si>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</si>
  <si>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</si>
  <si>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</si>
  <si>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</si>
  <si>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</si>
  <si>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</si>
  <si>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</si>
  <si>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</si>
  <si>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</si>
  <si>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</si>
  <si>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</si>
  <si>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</si>
  <si>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</si>
  <si>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</si>
  <si>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</si>
  <si>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</si>
  <si>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</si>
  <si>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</si>
  <si>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</si>
  <si>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</si>
  <si>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</si>
  <si>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</si>
  <si>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</si>
  <si>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</si>
  <si>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</si>
  <si>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</si>
  <si>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</si>
  <si>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</si>
  <si>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</si>
  <si>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</si>
  <si>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</si>
  <si>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</si>
  <si>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</si>
  <si>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</si>
  <si>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</si>
  <si>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</si>
  <si>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</si>
  <si>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</si>
  <si>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</si>
  <si>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</si>
  <si>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</si>
  <si>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</si>
  <si>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</si>
  <si>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</si>
  <si>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</si>
  <si>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</si>
  <si>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</si>
  <si>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</si>
  <si>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</si>
  <si>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</si>
  <si>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</si>
  <si>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</si>
  <si>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</si>
  <si>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</si>
  <si>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</si>
  <si>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</si>
  <si>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</si>
  <si>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</si>
  <si>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</si>
  <si>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</si>
  <si>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</si>
  <si>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</si>
  <si>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</si>
  <si>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</si>
  <si>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</si>
  <si>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</si>
  <si>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</si>
  <si>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</si>
  <si>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</si>
  <si>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</si>
  <si>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</si>
  <si>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</si>
  <si>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</si>
  <si>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</si>
  <si>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</si>
  <si>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</si>
  <si>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</si>
  <si>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</si>
  <si>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</si>
  <si>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</si>
  <si>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</si>
  <si>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</si>
  <si>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</si>
  <si>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</si>
  <si>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</si>
  <si>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</si>
  <si>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</si>
  <si>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</si>
  <si>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</si>
  <si>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</si>
  <si>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</si>
  <si>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</si>
  <si>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</si>
  <si>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</si>
  <si>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</si>
  <si>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</si>
  <si>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</si>
  <si>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</si>
  <si>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</si>
  <si>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</si>
  <si>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</si>
  <si>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</si>
  <si>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</si>
  <si>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</si>
  <si>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</si>
  <si>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</si>
  <si>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</si>
  <si>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</si>
  <si>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</si>
  <si>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</si>
  <si>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</si>
  <si>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</si>
  <si>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</si>
  <si>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</si>
  <si>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</si>
  <si>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</si>
  <si>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</si>
  <si>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</si>
  <si>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</si>
  <si>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</si>
  <si>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</si>
  <si>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</si>
  <si>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</si>
  <si>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</si>
  <si>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</si>
  <si>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</si>
  <si>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</si>
  <si>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</si>
  <si>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</si>
  <si>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</si>
  <si>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</si>
  <si>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</si>
  <si>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</si>
  <si>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</si>
  <si>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</si>
  <si>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</si>
  <si>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</si>
  <si>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</si>
  <si>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</si>
  <si>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</si>
  <si>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</si>
  <si>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</si>
  <si>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</si>
  <si>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</si>
  <si>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</si>
  <si>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</si>
  <si>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</si>
  <si>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</si>
  <si>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</si>
  <si>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</si>
  <si>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</si>
  <si>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</si>
  <si>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</si>
  <si>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</si>
  <si>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</si>
  <si>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</si>
  <si>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</si>
  <si>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</si>
  <si>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</si>
  <si>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</si>
  <si>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</si>
  <si>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</si>
  <si>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</si>
  <si>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</si>
  <si>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</si>
  <si>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</si>
  <si>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</si>
  <si>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</si>
  <si>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</si>
  <si>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</si>
  <si>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</si>
  <si>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</si>
  <si>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</si>
  <si>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</si>
  <si>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</si>
  <si>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</si>
  <si>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</si>
  <si>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</si>
  <si>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</si>
  <si>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</si>
  <si>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</si>
  <si>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</si>
  <si>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</si>
  <si>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</si>
  <si>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</si>
  <si>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</si>
  <si>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</si>
  <si>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</si>
  <si>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</si>
  <si>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</si>
  <si>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</si>
  <si>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</si>
  <si>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</si>
  <si>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</si>
  <si>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</si>
  <si>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</si>
  <si>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</si>
  <si>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</si>
  <si>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</si>
  <si>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</si>
  <si>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</si>
  <si>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</si>
  <si>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</si>
  <si>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</si>
  <si>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</si>
  <si>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</si>
  <si>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</si>
  <si>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</si>
  <si>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</si>
  <si>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</si>
  <si>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</si>
  <si>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</si>
  <si>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</si>
  <si>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</si>
  <si>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</si>
  <si>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</si>
  <si>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</si>
  <si>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</si>
  <si>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</si>
  <si>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</si>
  <si>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</si>
  <si>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</si>
  <si>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</si>
  <si>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</si>
  <si>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</si>
  <si>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</si>
  <si>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</si>
  <si>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</si>
  <si>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</si>
  <si>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</si>
  <si>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</si>
  <si>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</si>
  <si>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</si>
  <si>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</si>
  <si>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</si>
  <si>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</si>
  <si>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</si>
  <si>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</si>
  <si>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</si>
  <si>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</si>
  <si>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</si>
  <si>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</si>
  <si>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</si>
  <si>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</si>
  <si>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</si>
  <si>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</si>
  <si>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</si>
  <si>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</si>
  <si>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</si>
  <si>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</si>
  <si>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</si>
  <si>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</si>
  <si>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</si>
  <si>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</si>
  <si>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</si>
  <si>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</si>
  <si>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</si>
  <si>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</si>
  <si>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</si>
  <si>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</si>
  <si>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</si>
  <si>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</si>
  <si>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</si>
  <si>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</si>
  <si>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</si>
  <si>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</si>
  <si>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</si>
  <si>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</si>
  <si>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</si>
  <si>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</si>
  <si>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</si>
  <si>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</si>
  <si>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</si>
  <si>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</si>
  <si>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</si>
  <si>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</si>
  <si>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</si>
  <si>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</si>
  <si>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</si>
  <si>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</si>
  <si>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</si>
  <si>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</si>
  <si>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</si>
  <si>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</si>
  <si>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</si>
  <si>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</si>
  <si>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</si>
  <si>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</si>
  <si>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</si>
  <si>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</si>
  <si>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</si>
  <si>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</si>
  <si>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</si>
  <si>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</si>
  <si>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</si>
  <si>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</si>
  <si>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</si>
  <si>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</si>
  <si>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</si>
  <si>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</si>
  <si>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</si>
  <si>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</si>
  <si>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</si>
  <si>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</si>
  <si>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</si>
  <si>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</si>
  <si>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</si>
  <si>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</si>
  <si>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</si>
  <si>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</si>
  <si>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</si>
  <si>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</si>
  <si>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</si>
  <si>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</si>
  <si>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</si>
  <si>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</si>
  <si>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</si>
  <si>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</si>
  <si>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</si>
  <si>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</si>
  <si>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</si>
  <si>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</si>
  <si>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</si>
  <si>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</si>
  <si>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</si>
  <si>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</si>
  <si>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</si>
  <si>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</si>
  <si>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</si>
  <si>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</si>
  <si>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</si>
  <si>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</si>
  <si>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</si>
  <si>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</si>
  <si>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</si>
  <si>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</si>
  <si>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</si>
  <si>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</si>
  <si>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</si>
  <si>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</si>
  <si>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</si>
  <si>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</si>
  <si>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</si>
  <si>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</si>
  <si>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</si>
  <si>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</si>
  <si>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</si>
  <si>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</si>
  <si>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</si>
  <si>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</si>
  <si>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</si>
  <si>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</si>
  <si>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</si>
  <si>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</si>
  <si>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</si>
  <si>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</si>
  <si>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</si>
  <si>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</si>
  <si>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</si>
  <si>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</si>
  <si>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</si>
  <si>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</si>
  <si>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</si>
  <si>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</si>
  <si>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</si>
  <si>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</si>
  <si>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</si>
  <si>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</si>
  <si>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</si>
  <si>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</si>
  <si>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</si>
  <si>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</si>
  <si>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</si>
  <si>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</si>
  <si>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</si>
  <si>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</si>
  <si>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</si>
  <si>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</si>
  <si>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</si>
  <si>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</si>
  <si>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</si>
  <si>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</si>
  <si>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</si>
  <si>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</si>
  <si>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</si>
  <si>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</si>
  <si>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</si>
  <si>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</si>
  <si>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</si>
  <si>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</si>
  <si>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</si>
  <si>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</si>
  <si>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</si>
  <si>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</si>
  <si>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</si>
  <si>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</si>
  <si>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</si>
  <si>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</si>
  <si>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</si>
  <si>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</si>
  <si>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</si>
  <si>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</si>
  <si>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</si>
  <si>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</si>
  <si>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</si>
  <si>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</si>
  <si>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</si>
  <si>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</si>
  <si>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</si>
  <si>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</si>
  <si>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</si>
  <si>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</si>
  <si>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</si>
  <si>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</si>
  <si>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</si>
  <si>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</si>
  <si>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</si>
  <si>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</si>
  <si>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</si>
  <si>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</si>
  <si>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</si>
  <si>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</si>
  <si>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</si>
  <si>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</si>
  <si>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</si>
  <si>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</si>
  <si>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</si>
  <si>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</si>
  <si>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</si>
  <si>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</si>
  <si>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</si>
  <si>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</si>
  <si>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</si>
  <si>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</si>
  <si>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</si>
  <si>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</si>
  <si>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</si>
  <si>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</si>
  <si>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</si>
  <si>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</si>
  <si>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</si>
  <si>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</si>
  <si>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</si>
  <si>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</si>
  <si>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</si>
  <si>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</si>
  <si>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</si>
  <si>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</si>
  <si>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</si>
  <si>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</si>
  <si>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</si>
  <si>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</si>
  <si>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</si>
  <si>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</si>
  <si>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</si>
  <si>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</si>
  <si>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</si>
  <si>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</si>
  <si>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</si>
  <si>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</si>
  <si>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</si>
  <si>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</si>
  <si>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</si>
  <si>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</si>
  <si>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</si>
  <si>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</si>
  <si>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</si>
  <si>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</si>
  <si>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</si>
  <si>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</si>
  <si>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</si>
  <si>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</si>
  <si>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</si>
  <si>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</si>
  <si>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</si>
  <si>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</si>
  <si>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</si>
  <si>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</si>
  <si>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</si>
  <si>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</si>
  <si>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</si>
  <si>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</si>
  <si>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</si>
  <si>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</si>
  <si>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</si>
  <si>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</si>
  <si>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</si>
  <si>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</si>
  <si>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</si>
  <si>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</si>
  <si>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</si>
  <si>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</si>
  <si>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</si>
  <si>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</si>
  <si>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</si>
  <si>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</si>
  <si>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</si>
  <si>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</si>
  <si>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</si>
  <si>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</si>
  <si>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</si>
  <si>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</si>
  <si>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</si>
  <si>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</si>
  <si>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</si>
  <si>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</si>
  <si>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</si>
  <si>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</si>
  <si>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</si>
  <si>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</si>
  <si>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</si>
  <si>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</si>
  <si>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</si>
  <si>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</si>
  <si>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</si>
  <si>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</si>
  <si>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</si>
  <si>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</si>
  <si>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</si>
  <si>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</si>
  <si>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</si>
  <si>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</si>
  <si>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</si>
  <si>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</si>
  <si>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</si>
  <si>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</si>
  <si>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</si>
  <si>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</si>
  <si>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</si>
  <si>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</si>
  <si>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</si>
  <si>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</si>
  <si>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</si>
  <si>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</si>
  <si>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</si>
  <si>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</si>
  <si>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</si>
  <si>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</si>
  <si>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</si>
  <si>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</si>
  <si>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</si>
  <si>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</si>
  <si>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</si>
  <si>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</si>
  <si>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</si>
  <si>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</si>
  <si>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</si>
  <si>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</si>
  <si>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</si>
  <si>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</si>
  <si>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</si>
  <si>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</si>
  <si>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</si>
  <si>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</si>
  <si>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</si>
  <si>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</si>
  <si>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</si>
  <si>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</si>
  <si>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</si>
  <si>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</si>
  <si>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</si>
  <si>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</si>
  <si>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</si>
  <si>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</si>
  <si>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</si>
  <si>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</si>
  <si>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</si>
  <si>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</si>
  <si>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</si>
  <si>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</si>
  <si>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</si>
  <si>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</si>
  <si>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</si>
  <si>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</si>
  <si>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</si>
  <si>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</si>
  <si>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</si>
  <si>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</si>
  <si>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</si>
  <si>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</si>
  <si>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</si>
  <si>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</si>
  <si>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</si>
  <si>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</si>
  <si>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</si>
  <si>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</si>
  <si>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</si>
  <si>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</si>
  <si>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</si>
  <si>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</si>
  <si>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</si>
  <si>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</si>
  <si>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</si>
  <si>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</si>
  <si>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</si>
  <si>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</si>
  <si>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</si>
  <si>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</si>
  <si>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</si>
  <si>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</si>
  <si>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</si>
  <si>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</si>
  <si>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</si>
  <si>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</si>
  <si>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</si>
  <si>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</si>
  <si>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</si>
  <si>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</si>
  <si>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</si>
  <si>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</si>
  <si>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</si>
  <si>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</si>
  <si>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</si>
  <si>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</si>
  <si>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</si>
  <si>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</si>
  <si>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</si>
  <si>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</si>
  <si>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</si>
  <si>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</si>
  <si>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</si>
  <si>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</si>
  <si>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</si>
  <si>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</si>
  <si>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</si>
  <si>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</si>
  <si>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</si>
  <si>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</si>
  <si>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</si>
  <si>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</si>
  <si>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</si>
  <si>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</si>
  <si>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</si>
  <si>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</si>
  <si>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</si>
  <si>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</si>
  <si>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</si>
  <si>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</si>
  <si>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</si>
  <si>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</si>
  <si>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</si>
  <si>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</si>
  <si>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</si>
  <si>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</si>
  <si>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</si>
  <si>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</si>
  <si>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</si>
  <si>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</si>
  <si>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</si>
  <si>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</si>
  <si>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</si>
  <si>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</si>
  <si>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</si>
  <si>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</si>
  <si>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</si>
  <si>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</si>
  <si>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</si>
  <si>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</si>
  <si>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</si>
  <si>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</si>
  <si>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</si>
  <si>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</si>
  <si>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</si>
  <si>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</si>
  <si>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</si>
  <si>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</si>
  <si>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</si>
  <si>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</si>
  <si>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</si>
  <si>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</si>
  <si>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</si>
  <si>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</si>
  <si>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</si>
  <si>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</si>
  <si>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</si>
  <si>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</si>
  <si>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</si>
  <si>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</si>
  <si>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</si>
  <si>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</si>
  <si>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</si>
  <si>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</si>
  <si>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</si>
  <si>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</si>
  <si>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</si>
  <si>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</si>
  <si>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</si>
  <si>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</si>
  <si>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</si>
  <si>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</si>
  <si>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</si>
  <si>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</si>
  <si>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</si>
  <si>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</si>
  <si>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</si>
  <si>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</si>
  <si>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</si>
  <si>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</si>
  <si>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</si>
  <si>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</si>
  <si>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</si>
  <si>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</si>
  <si>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</si>
  <si>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</si>
  <si>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</si>
  <si>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</si>
  <si>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</si>
  <si>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</si>
  <si>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</si>
  <si>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</si>
  <si>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</si>
  <si>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</si>
  <si>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</si>
  <si>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</si>
  <si>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</si>
  <si>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</si>
  <si>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</si>
  <si>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</si>
  <si>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</si>
  <si>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</si>
  <si>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</si>
  <si>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</si>
  <si>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</si>
  <si>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</si>
  <si>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</si>
  <si>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</si>
  <si>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</si>
  <si>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</si>
  <si>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</si>
  <si>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</si>
  <si>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</si>
  <si>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</si>
  <si>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</si>
  <si>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</si>
  <si>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</si>
  <si>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</si>
  <si>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</si>
  <si>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</si>
  <si>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</si>
  <si>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</si>
  <si>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</si>
  <si>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</si>
  <si>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</si>
  <si>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</si>
  <si>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</si>
  <si>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</si>
  <si>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</si>
  <si>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</si>
  <si>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</si>
  <si>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</si>
  <si>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</si>
  <si>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</si>
  <si>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</si>
  <si>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</si>
  <si>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</si>
  <si>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</si>
  <si>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</si>
  <si>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</si>
  <si>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</si>
  <si>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</si>
  <si>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</si>
  <si>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</si>
  <si>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</si>
  <si>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</si>
  <si>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</si>
  <si>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</si>
  <si>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</si>
  <si>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</si>
  <si>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</si>
  <si>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</si>
  <si>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</si>
  <si>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</si>
  <si>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</si>
  <si>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</si>
  <si>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</si>
  <si>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</si>
  <si>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</si>
  <si>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</si>
  <si>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</si>
  <si>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</si>
  <si>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</si>
  <si>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</si>
  <si>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</si>
  <si>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</si>
  <si>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</si>
  <si>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</si>
  <si>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</si>
  <si>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</si>
  <si>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</si>
  <si>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</si>
  <si>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</si>
  <si>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</si>
  <si>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</si>
  <si>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</si>
  <si>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</si>
  <si>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</si>
  <si>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</si>
  <si>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</si>
  <si>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</si>
  <si>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</si>
  <si>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</si>
  <si>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</si>
  <si>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</si>
  <si>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</si>
  <si>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</si>
  <si>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</si>
  <si>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</si>
  <si>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</si>
  <si>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</si>
  <si>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</si>
  <si>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</si>
  <si>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</si>
  <si>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</si>
  <si>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</si>
  <si>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</si>
  <si>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</si>
  <si>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</si>
  <si>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</si>
  <si>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</si>
  <si>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</si>
  <si>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</si>
  <si>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</si>
  <si>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</si>
  <si>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</si>
  <si>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</si>
  <si>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</si>
  <si>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</si>
  <si>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</si>
  <si>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</si>
  <si>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</si>
  <si>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</si>
  <si>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</si>
  <si>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</si>
  <si>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</si>
  <si>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</si>
  <si>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</si>
  <si>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</si>
  <si>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</si>
  <si>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</si>
  <si>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</si>
  <si>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</si>
  <si>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</si>
  <si>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</si>
  <si>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</si>
  <si>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</si>
  <si>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</si>
  <si>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</si>
  <si>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</si>
  <si>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</si>
  <si>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</si>
  <si>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</si>
  <si>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</si>
  <si>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</si>
  <si>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</si>
  <si>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</si>
  <si>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</si>
  <si>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</si>
  <si>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</si>
  <si>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</si>
  <si>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</si>
  <si>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</si>
  <si>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</si>
  <si>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</si>
  <si>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</si>
  <si>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</si>
  <si>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</si>
  <si>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</si>
  <si>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</si>
  <si>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</si>
  <si>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</si>
  <si>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</si>
  <si>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</si>
  <si>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</si>
  <si>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</si>
  <si>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</si>
  <si>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</si>
  <si>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</si>
  <si>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</si>
  <si>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</si>
  <si>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</si>
  <si>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</si>
  <si>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</si>
  <si>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</si>
  <si>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</si>
  <si>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</si>
  <si>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</si>
  <si>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</si>
  <si>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</si>
  <si>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</si>
  <si>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</si>
  <si>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</si>
  <si>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</si>
  <si>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</si>
  <si>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</si>
  <si>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</si>
  <si>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</si>
  <si>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</si>
  <si>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</si>
  <si>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</si>
  <si>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</si>
  <si>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</si>
  <si>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</si>
  <si>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</si>
  <si>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</si>
  <si>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</si>
  <si>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</si>
  <si>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</si>
  <si>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</si>
  <si>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</si>
  <si>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</si>
  <si>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</si>
  <si>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</si>
  <si>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</si>
  <si>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</si>
  <si>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</si>
  <si>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</si>
  <si>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</si>
  <si>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</si>
  <si>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</si>
  <si>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</si>
  <si>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</si>
  <si>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</si>
  <si>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</si>
  <si>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</si>
  <si>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</si>
  <si>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</si>
  <si>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</si>
  <si>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</si>
  <si>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</si>
  <si>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</si>
  <si>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</si>
  <si>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</si>
  <si>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</si>
  <si>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</si>
  <si>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</si>
  <si>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</si>
  <si>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</si>
  <si>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</si>
  <si>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</si>
  <si>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</si>
  <si>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</si>
  <si>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</si>
  <si>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</si>
  <si>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</si>
  <si>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</si>
  <si>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</si>
  <si>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</si>
  <si>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</si>
  <si>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</si>
  <si>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</si>
  <si>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</si>
  <si>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</si>
  <si>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</si>
  <si>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</si>
  <si>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</si>
  <si>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</si>
  <si>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</si>
  <si>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</si>
  <si>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</si>
  <si>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</si>
  <si>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</si>
  <si>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</si>
  <si>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</si>
  <si>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</si>
  <si>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</si>
  <si>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</si>
  <si>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</si>
  <si>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</si>
  <si>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</si>
  <si>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</si>
  <si>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</si>
  <si>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</si>
  <si>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</si>
  <si>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</si>
  <si>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</si>
  <si>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</si>
  <si>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</si>
  <si>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</si>
  <si>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</si>
  <si>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</si>
  <si>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</si>
  <si>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</si>
  <si>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</si>
  <si>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</si>
  <si>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</si>
  <si>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</si>
  <si>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</si>
  <si>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</si>
  <si>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</si>
  <si>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</si>
  <si>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</si>
  <si>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</si>
  <si>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</si>
  <si>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</si>
  <si>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</si>
  <si>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</si>
  <si>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</si>
  <si>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</si>
  <si>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</si>
  <si>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</si>
  <si>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</si>
  <si>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</si>
  <si>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</si>
  <si>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</si>
  <si>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</si>
  <si>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</si>
  <si>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</si>
  <si>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</si>
  <si>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</si>
  <si>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</si>
  <si>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</si>
  <si>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</si>
  <si>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</si>
  <si>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</si>
  <si>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</si>
  <si>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</si>
  <si>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</si>
  <si>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</si>
  <si>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</si>
  <si>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</si>
  <si>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</si>
  <si>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</si>
  <si>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</si>
  <si>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</si>
  <si>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</si>
  <si>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</si>
  <si>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</si>
  <si>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</si>
  <si>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</si>
  <si>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</si>
  <si>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</si>
  <si>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</si>
  <si>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</si>
  <si>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</si>
  <si>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</si>
  <si>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</si>
  <si>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</si>
  <si>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</si>
  <si>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</si>
  <si>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</si>
  <si>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</si>
  <si>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</si>
  <si>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</si>
  <si>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</si>
  <si>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</si>
  <si>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</si>
  <si>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</si>
  <si>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</si>
  <si>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</si>
  <si>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</si>
  <si>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</si>
  <si>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</si>
  <si>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</si>
  <si>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</si>
  <si>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</si>
  <si>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</si>
  <si>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</si>
  <si>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</si>
  <si>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</si>
  <si>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</si>
  <si>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</si>
  <si>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</si>
  <si>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</si>
  <si>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</si>
  <si>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</si>
  <si>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</si>
  <si>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</si>
  <si>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</si>
  <si>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</si>
  <si>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</si>
  <si>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</si>
  <si>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</si>
  <si>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</si>
  <si>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</si>
  <si>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</si>
  <si>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</si>
  <si>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</si>
  <si>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</si>
  <si>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</si>
  <si>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</si>
  <si>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</si>
  <si>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</si>
  <si>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</si>
  <si>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</si>
  <si>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</si>
  <si>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</si>
  <si>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</si>
  <si>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</si>
  <si>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</si>
  <si>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</si>
  <si>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</si>
  <si>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</si>
  <si>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</si>
  <si>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</si>
  <si>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</si>
  <si>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</si>
  <si>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</si>
  <si>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</si>
  <si>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</si>
  <si>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</si>
  <si>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</si>
  <si>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</si>
  <si>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</si>
  <si>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</si>
  <si>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</si>
  <si>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</si>
  <si>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</si>
  <si>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</si>
  <si>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</si>
  <si>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</si>
  <si>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</si>
  <si>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</si>
  <si>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</si>
  <si>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</si>
  <si>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</si>
  <si>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</si>
  <si>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</si>
  <si>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</si>
  <si>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</si>
  <si>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</si>
  <si>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</si>
  <si>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</si>
  <si>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</si>
  <si>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</si>
  <si>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</si>
  <si>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</si>
  <si>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</si>
  <si>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</si>
  <si>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</si>
  <si>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</si>
  <si>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</si>
  <si>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</si>
  <si>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</si>
  <si>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</si>
  <si>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</si>
  <si>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</si>
  <si>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</si>
  <si>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</si>
  <si>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</si>
  <si>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</si>
  <si>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</si>
  <si>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</si>
  <si>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</si>
  <si>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</si>
  <si>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</si>
  <si>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</si>
  <si>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</si>
  <si>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</si>
  <si>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</si>
  <si>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</si>
  <si>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</si>
  <si>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</si>
  <si>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</si>
  <si>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</si>
  <si>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</si>
  <si>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</si>
  <si>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</si>
  <si>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</si>
  <si>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</si>
  <si>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</si>
  <si>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</si>
  <si>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</si>
  <si>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</si>
  <si>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</si>
  <si>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</si>
  <si>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</si>
  <si>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</si>
  <si>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</si>
  <si>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</si>
  <si>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</si>
  <si>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</si>
  <si>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</si>
  <si>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</si>
  <si>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</si>
  <si>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</si>
  <si>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</si>
  <si>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</si>
  <si>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</si>
  <si>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</si>
  <si>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</si>
  <si>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</si>
  <si>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</si>
  <si>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</si>
  <si>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</si>
  <si>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</si>
  <si>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</si>
  <si>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</si>
  <si>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</si>
  <si>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</si>
  <si>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</si>
  <si>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</si>
  <si>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</si>
  <si>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</si>
  <si>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</si>
  <si>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</si>
  <si>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</si>
  <si>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</si>
  <si>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</si>
  <si>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</si>
  <si>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</si>
  <si>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</si>
  <si>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</si>
  <si>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</si>
  <si>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</si>
  <si>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</si>
  <si>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</si>
  <si>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</si>
  <si>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</si>
  <si>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</si>
  <si>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</si>
  <si>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</si>
  <si>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</si>
  <si>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</si>
  <si>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</si>
  <si>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</si>
  <si>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</si>
  <si>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</si>
  <si>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</si>
  <si>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</si>
  <si>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</si>
  <si>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</si>
  <si>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</si>
  <si>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</si>
  <si>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</si>
  <si>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</si>
  <si>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</si>
  <si>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</si>
  <si>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</si>
  <si>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</si>
  <si>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</si>
  <si>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</si>
  <si>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</si>
  <si>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</si>
  <si>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</si>
  <si>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</si>
  <si>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</si>
  <si>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</si>
  <si>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</si>
  <si>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</si>
  <si>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</si>
  <si>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</si>
  <si>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</si>
  <si>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</si>
  <si>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</si>
  <si>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</si>
  <si>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</si>
  <si>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</si>
  <si>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</si>
  <si>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</si>
  <si>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</si>
  <si>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</si>
  <si>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</si>
  <si>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</si>
  <si>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</si>
  <si>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</si>
  <si>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</si>
  <si>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</si>
  <si>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</si>
  <si>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</si>
  <si>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</si>
  <si>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</si>
  <si>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</si>
  <si>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</si>
  <si>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</si>
  <si>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</si>
  <si>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</si>
  <si>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</si>
  <si>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</si>
  <si>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</si>
  <si>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</si>
  <si>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</si>
  <si>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</si>
  <si>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</si>
  <si>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</si>
  <si>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</si>
  <si>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</si>
  <si>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</si>
  <si>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</si>
  <si>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</si>
  <si>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</si>
  <si>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</si>
  <si>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</si>
  <si>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</si>
  <si>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</si>
  <si>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</si>
  <si>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</si>
  <si>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</si>
  <si>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</si>
  <si>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</si>
  <si>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</si>
  <si>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</si>
  <si>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</si>
  <si>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</si>
  <si>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</si>
  <si>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</si>
  <si>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</si>
  <si>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</si>
  <si>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</si>
  <si>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</si>
  <si>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</si>
  <si>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</si>
  <si>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</si>
  <si>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</si>
  <si>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</si>
  <si>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</si>
  <si>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</si>
  <si>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</si>
  <si>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</si>
  <si>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</si>
  <si>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</si>
  <si>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</si>
  <si>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</si>
  <si>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</si>
  <si>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</si>
  <si>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</si>
  <si>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</si>
  <si>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4577231#1</t>
  </si>
  <si>
    <t>Basilmx</t>
  </si>
  <si>
    <t>3259214#1, 574394#1</t>
  </si>
  <si>
    <t>Cristian Rodriguez Miranda</t>
  </si>
  <si>
    <t>An additional case was identified and investigated</t>
  </si>
  <si>
    <t>4566098#1</t>
  </si>
  <si>
    <t>Bmdsistemas</t>
  </si>
  <si>
    <t>1858096#1, 1792296#1</t>
  </si>
  <si>
    <t>Stop Jeans</t>
  </si>
  <si>
    <t>4539336#1</t>
  </si>
  <si>
    <t>Dipaz</t>
  </si>
  <si>
    <t>4422409#1</t>
  </si>
  <si>
    <t>Adarquitectura</t>
  </si>
  <si>
    <t>4535822#1</t>
  </si>
  <si>
    <t>Visbeen Architects</t>
  </si>
  <si>
    <t>4535875#1</t>
  </si>
  <si>
    <t>Arquiframme</t>
  </si>
  <si>
    <t>4532350#1</t>
  </si>
  <si>
    <t>Tgamex</t>
  </si>
  <si>
    <t>4568128#1</t>
  </si>
  <si>
    <t>Arteplac</t>
  </si>
  <si>
    <t>4638342#1</t>
  </si>
  <si>
    <t>Dharius</t>
  </si>
  <si>
    <t>4547359#1</t>
  </si>
  <si>
    <t>As269898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</si>
  <si>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</si>
  <si>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</si>
  <si>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</si>
  <si>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</si>
  <si>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</si>
  <si>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</si>
  <si>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</si>
  <si>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</si>
  <si>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Additional case for Universidad De Buenos AiresA</t>
  </si>
  <si>
    <t>4549848#1</t>
  </si>
  <si>
    <t>Cmrcimbras</t>
  </si>
  <si>
    <t>4478992#1, 1129100#1</t>
  </si>
  <si>
    <t>Jvconstructor</t>
  </si>
  <si>
    <t>4597917#1</t>
  </si>
  <si>
    <t>Dolphoxco</t>
  </si>
  <si>
    <t>Duplicate case, sent back for reinvestigation and contact augmentation</t>
  </si>
  <si>
    <t>4448312#1</t>
  </si>
  <si>
    <t>Lagunasnorte</t>
  </si>
  <si>
    <t>4600789#1</t>
  </si>
  <si>
    <t>Nuumbra</t>
  </si>
  <si>
    <t>4504033#1</t>
  </si>
  <si>
    <t>Probela La Molina</t>
  </si>
  <si>
    <t>4567075#1</t>
  </si>
  <si>
    <t>Caev</t>
  </si>
  <si>
    <t>1840584#1</t>
  </si>
  <si>
    <t>Trucks tract USA</t>
  </si>
  <si>
    <t>4597300#1</t>
  </si>
  <si>
    <t>Pireos</t>
  </si>
  <si>
    <t>4488759#1</t>
  </si>
  <si>
    <t>Assaabloy</t>
  </si>
  <si>
    <t>189561#2</t>
  </si>
  <si>
    <t>Enacal</t>
  </si>
  <si>
    <t>4570145#1</t>
  </si>
  <si>
    <t>Bavikon</t>
  </si>
  <si>
    <t>2418649#1</t>
  </si>
  <si>
    <t>Tecno Lite</t>
  </si>
  <si>
    <t>4448993#1</t>
  </si>
  <si>
    <t>GRUPO MOLICOM</t>
  </si>
  <si>
    <t>3858152#1</t>
  </si>
  <si>
    <t>Cafesoluble</t>
  </si>
  <si>
    <t>441299#4</t>
  </si>
  <si>
    <t>maquiprocesos</t>
  </si>
  <si>
    <t>1084322#3</t>
  </si>
  <si>
    <t>Centro CAD Nicaragua</t>
  </si>
  <si>
    <t>2446667#2</t>
  </si>
  <si>
    <t>Industrias Altos Sociedad Anonima Cerrada</t>
  </si>
  <si>
    <t>576639#1</t>
  </si>
  <si>
    <t>Zegesa</t>
  </si>
  <si>
    <t>4294850#1</t>
  </si>
  <si>
    <t>INTEGRA RETAIL</t>
  </si>
  <si>
    <t>4576429#1</t>
  </si>
  <si>
    <t>Tilde Studio</t>
  </si>
  <si>
    <t>4546586#1</t>
  </si>
  <si>
    <t>Kaizen360pe</t>
  </si>
  <si>
    <t>4384525#1</t>
  </si>
  <si>
    <t>Ramac</t>
  </si>
  <si>
    <t>2145417#1</t>
  </si>
  <si>
    <t>Ultramodular</t>
  </si>
  <si>
    <t>552169#1</t>
  </si>
  <si>
    <t>Ricardo Esteban Castellon Bogran</t>
  </si>
  <si>
    <t>878469#1</t>
  </si>
  <si>
    <t>Miranda Arquitectos</t>
  </si>
  <si>
    <t>4587314#1</t>
  </si>
  <si>
    <t>Opuscenter</t>
  </si>
  <si>
    <t>4615441#1</t>
  </si>
  <si>
    <t>Prodemco</t>
  </si>
  <si>
    <t>1264286#1</t>
  </si>
  <si>
    <t>Expo Imagen Hn</t>
  </si>
  <si>
    <t>1714541#1</t>
  </si>
  <si>
    <t>Thomasjefferson</t>
  </si>
  <si>
    <t xml:space="preserve">526888#1
</t>
  </si>
  <si>
    <t>Noma</t>
  </si>
  <si>
    <t>4609791#1</t>
  </si>
  <si>
    <t>Wave Arquitectura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</si>
  <si>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</si>
  <si>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</si>
  <si>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</si>
  <si>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</si>
  <si>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</si>
  <si>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2416836#1</t>
  </si>
  <si>
    <t>SMARTSOLAR</t>
  </si>
  <si>
    <t>1347373#1</t>
  </si>
  <si>
    <t>Bioquimica.cl</t>
  </si>
  <si>
    <t xml:space="preserve">Not enough recent cases.
</t>
  </si>
  <si>
    <t>4528943#1</t>
  </si>
  <si>
    <t>Construccionescct</t>
  </si>
  <si>
    <t>2392382#1</t>
  </si>
  <si>
    <t>Cobitat</t>
  </si>
  <si>
    <t>4589085#1</t>
  </si>
  <si>
    <t>Omeinteriors</t>
  </si>
  <si>
    <t>3867287#1</t>
  </si>
  <si>
    <t>Gomez Roco</t>
  </si>
  <si>
    <t>4562412#1</t>
  </si>
  <si>
    <t>Aesarquitectos</t>
  </si>
  <si>
    <t>1329080#1</t>
  </si>
  <si>
    <t>EXO S.A. - Soluciones Tecnológicas</t>
  </si>
  <si>
    <t>1830401#2</t>
  </si>
  <si>
    <t>DelCampo School</t>
  </si>
  <si>
    <t>2394114#1</t>
  </si>
  <si>
    <t>Carpeal</t>
  </si>
  <si>
    <t>2356325#2</t>
  </si>
  <si>
    <t>Grupo Fortezza</t>
  </si>
  <si>
    <t>4543458#1</t>
  </si>
  <si>
    <t>Cospb</t>
  </si>
  <si>
    <t>Nonprofit</t>
  </si>
  <si>
    <t>4576242#1</t>
  </si>
  <si>
    <t>Echegarayarquitectos</t>
  </si>
  <si>
    <t>4590983#1</t>
  </si>
  <si>
    <t>Filabe</t>
  </si>
  <si>
    <t>534433#1</t>
  </si>
  <si>
    <t>Discover</t>
  </si>
  <si>
    <t>3876430#1</t>
  </si>
  <si>
    <t>Santateresita</t>
  </si>
  <si>
    <t>4550240#1</t>
  </si>
  <si>
    <t>Corporacionmac</t>
  </si>
  <si>
    <t>2446700#3</t>
  </si>
  <si>
    <t>C.E.P. Santa Maria De Brena E.I.R.L.</t>
  </si>
  <si>
    <t xml:space="preserve">4567048#1
</t>
  </si>
  <si>
    <t>ModularA01</t>
  </si>
  <si>
    <t>1264047#1</t>
  </si>
  <si>
    <t>Frigerio Nelson Horacio</t>
  </si>
  <si>
    <t>1999370#1</t>
  </si>
  <si>
    <t>BTL Marketing</t>
  </si>
  <si>
    <t>1843590#1</t>
  </si>
  <si>
    <t>Andariega SRL</t>
  </si>
  <si>
    <t>607749#1</t>
  </si>
  <si>
    <t>Contempo Casa</t>
  </si>
  <si>
    <t>1629451#1</t>
  </si>
  <si>
    <t>ISCOT Services</t>
  </si>
  <si>
    <t>236423#2</t>
  </si>
  <si>
    <t>Emycsa</t>
  </si>
  <si>
    <t>2308890#1</t>
  </si>
  <si>
    <t>Bestchem</t>
  </si>
  <si>
    <t>482192#1</t>
  </si>
  <si>
    <t>INMARK</t>
  </si>
  <si>
    <t>902412#1</t>
  </si>
  <si>
    <t>Alubrysl</t>
  </si>
  <si>
    <t>1744348#1</t>
  </si>
  <si>
    <t>Edson Simeon</t>
  </si>
  <si>
    <t>1101658#1</t>
  </si>
  <si>
    <t>Plastigas Mar del Plata SA</t>
  </si>
  <si>
    <t>582377#1</t>
  </si>
  <si>
    <t>Newcity Residencial</t>
  </si>
  <si>
    <t>2143072#1</t>
  </si>
  <si>
    <t>suministro de obras</t>
  </si>
  <si>
    <t>4427744#1</t>
  </si>
  <si>
    <t>Off365</t>
  </si>
  <si>
    <t>942879#1</t>
  </si>
  <si>
    <t>MoRPH Argentina</t>
  </si>
  <si>
    <t>4383518#1</t>
  </si>
  <si>
    <t>Emcose</t>
  </si>
  <si>
    <t>1746171#1</t>
  </si>
  <si>
    <t>ARS Technologies</t>
  </si>
  <si>
    <t>189320#2</t>
  </si>
  <si>
    <t>Dinant</t>
  </si>
  <si>
    <t>Case disqualified (Date)</t>
  </si>
  <si>
    <t>1209330#1</t>
  </si>
  <si>
    <t>Construcmaderas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</si>
  <si>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</si>
  <si>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</si>
  <si>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</si>
  <si>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</si>
  <si>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</si>
  <si>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1069552#1</t>
  </si>
  <si>
    <t>Zibza Arquitectos</t>
  </si>
  <si>
    <t>752966#2</t>
  </si>
  <si>
    <t>Intenisa</t>
  </si>
  <si>
    <t>1909411#1, 1692352#1</t>
  </si>
  <si>
    <t>Pucom</t>
  </si>
  <si>
    <t>3048020#1</t>
  </si>
  <si>
    <t>Ola</t>
  </si>
  <si>
    <t>2475237#1</t>
  </si>
  <si>
    <t>PREFACERO</t>
  </si>
  <si>
    <t>1548843#1</t>
  </si>
  <si>
    <t>Blau</t>
  </si>
  <si>
    <t>4252252#1</t>
  </si>
  <si>
    <t>Pintropical</t>
  </si>
  <si>
    <t>1748428#2</t>
  </si>
  <si>
    <t>todoloquebusco</t>
  </si>
  <si>
    <t>970488#1</t>
  </si>
  <si>
    <t>Arquiterrac</t>
  </si>
  <si>
    <t>1591630#1</t>
  </si>
  <si>
    <t>Uniples S.A.</t>
  </si>
  <si>
    <t>1940957#3</t>
  </si>
  <si>
    <t>Pan American Silver</t>
  </si>
  <si>
    <t>533004#3</t>
  </si>
  <si>
    <t>Redcol S.A.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</si>
  <si>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</si>
  <si>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</si>
  <si>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</si>
  <si>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</si>
  <si>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</si>
  <si>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1033113#1</t>
  </si>
  <si>
    <t>Veyco</t>
  </si>
  <si>
    <t>1414832#1</t>
  </si>
  <si>
    <t>Apeec</t>
  </si>
  <si>
    <t>2922574#1</t>
  </si>
  <si>
    <t>Addison House Panama</t>
  </si>
  <si>
    <t>1477809#1</t>
  </si>
  <si>
    <t>Sinergiagrupo</t>
  </si>
  <si>
    <t>Last event 2023, not valid. Disqualified.</t>
  </si>
  <si>
    <t>482307#1</t>
  </si>
  <si>
    <t>Arqge Arquitectos SRL</t>
  </si>
  <si>
    <t xml:space="preserve">4648684#1
</t>
  </si>
  <si>
    <t>Miranda Arquitectos Peru</t>
  </si>
  <si>
    <t>4334064#1</t>
  </si>
  <si>
    <t>Elmntosarquitectura</t>
  </si>
  <si>
    <t>891797#1</t>
  </si>
  <si>
    <t>Benito Roggio e Hijos S.A Paraguay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</si>
  <si>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</si>
  <si>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</si>
  <si>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</si>
  <si>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</si>
  <si>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</si>
  <si>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1548654#1</t>
  </si>
  <si>
    <t>Duodesignlatam</t>
  </si>
  <si>
    <t>1193653#1</t>
  </si>
  <si>
    <t>Lihue Ingenieria S A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</si>
  <si>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</si>
  <si>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</si>
  <si>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</si>
  <si>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</si>
  <si>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</si>
  <si>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4390615#1</t>
  </si>
  <si>
    <t>Cohenarchitecture</t>
  </si>
  <si>
    <t>1856715#1</t>
  </si>
  <si>
    <t>Rowa S A</t>
  </si>
  <si>
    <t>4427483#1</t>
  </si>
  <si>
    <t>Dfsolucionescr</t>
  </si>
  <si>
    <t>448954#1</t>
  </si>
  <si>
    <t>Arke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</si>
  <si>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</si>
  <si>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</si>
  <si>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</si>
  <si>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</si>
  <si>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</si>
  <si>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2243817#1</t>
  </si>
  <si>
    <t>Arquifoamgt</t>
  </si>
  <si>
    <t>Multiplied case</t>
  </si>
  <si>
    <t>715742#1</t>
  </si>
  <si>
    <t>ROSART Eirl</t>
  </si>
  <si>
    <t>2294246#1</t>
  </si>
  <si>
    <t>Programática de Costa Rica S.A.</t>
  </si>
  <si>
    <t>4366325#1</t>
  </si>
  <si>
    <t>Admdalvian</t>
  </si>
  <si>
    <t>4551859#1</t>
  </si>
  <si>
    <t>Alcasrl</t>
  </si>
  <si>
    <t>4527503#1</t>
  </si>
  <si>
    <t>Cucina Ideale</t>
  </si>
  <si>
    <t>2222172#2</t>
  </si>
  <si>
    <t>Omnitronic S.A.</t>
  </si>
  <si>
    <t>2189826#1</t>
  </si>
  <si>
    <t>Grupo MDay</t>
  </si>
  <si>
    <t>2353931#1</t>
  </si>
  <si>
    <t>Palma Orlando Agustin</t>
  </si>
  <si>
    <t>1265310#1</t>
  </si>
  <si>
    <t>CScreatividad Stands</t>
  </si>
  <si>
    <t>1061146#1</t>
  </si>
  <si>
    <t>ENGINEERING S.A.</t>
  </si>
  <si>
    <t>798135#1</t>
  </si>
  <si>
    <t>UNIBER</t>
  </si>
  <si>
    <t>1793643#1</t>
  </si>
  <si>
    <t>Perfilsrl</t>
  </si>
  <si>
    <t>1362150#1</t>
  </si>
  <si>
    <t>CLC Arquitectos</t>
  </si>
  <si>
    <t>1261839#1</t>
  </si>
  <si>
    <t>Norfor SA</t>
  </si>
  <si>
    <t>1025747#1</t>
  </si>
  <si>
    <t>Urbano Express Argentina S.A.</t>
  </si>
  <si>
    <t>4609793#1</t>
  </si>
  <si>
    <t>Primer Piso Arquitectos</t>
  </si>
  <si>
    <t>4609792#1</t>
  </si>
  <si>
    <t>HDC Arquitectura</t>
  </si>
  <si>
    <t>4524312#1</t>
  </si>
  <si>
    <t>Dypsagroup</t>
  </si>
  <si>
    <t>1739414#2</t>
  </si>
  <si>
    <t>Dalcor Sac</t>
  </si>
  <si>
    <t>380099#1</t>
  </si>
  <si>
    <t>Colcar Merbus</t>
  </si>
  <si>
    <t>4633384#1</t>
  </si>
  <si>
    <t>079velonet</t>
  </si>
  <si>
    <t>4567420#1</t>
  </si>
  <si>
    <t>Grupo</t>
  </si>
  <si>
    <t>Re launch</t>
  </si>
  <si>
    <t>3885743#1</t>
  </si>
  <si>
    <t>Metrocubico</t>
  </si>
  <si>
    <t>Reincidencia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</si>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</sst>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10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12" fontId="31" numFmtId="164" xfId="0" applyAlignment="1" applyBorder="1" applyFont="1" applyNumberFormat="1">
      <alignment horizontal="right" readingOrder="0"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ac9e5ca5-1753-4797-a6bd-e5f8fad2805d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autoFilter ref="$B$1:$H$1008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ac9e5ca5-1753-4797-a6bd-e5f8fad2805d}" id="{a20e7af3-f8d2-4618-8dfe-10feca8b2a46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15</v>
      </c>
      <c r="F20" s="246">
        <f t="shared" si="1"/>
        <v>0</v>
      </c>
      <c r="G20" s="10"/>
      <c r="H20" s="22" t="s">
        <v>18</v>
      </c>
      <c r="I20" s="36">
        <v>10.0</v>
      </c>
      <c r="J20" s="10"/>
      <c r="K20" s="33">
        <f>SUMIF($K$4:$K$17, H20,$L$4:$L$17)</f>
        <v>4</v>
      </c>
      <c r="L20" s="33">
        <f t="shared" si="2"/>
        <v>6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26</v>
      </c>
      <c r="F21" s="246">
        <f t="shared" si="1"/>
        <v>-11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10</v>
      </c>
      <c r="L21" s="33">
        <f t="shared" si="2"/>
        <v>10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20</v>
      </c>
      <c r="L22" s="33">
        <f t="shared" si="2"/>
        <v>-5</v>
      </c>
    </row>
    <row r="23" outlineLevel="1">
      <c r="D23" s="10"/>
      <c r="E23" s="37" t="s">
        <v>41</v>
      </c>
      <c r="F23" s="38">
        <f>SUM(F19:F21)</f>
        <v>-13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6</v>
      </c>
      <c r="L23" s="33">
        <f t="shared" si="2"/>
        <v>4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-26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4" width="22.63" outlineLevel="1"/>
    <col customWidth="1" min="15" max="15" width="26.88" outlineLevel="1"/>
    <col customWidth="1" min="16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3670</v>
      </c>
      <c r="D3" s="273" t="s">
        <v>3671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3672</v>
      </c>
      <c r="L3" s="109" t="s">
        <v>3673</v>
      </c>
      <c r="M3" s="58" t="s">
        <v>18</v>
      </c>
      <c r="N3" s="58" t="s">
        <v>20</v>
      </c>
      <c r="O3" s="61"/>
      <c r="P3" s="269" t="b">
        <v>1</v>
      </c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3674</v>
      </c>
      <c r="D4" s="373" t="s">
        <v>3675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3676</v>
      </c>
      <c r="L4" s="317" t="s">
        <v>3677</v>
      </c>
      <c r="M4" s="58" t="s">
        <v>18</v>
      </c>
      <c r="N4" s="58" t="s">
        <v>20</v>
      </c>
      <c r="O4" s="61"/>
      <c r="P4" s="269" t="b">
        <v>1</v>
      </c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3678</v>
      </c>
      <c r="D5" s="373" t="s">
        <v>3679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3680</v>
      </c>
      <c r="L5" s="109" t="s">
        <v>3681</v>
      </c>
      <c r="M5" s="58"/>
      <c r="N5" s="58" t="s">
        <v>20</v>
      </c>
      <c r="O5" s="109" t="s">
        <v>3682</v>
      </c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3683</v>
      </c>
      <c r="D6" s="273" t="s">
        <v>3684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3685</v>
      </c>
      <c r="L6" s="109" t="s">
        <v>3686</v>
      </c>
      <c r="M6" s="58"/>
      <c r="N6" s="58" t="s">
        <v>20</v>
      </c>
      <c r="O6" s="109" t="s">
        <v>3687</v>
      </c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3688</v>
      </c>
      <c r="D7" s="373" t="s">
        <v>3689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3690</v>
      </c>
      <c r="L7" s="109" t="s">
        <v>3691</v>
      </c>
      <c r="M7" s="58" t="s">
        <v>11</v>
      </c>
      <c r="N7" s="58" t="s">
        <v>20</v>
      </c>
      <c r="O7" s="61"/>
      <c r="P7" s="269" t="b">
        <v>1</v>
      </c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3692</v>
      </c>
      <c r="D8" s="457" t="s">
        <v>3693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3694</v>
      </c>
      <c r="L8" s="109" t="s">
        <v>3695</v>
      </c>
      <c r="M8" s="58" t="s">
        <v>11</v>
      </c>
      <c r="N8" s="58" t="s">
        <v>20</v>
      </c>
      <c r="O8" s="61"/>
      <c r="P8" s="269" t="b">
        <v>1</v>
      </c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3696</v>
      </c>
      <c r="D9" s="373" t="s">
        <v>3697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3698</v>
      </c>
      <c r="L9" s="294" t="s">
        <v>3699</v>
      </c>
      <c r="M9" s="295" t="s">
        <v>27</v>
      </c>
      <c r="N9" s="295" t="s">
        <v>2337</v>
      </c>
      <c r="O9" s="61"/>
      <c r="P9" s="269" t="b">
        <v>1</v>
      </c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3700</v>
      </c>
      <c r="D10" s="413" t="s">
        <v>3701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3702</v>
      </c>
      <c r="L10" s="273" t="s">
        <v>3703</v>
      </c>
      <c r="M10" s="274" t="s">
        <v>15</v>
      </c>
      <c r="N10" s="274" t="s">
        <v>2337</v>
      </c>
      <c r="O10" s="109" t="s">
        <v>3704</v>
      </c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3705</v>
      </c>
      <c r="D11" s="273" t="s">
        <v>3706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3707</v>
      </c>
      <c r="L11" s="294" t="s">
        <v>3708</v>
      </c>
      <c r="M11" s="295" t="s">
        <v>18</v>
      </c>
      <c r="N11" s="295" t="s">
        <v>2337</v>
      </c>
      <c r="O11" s="109" t="s">
        <v>3709</v>
      </c>
      <c r="P11" s="269" t="b">
        <v>1</v>
      </c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3710</v>
      </c>
      <c r="D12" s="294" t="s">
        <v>3711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7" t="s">
        <v>3712</v>
      </c>
      <c r="L12" s="273" t="s">
        <v>3713</v>
      </c>
      <c r="M12" s="274" t="s">
        <v>27</v>
      </c>
      <c r="N12" s="274" t="s">
        <v>2337</v>
      </c>
      <c r="O12" s="109" t="s">
        <v>3709</v>
      </c>
      <c r="P12" s="269" t="b">
        <v>1</v>
      </c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3714</v>
      </c>
      <c r="D13" s="273" t="s">
        <v>3715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3716</v>
      </c>
      <c r="L13" s="294" t="s">
        <v>3717</v>
      </c>
      <c r="M13" s="295" t="s">
        <v>27</v>
      </c>
      <c r="N13" s="295" t="s">
        <v>2337</v>
      </c>
      <c r="O13" s="61"/>
      <c r="P13" s="269" t="b">
        <v>1</v>
      </c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8"/>
      <c r="BG13" s="453"/>
      <c r="BH13" s="453"/>
      <c r="BI13" s="469"/>
      <c r="BJ13" s="455"/>
      <c r="BK13" s="61"/>
      <c r="BL13" s="269"/>
    </row>
    <row r="14" ht="22.5" customHeight="1">
      <c r="A14" s="368"/>
      <c r="B14" s="270">
        <v>46175.0</v>
      </c>
      <c r="C14" s="312" t="s">
        <v>3718</v>
      </c>
      <c r="D14" s="470" t="s">
        <v>3719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3720</v>
      </c>
      <c r="L14" s="273" t="s">
        <v>3721</v>
      </c>
      <c r="M14" s="274" t="s">
        <v>11</v>
      </c>
      <c r="N14" s="274" t="s">
        <v>2337</v>
      </c>
      <c r="O14" s="61"/>
      <c r="P14" s="269" t="b">
        <v>1</v>
      </c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71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3722</v>
      </c>
      <c r="D15" s="294" t="s">
        <v>3723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3724</v>
      </c>
      <c r="L15" s="294" t="s">
        <v>3725</v>
      </c>
      <c r="M15" s="295" t="s">
        <v>11</v>
      </c>
      <c r="N15" s="295" t="s">
        <v>2337</v>
      </c>
      <c r="O15" s="61"/>
      <c r="P15" s="269" t="b">
        <v>1</v>
      </c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8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3726</v>
      </c>
      <c r="D16" s="273" t="s">
        <v>3727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3728</v>
      </c>
      <c r="L16" s="273" t="s">
        <v>3729</v>
      </c>
      <c r="M16" s="274" t="s">
        <v>23</v>
      </c>
      <c r="N16" s="274" t="s">
        <v>2337</v>
      </c>
      <c r="O16" s="61"/>
      <c r="P16" s="269" t="b">
        <v>1</v>
      </c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71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3730</v>
      </c>
      <c r="D17" s="273" t="s">
        <v>3731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3732</v>
      </c>
      <c r="L17" s="294" t="s">
        <v>3733</v>
      </c>
      <c r="M17" s="381" t="s">
        <v>11</v>
      </c>
      <c r="N17" s="404" t="s">
        <v>2338</v>
      </c>
      <c r="O17" s="61"/>
      <c r="P17" s="269" t="b">
        <v>1</v>
      </c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2"/>
      <c r="BK17" s="61"/>
      <c r="BL17" s="269"/>
    </row>
    <row r="18" ht="22.5" customHeight="1">
      <c r="A18" s="368"/>
      <c r="B18" s="270">
        <v>46175.0</v>
      </c>
      <c r="C18" s="273" t="s">
        <v>3734</v>
      </c>
      <c r="D18" s="273" t="s">
        <v>3735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3736</v>
      </c>
      <c r="L18" s="273" t="s">
        <v>3737</v>
      </c>
      <c r="M18" s="399" t="s">
        <v>11</v>
      </c>
      <c r="N18" s="410" t="s">
        <v>2338</v>
      </c>
      <c r="O18" s="109" t="s">
        <v>3738</v>
      </c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3739</v>
      </c>
      <c r="D19" s="294" t="s">
        <v>3740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3741</v>
      </c>
      <c r="L19" s="294" t="s">
        <v>3742</v>
      </c>
      <c r="M19" s="441" t="s">
        <v>23</v>
      </c>
      <c r="N19" s="404" t="s">
        <v>2338</v>
      </c>
      <c r="O19" s="109" t="s">
        <v>3709</v>
      </c>
      <c r="P19" s="269" t="b">
        <v>1</v>
      </c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8"/>
      <c r="AQ19" s="453"/>
      <c r="AR19" s="453"/>
      <c r="AS19" s="469"/>
      <c r="AT19" s="455"/>
      <c r="AU19" s="473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3743</v>
      </c>
      <c r="D20" s="273" t="s">
        <v>3744</v>
      </c>
      <c r="E20" s="402"/>
      <c r="F20" s="274" t="s">
        <v>2344</v>
      </c>
      <c r="G20" s="109" t="s">
        <v>3745</v>
      </c>
      <c r="H20" s="269"/>
      <c r="J20" s="382">
        <v>46174.0</v>
      </c>
      <c r="K20" s="273" t="s">
        <v>3746</v>
      </c>
      <c r="L20" s="273" t="s">
        <v>3747</v>
      </c>
      <c r="M20" s="399" t="s">
        <v>23</v>
      </c>
      <c r="N20" s="274" t="s">
        <v>2338</v>
      </c>
      <c r="O20" s="61"/>
      <c r="P20" s="269" t="b">
        <v>1</v>
      </c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1"/>
      <c r="AQ20" s="450"/>
      <c r="AR20" s="450"/>
      <c r="AS20" s="474"/>
      <c r="AT20" s="452"/>
      <c r="AU20" s="475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3748</v>
      </c>
      <c r="D21" s="430" t="s">
        <v>3749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3750</v>
      </c>
      <c r="L21" s="294" t="s">
        <v>3751</v>
      </c>
      <c r="M21" s="441" t="s">
        <v>23</v>
      </c>
      <c r="N21" s="406" t="s">
        <v>2338</v>
      </c>
      <c r="O21" s="61"/>
      <c r="P21" s="269" t="b">
        <v>1</v>
      </c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8"/>
      <c r="AQ21" s="453"/>
      <c r="AR21" s="453"/>
      <c r="AS21" s="469"/>
      <c r="AT21" s="455"/>
      <c r="AU21" s="473"/>
      <c r="AV21" s="269"/>
      <c r="AX21" s="270"/>
      <c r="AY21" s="384"/>
      <c r="AZ21" s="476"/>
      <c r="BA21" s="58"/>
      <c r="BB21" s="58"/>
      <c r="BC21" s="61"/>
      <c r="BD21" s="269"/>
      <c r="BF21" s="468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3752</v>
      </c>
      <c r="D22" s="477" t="s">
        <v>3753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3754</v>
      </c>
      <c r="L22" s="273" t="s">
        <v>3755</v>
      </c>
      <c r="M22" s="274" t="s">
        <v>23</v>
      </c>
      <c r="N22" s="274" t="s">
        <v>2338</v>
      </c>
      <c r="O22" s="61"/>
      <c r="P22" s="269" t="b">
        <v>1</v>
      </c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1"/>
      <c r="AQ22" s="450"/>
      <c r="AR22" s="450"/>
      <c r="AS22" s="474"/>
      <c r="AT22" s="452"/>
      <c r="AU22" s="475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3756</v>
      </c>
      <c r="D23" s="405" t="s">
        <v>3757</v>
      </c>
      <c r="E23" s="478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3758</v>
      </c>
      <c r="L23" s="294" t="s">
        <v>3759</v>
      </c>
      <c r="M23" s="391" t="s">
        <v>23</v>
      </c>
      <c r="N23" s="391" t="s">
        <v>2337</v>
      </c>
      <c r="O23" s="61"/>
      <c r="P23" s="269" t="b">
        <v>1</v>
      </c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8"/>
      <c r="AQ23" s="453"/>
      <c r="AR23" s="453"/>
      <c r="AS23" s="469"/>
      <c r="AT23" s="455"/>
      <c r="AU23" s="473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3760</v>
      </c>
      <c r="D24" s="373" t="s">
        <v>3761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3762</v>
      </c>
      <c r="L24" s="273" t="s">
        <v>3763</v>
      </c>
      <c r="M24" s="402" t="s">
        <v>27</v>
      </c>
      <c r="N24" s="402" t="s">
        <v>2337</v>
      </c>
      <c r="O24" s="109"/>
      <c r="P24" s="269" t="b">
        <v>1</v>
      </c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3764</v>
      </c>
      <c r="D25" s="430" t="s">
        <v>3765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3766</v>
      </c>
      <c r="L25" s="294" t="s">
        <v>3767</v>
      </c>
      <c r="M25" s="391" t="s">
        <v>23</v>
      </c>
      <c r="N25" s="391" t="s">
        <v>2337</v>
      </c>
      <c r="O25" s="61"/>
      <c r="P25" s="269" t="b">
        <v>1</v>
      </c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3768</v>
      </c>
      <c r="D26" s="294" t="s">
        <v>3769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3770</v>
      </c>
      <c r="L26" s="273" t="s">
        <v>3771</v>
      </c>
      <c r="M26" s="402" t="s">
        <v>23</v>
      </c>
      <c r="N26" s="402" t="s">
        <v>2337</v>
      </c>
      <c r="O26" s="61"/>
      <c r="P26" s="269" t="b">
        <v>1</v>
      </c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3772</v>
      </c>
      <c r="D27" s="273" t="s">
        <v>3773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3774</v>
      </c>
      <c r="L27" s="294" t="s">
        <v>3775</v>
      </c>
      <c r="M27" s="391" t="s">
        <v>23</v>
      </c>
      <c r="N27" s="391" t="s">
        <v>2337</v>
      </c>
      <c r="O27" s="61"/>
      <c r="P27" s="269" t="b">
        <v>1</v>
      </c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1"/>
      <c r="AQ27" s="450"/>
      <c r="AR27" s="450"/>
      <c r="AS27" s="474"/>
      <c r="AT27" s="452"/>
      <c r="AU27" s="475"/>
      <c r="AV27" s="269"/>
      <c r="AX27" s="270"/>
      <c r="AY27" s="450"/>
      <c r="AZ27" s="47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3776</v>
      </c>
      <c r="D28" s="373" t="s">
        <v>3777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3778</v>
      </c>
      <c r="L28" s="273" t="s">
        <v>3779</v>
      </c>
      <c r="M28" s="402" t="s">
        <v>23</v>
      </c>
      <c r="N28" s="402" t="s">
        <v>2337</v>
      </c>
      <c r="O28" s="61"/>
      <c r="P28" s="269" t="b">
        <v>1</v>
      </c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8"/>
      <c r="AQ28" s="453"/>
      <c r="AR28" s="453"/>
      <c r="AS28" s="469"/>
      <c r="AT28" s="455"/>
      <c r="AU28" s="473"/>
      <c r="AV28" s="269"/>
      <c r="AX28" s="270"/>
      <c r="AY28" s="453"/>
      <c r="AZ28" s="480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3780</v>
      </c>
      <c r="D29" s="373" t="s">
        <v>3781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3782</v>
      </c>
      <c r="L29" s="294" t="s">
        <v>3783</v>
      </c>
      <c r="M29" s="391" t="s">
        <v>23</v>
      </c>
      <c r="N29" s="391" t="s">
        <v>2337</v>
      </c>
      <c r="O29" s="61"/>
      <c r="P29" s="269" t="b">
        <v>1</v>
      </c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1"/>
      <c r="AQ29" s="450"/>
      <c r="AR29" s="450"/>
      <c r="AS29" s="474"/>
      <c r="AT29" s="452"/>
      <c r="AU29" s="475"/>
      <c r="AV29" s="269"/>
      <c r="AX29" s="270"/>
      <c r="AY29" s="450"/>
      <c r="AZ29" s="479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3784</v>
      </c>
      <c r="D30" s="373" t="s">
        <v>3785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3786</v>
      </c>
      <c r="L30" s="273" t="s">
        <v>3787</v>
      </c>
      <c r="M30" s="402" t="s">
        <v>23</v>
      </c>
      <c r="N30" s="402" t="s">
        <v>2337</v>
      </c>
      <c r="O30" s="61"/>
      <c r="P30" s="269" t="b">
        <v>1</v>
      </c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8"/>
      <c r="AQ30" s="453"/>
      <c r="AR30" s="453"/>
      <c r="AS30" s="455"/>
      <c r="AT30" s="455"/>
      <c r="AU30" s="481"/>
      <c r="AV30" s="298"/>
      <c r="AX30" s="270"/>
      <c r="AY30" s="453"/>
      <c r="AZ30" s="480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3788</v>
      </c>
      <c r="D31" s="373" t="s">
        <v>3789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3790</v>
      </c>
      <c r="L31" s="273" t="s">
        <v>3791</v>
      </c>
      <c r="M31" s="398" t="s">
        <v>23</v>
      </c>
      <c r="N31" s="431" t="s">
        <v>2338</v>
      </c>
      <c r="O31" s="61"/>
      <c r="P31" s="269" t="b">
        <v>1</v>
      </c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71"/>
      <c r="AI31" s="450"/>
      <c r="AJ31" s="450"/>
      <c r="AK31" s="474"/>
      <c r="AL31" s="452"/>
      <c r="AM31" s="61"/>
      <c r="AN31" s="269"/>
      <c r="AP31" s="449"/>
      <c r="AQ31" s="450"/>
      <c r="AR31" s="450"/>
      <c r="AS31" s="466"/>
      <c r="AT31" s="452"/>
      <c r="AU31" s="482"/>
      <c r="AV31" s="269"/>
      <c r="AX31" s="270"/>
      <c r="AY31" s="450"/>
      <c r="AZ31" s="479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3792</v>
      </c>
      <c r="D32" s="373" t="s">
        <v>3793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3794</v>
      </c>
      <c r="L32" s="294" t="s">
        <v>3795</v>
      </c>
      <c r="M32" s="396" t="s">
        <v>23</v>
      </c>
      <c r="N32" s="391" t="s">
        <v>2338</v>
      </c>
      <c r="O32" s="61"/>
      <c r="P32" s="269" t="b">
        <v>1</v>
      </c>
      <c r="R32" s="270"/>
      <c r="S32" s="384"/>
      <c r="T32" s="439"/>
      <c r="U32" s="58"/>
      <c r="V32" s="58"/>
      <c r="W32" s="61"/>
      <c r="X32" s="269"/>
      <c r="Z32" s="483"/>
      <c r="AA32" s="484"/>
      <c r="AB32" s="485"/>
      <c r="AC32" s="486"/>
      <c r="AD32" s="487"/>
      <c r="AE32" s="61"/>
      <c r="AF32" s="269"/>
      <c r="AH32" s="468"/>
      <c r="AI32" s="453"/>
      <c r="AJ32" s="453"/>
      <c r="AK32" s="469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80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3796</v>
      </c>
      <c r="D33" s="373" t="s">
        <v>3797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3798</v>
      </c>
      <c r="L33" s="273" t="s">
        <v>3799</v>
      </c>
      <c r="M33" s="398"/>
      <c r="N33" s="431" t="s">
        <v>2338</v>
      </c>
      <c r="O33" s="109" t="s">
        <v>3537</v>
      </c>
      <c r="P33" s="269"/>
      <c r="R33" s="270"/>
      <c r="S33" s="384"/>
      <c r="T33" s="488"/>
      <c r="U33" s="58"/>
      <c r="V33" s="58"/>
      <c r="W33" s="61"/>
      <c r="X33" s="269"/>
      <c r="Z33" s="483"/>
      <c r="AA33" s="484"/>
      <c r="AB33" s="484"/>
      <c r="AC33" s="489"/>
      <c r="AD33" s="490"/>
      <c r="AE33" s="61"/>
      <c r="AF33" s="269"/>
      <c r="AH33" s="471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91"/>
      <c r="AV33" s="298"/>
      <c r="AX33" s="270"/>
      <c r="AY33" s="450"/>
      <c r="AZ33" s="479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3800</v>
      </c>
      <c r="D34" s="373" t="s">
        <v>3801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3802</v>
      </c>
      <c r="L34" s="294" t="s">
        <v>3803</v>
      </c>
      <c r="M34" s="396" t="s">
        <v>11</v>
      </c>
      <c r="N34" s="391" t="s">
        <v>2338</v>
      </c>
      <c r="O34" s="61"/>
      <c r="P34" s="269" t="b">
        <v>1</v>
      </c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0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3804</v>
      </c>
      <c r="D35" s="373" t="s">
        <v>3805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3806</v>
      </c>
      <c r="L35" s="273" t="s">
        <v>3807</v>
      </c>
      <c r="M35" s="398"/>
      <c r="N35" s="431" t="s">
        <v>2338</v>
      </c>
      <c r="O35" s="109" t="s">
        <v>3808</v>
      </c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9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3809</v>
      </c>
      <c r="D36" s="294" t="s">
        <v>3810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3811</v>
      </c>
      <c r="L36" s="294" t="s">
        <v>3812</v>
      </c>
      <c r="M36" s="396"/>
      <c r="N36" s="391" t="s">
        <v>2338</v>
      </c>
      <c r="O36" s="109" t="s">
        <v>3813</v>
      </c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0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3814</v>
      </c>
      <c r="D37" s="430" t="s">
        <v>3815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3816</v>
      </c>
      <c r="L37" s="109" t="s">
        <v>3817</v>
      </c>
      <c r="M37" s="58" t="s">
        <v>11</v>
      </c>
      <c r="N37" s="58" t="s">
        <v>20</v>
      </c>
      <c r="O37" s="61"/>
      <c r="P37" s="269" t="b">
        <v>1</v>
      </c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9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3818</v>
      </c>
      <c r="D38" s="373" t="s">
        <v>3819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3820</v>
      </c>
      <c r="L38" s="109" t="s">
        <v>3821</v>
      </c>
      <c r="M38" s="58" t="s">
        <v>11</v>
      </c>
      <c r="N38" s="58" t="s">
        <v>20</v>
      </c>
      <c r="O38" s="61"/>
      <c r="P38" s="269" t="b">
        <v>1</v>
      </c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0"/>
      <c r="BA38" s="58"/>
      <c r="BB38" s="58"/>
      <c r="BC38" s="61"/>
      <c r="BD38" s="269"/>
      <c r="BF38" s="449"/>
      <c r="BG38" s="450"/>
      <c r="BH38" s="450"/>
      <c r="BI38" s="451"/>
      <c r="BJ38" s="472"/>
      <c r="BK38" s="61"/>
      <c r="BL38" s="298"/>
    </row>
    <row r="39" ht="22.5" customHeight="1">
      <c r="A39" s="368"/>
      <c r="B39" s="270">
        <v>46177.0</v>
      </c>
      <c r="C39" s="273" t="s">
        <v>3822</v>
      </c>
      <c r="D39" s="273" t="s">
        <v>3823</v>
      </c>
      <c r="E39" s="402" t="s">
        <v>22</v>
      </c>
      <c r="F39" s="58" t="s">
        <v>12</v>
      </c>
      <c r="G39" s="61"/>
      <c r="H39" s="269"/>
      <c r="J39" s="270">
        <v>46175.0</v>
      </c>
      <c r="K39" s="109" t="s">
        <v>3824</v>
      </c>
      <c r="L39" s="109" t="s">
        <v>3825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9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3826</v>
      </c>
      <c r="D40" s="405" t="s">
        <v>3827</v>
      </c>
      <c r="E40" s="478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3828</v>
      </c>
      <c r="L40" s="109" t="s">
        <v>3829</v>
      </c>
      <c r="M40" s="58" t="s">
        <v>11</v>
      </c>
      <c r="N40" s="58" t="s">
        <v>20</v>
      </c>
      <c r="O40" s="61"/>
      <c r="P40" s="269" t="b">
        <v>1</v>
      </c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0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3830</v>
      </c>
      <c r="D41" s="373" t="s">
        <v>3831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3832</v>
      </c>
      <c r="L41" s="109" t="s">
        <v>3833</v>
      </c>
      <c r="M41" s="58" t="s">
        <v>11</v>
      </c>
      <c r="N41" s="58" t="s">
        <v>20</v>
      </c>
      <c r="O41" s="109" t="s">
        <v>3834</v>
      </c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9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3835</v>
      </c>
      <c r="D42" s="373" t="s">
        <v>3836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3837</v>
      </c>
      <c r="L42" s="109" t="s">
        <v>3838</v>
      </c>
      <c r="M42" s="58" t="s">
        <v>11</v>
      </c>
      <c r="N42" s="58" t="s">
        <v>20</v>
      </c>
      <c r="O42" s="61"/>
      <c r="P42" s="269" t="b">
        <v>1</v>
      </c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0"/>
      <c r="BA42" s="58"/>
      <c r="BB42" s="58"/>
      <c r="BC42" s="61"/>
      <c r="BD42" s="269"/>
      <c r="BF42" s="471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3839</v>
      </c>
      <c r="D43" s="492" t="s">
        <v>3840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3841</v>
      </c>
      <c r="L43" s="109" t="s">
        <v>3842</v>
      </c>
      <c r="M43" s="58" t="s">
        <v>23</v>
      </c>
      <c r="N43" s="58" t="s">
        <v>20</v>
      </c>
      <c r="O43" s="61"/>
      <c r="P43" s="269" t="b">
        <v>1</v>
      </c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8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3843</v>
      </c>
      <c r="D44" s="373" t="s">
        <v>3844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3845</v>
      </c>
      <c r="L44" s="109" t="s">
        <v>3846</v>
      </c>
      <c r="M44" s="58" t="s">
        <v>23</v>
      </c>
      <c r="N44" s="58" t="s">
        <v>20</v>
      </c>
      <c r="O44" s="61"/>
      <c r="P44" s="269" t="b">
        <v>1</v>
      </c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1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3847</v>
      </c>
      <c r="D45" s="373" t="s">
        <v>3848</v>
      </c>
      <c r="E45" s="58" t="s">
        <v>22</v>
      </c>
      <c r="F45" s="58" t="s">
        <v>28</v>
      </c>
      <c r="G45" s="109"/>
      <c r="H45" s="269"/>
      <c r="J45" s="270">
        <v>46175.0</v>
      </c>
      <c r="K45" s="109" t="s">
        <v>3849</v>
      </c>
      <c r="L45" s="109" t="s">
        <v>3850</v>
      </c>
      <c r="M45" s="58" t="s">
        <v>11</v>
      </c>
      <c r="N45" s="58" t="s">
        <v>20</v>
      </c>
      <c r="O45" s="61"/>
      <c r="P45" s="269" t="b">
        <v>1</v>
      </c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8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3851</v>
      </c>
      <c r="D46" s="373" t="s">
        <v>3852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3853</v>
      </c>
      <c r="L46" s="109" t="s">
        <v>3854</v>
      </c>
      <c r="M46" s="58" t="s">
        <v>11</v>
      </c>
      <c r="N46" s="58" t="s">
        <v>20</v>
      </c>
      <c r="O46" s="61"/>
      <c r="P46" s="269" t="b">
        <v>1</v>
      </c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1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3855</v>
      </c>
      <c r="D47" s="373" t="s">
        <v>3856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3857</v>
      </c>
      <c r="L47" s="109" t="s">
        <v>3858</v>
      </c>
      <c r="M47" s="58" t="s">
        <v>11</v>
      </c>
      <c r="N47" s="58" t="s">
        <v>20</v>
      </c>
      <c r="O47" s="61"/>
      <c r="P47" s="269" t="b">
        <v>1</v>
      </c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3859</v>
      </c>
      <c r="D48" s="373" t="s">
        <v>3860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3861</v>
      </c>
      <c r="L48" s="109" t="s">
        <v>3862</v>
      </c>
      <c r="M48" s="58" t="s">
        <v>11</v>
      </c>
      <c r="N48" s="58" t="s">
        <v>20</v>
      </c>
      <c r="O48" s="61"/>
      <c r="P48" s="269" t="b">
        <v>1</v>
      </c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3863</v>
      </c>
      <c r="D49" s="373" t="s">
        <v>3864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3865</v>
      </c>
      <c r="L49" s="109" t="s">
        <v>3866</v>
      </c>
      <c r="M49" s="58" t="s">
        <v>11</v>
      </c>
      <c r="N49" s="58" t="s">
        <v>20</v>
      </c>
      <c r="O49" s="61"/>
      <c r="P49" s="269" t="b">
        <v>1</v>
      </c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93"/>
      <c r="AI49" s="453"/>
      <c r="AJ49" s="453"/>
      <c r="AK49" s="469"/>
      <c r="AL49" s="455"/>
      <c r="AM49" s="61"/>
      <c r="AN49" s="269"/>
      <c r="AP49" s="449"/>
      <c r="AQ49" s="450"/>
      <c r="AR49" s="485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3867</v>
      </c>
      <c r="D50" s="373" t="s">
        <v>3868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3869</v>
      </c>
      <c r="L50" s="109" t="s">
        <v>3870</v>
      </c>
      <c r="M50" s="58" t="s">
        <v>11</v>
      </c>
      <c r="N50" s="58" t="s">
        <v>20</v>
      </c>
      <c r="O50" s="61"/>
      <c r="P50" s="269" t="b">
        <v>1</v>
      </c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94"/>
      <c r="AI50" s="450"/>
      <c r="AJ50" s="450"/>
      <c r="AK50" s="474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3871</v>
      </c>
      <c r="D51" s="373" t="s">
        <v>3872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3873</v>
      </c>
      <c r="L51" s="109" t="s">
        <v>3874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93"/>
      <c r="AI51" s="453"/>
      <c r="AJ51" s="453"/>
      <c r="AK51" s="469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3875</v>
      </c>
      <c r="D52" s="373" t="s">
        <v>3876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3877</v>
      </c>
      <c r="L52" s="109" t="s">
        <v>3878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94"/>
      <c r="AI52" s="450"/>
      <c r="AJ52" s="450"/>
      <c r="AK52" s="474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3879</v>
      </c>
      <c r="D53" s="492" t="s">
        <v>3880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3881</v>
      </c>
      <c r="L53" s="109" t="s">
        <v>3882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93"/>
      <c r="AI53" s="453"/>
      <c r="AJ53" s="453"/>
      <c r="AK53" s="469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4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2" t="s">
        <v>3883</v>
      </c>
      <c r="D54" s="392" t="s">
        <v>3884</v>
      </c>
      <c r="E54" s="58" t="s">
        <v>19</v>
      </c>
      <c r="F54" s="58" t="s">
        <v>2349</v>
      </c>
      <c r="G54" s="427" t="s">
        <v>3885</v>
      </c>
      <c r="H54" s="269"/>
      <c r="J54" s="403">
        <v>46176.0</v>
      </c>
      <c r="K54" s="294" t="s">
        <v>3886</v>
      </c>
      <c r="L54" s="294" t="s">
        <v>3887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5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6" t="s">
        <v>3888</v>
      </c>
      <c r="D55" s="430" t="s">
        <v>3889</v>
      </c>
      <c r="E55" s="431" t="s">
        <v>19</v>
      </c>
      <c r="F55" s="58" t="s">
        <v>12</v>
      </c>
      <c r="G55" s="109" t="s">
        <v>3890</v>
      </c>
      <c r="H55" s="269" t="b">
        <v>1</v>
      </c>
      <c r="J55" s="401">
        <v>46176.0</v>
      </c>
      <c r="K55" s="273" t="s">
        <v>3891</v>
      </c>
      <c r="L55" s="273" t="s">
        <v>3892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3893</v>
      </c>
      <c r="D56" s="373" t="s">
        <v>3894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3895</v>
      </c>
      <c r="L56" s="294" t="s">
        <v>3896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3897</v>
      </c>
      <c r="D57" s="373" t="s">
        <v>3898</v>
      </c>
      <c r="E57" s="58" t="s">
        <v>16</v>
      </c>
      <c r="F57" s="58" t="s">
        <v>20</v>
      </c>
      <c r="G57" s="109" t="s">
        <v>3890</v>
      </c>
      <c r="H57" s="269" t="b">
        <v>1</v>
      </c>
      <c r="J57" s="401">
        <v>46176.0</v>
      </c>
      <c r="K57" s="273" t="s">
        <v>3899</v>
      </c>
      <c r="L57" s="273" t="s">
        <v>3900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58"/>
      <c r="W57" s="495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3901</v>
      </c>
      <c r="D58" s="430" t="s">
        <v>3902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3903</v>
      </c>
      <c r="L58" s="294" t="s">
        <v>3904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71"/>
      <c r="AI58" s="450"/>
      <c r="AJ58" s="450"/>
      <c r="AK58" s="474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3905</v>
      </c>
      <c r="D59" s="373" t="s">
        <v>3906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3907</v>
      </c>
      <c r="L59" s="294" t="s">
        <v>3908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3"/>
      <c r="AJ59" s="453"/>
      <c r="AK59" s="469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3909</v>
      </c>
      <c r="D60" s="373" t="s">
        <v>3910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3911</v>
      </c>
      <c r="L60" s="273" t="s">
        <v>3912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71"/>
      <c r="AI60" s="450"/>
      <c r="AJ60" s="450"/>
      <c r="AK60" s="474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3913</v>
      </c>
      <c r="D61" s="373" t="s">
        <v>3914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3915</v>
      </c>
      <c r="L61" s="294" t="s">
        <v>3916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3917</v>
      </c>
      <c r="D62" s="373" t="s">
        <v>3918</v>
      </c>
      <c r="E62" s="58" t="s">
        <v>10</v>
      </c>
      <c r="F62" s="58" t="s">
        <v>14</v>
      </c>
      <c r="G62" s="109" t="s">
        <v>3919</v>
      </c>
      <c r="H62" s="269"/>
      <c r="J62" s="382">
        <v>46176.0</v>
      </c>
      <c r="K62" s="273" t="s">
        <v>3920</v>
      </c>
      <c r="L62" s="273" t="s">
        <v>3921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88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3922</v>
      </c>
      <c r="D63" s="373" t="s">
        <v>3923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3924</v>
      </c>
      <c r="L63" s="294" t="s">
        <v>3925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3926</v>
      </c>
      <c r="D64" s="373" t="s">
        <v>3927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3928</v>
      </c>
      <c r="L64" s="273" t="s">
        <v>3929</v>
      </c>
      <c r="M64" s="398"/>
      <c r="N64" s="431" t="s">
        <v>2338</v>
      </c>
      <c r="O64" s="109" t="s">
        <v>3930</v>
      </c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3931</v>
      </c>
      <c r="D65" s="373" t="s">
        <v>3932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3933</v>
      </c>
      <c r="L65" s="109" t="s">
        <v>3934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3935</v>
      </c>
      <c r="D66" s="373" t="s">
        <v>3936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3937</v>
      </c>
      <c r="L66" s="109" t="s">
        <v>3938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3939</v>
      </c>
      <c r="D67" s="373" t="s">
        <v>3940</v>
      </c>
      <c r="E67" s="58" t="s">
        <v>10</v>
      </c>
      <c r="F67" s="58" t="s">
        <v>9</v>
      </c>
      <c r="G67" s="109" t="s">
        <v>3941</v>
      </c>
      <c r="H67" s="269" t="b">
        <v>1</v>
      </c>
      <c r="J67" s="270">
        <v>46177.0</v>
      </c>
      <c r="K67" s="109" t="s">
        <v>3942</v>
      </c>
      <c r="L67" s="109" t="s">
        <v>3943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3944</v>
      </c>
      <c r="D68" s="373" t="s">
        <v>3945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3946</v>
      </c>
      <c r="L68" s="109" t="s">
        <v>3947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3948</v>
      </c>
      <c r="D69" s="373" t="s">
        <v>3949</v>
      </c>
      <c r="E69" s="58" t="s">
        <v>10</v>
      </c>
      <c r="F69" s="58" t="s">
        <v>9</v>
      </c>
      <c r="G69" s="109" t="s">
        <v>3950</v>
      </c>
      <c r="H69" s="269"/>
      <c r="J69" s="270">
        <v>46177.0</v>
      </c>
      <c r="K69" s="109" t="s">
        <v>3951</v>
      </c>
      <c r="L69" s="109" t="s">
        <v>3952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3953</v>
      </c>
      <c r="D70" s="373" t="s">
        <v>3954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3955</v>
      </c>
      <c r="L70" s="109" t="s">
        <v>3956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3957</v>
      </c>
      <c r="D71" s="373" t="s">
        <v>3958</v>
      </c>
      <c r="E71" s="58" t="s">
        <v>10</v>
      </c>
      <c r="F71" s="58" t="s">
        <v>9</v>
      </c>
      <c r="G71" s="61"/>
      <c r="H71" s="269"/>
      <c r="J71" s="270">
        <v>46177.0</v>
      </c>
      <c r="K71" s="109" t="s">
        <v>3959</v>
      </c>
      <c r="L71" s="109" t="s">
        <v>3960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3961</v>
      </c>
      <c r="D72" s="373" t="s">
        <v>3962</v>
      </c>
      <c r="E72" s="58" t="s">
        <v>22</v>
      </c>
      <c r="F72" s="58" t="s">
        <v>9</v>
      </c>
      <c r="G72" s="109" t="s">
        <v>3963</v>
      </c>
      <c r="H72" s="298"/>
      <c r="J72" s="270">
        <v>46177.0</v>
      </c>
      <c r="K72" s="109" t="s">
        <v>3964</v>
      </c>
      <c r="L72" s="109" t="s">
        <v>3965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3966</v>
      </c>
      <c r="D73" s="373" t="s">
        <v>3967</v>
      </c>
      <c r="E73" s="58" t="s">
        <v>16</v>
      </c>
      <c r="F73" s="58" t="s">
        <v>2347</v>
      </c>
      <c r="G73" s="109" t="s">
        <v>3968</v>
      </c>
      <c r="H73" s="269"/>
      <c r="J73" s="270">
        <v>46177.0</v>
      </c>
      <c r="K73" s="109" t="s">
        <v>3969</v>
      </c>
      <c r="L73" s="109" t="s">
        <v>3970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3971</v>
      </c>
      <c r="D74" s="373" t="s">
        <v>3972</v>
      </c>
      <c r="E74" s="58" t="s">
        <v>10</v>
      </c>
      <c r="F74" s="58" t="s">
        <v>9</v>
      </c>
      <c r="G74" s="61"/>
      <c r="H74" s="269"/>
      <c r="J74" s="401">
        <v>46177.0</v>
      </c>
      <c r="K74" s="273" t="s">
        <v>3973</v>
      </c>
      <c r="L74" s="273" t="s">
        <v>3974</v>
      </c>
      <c r="M74" s="402" t="s">
        <v>11</v>
      </c>
      <c r="N74" s="402" t="s">
        <v>2337</v>
      </c>
      <c r="O74" s="109" t="s">
        <v>3709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61"/>
      <c r="D75" s="373"/>
      <c r="E75" s="58"/>
      <c r="F75" s="344"/>
      <c r="G75" s="61"/>
      <c r="H75" s="269"/>
      <c r="J75" s="403">
        <v>46177.0</v>
      </c>
      <c r="K75" s="294" t="s">
        <v>3975</v>
      </c>
      <c r="L75" s="294" t="s">
        <v>3976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468"/>
      <c r="AA75" s="453"/>
      <c r="AB75" s="453"/>
      <c r="AC75" s="469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344"/>
      <c r="G76" s="61"/>
      <c r="H76" s="269"/>
      <c r="J76" s="401">
        <v>46177.0</v>
      </c>
      <c r="K76" s="273" t="s">
        <v>3977</v>
      </c>
      <c r="L76" s="273" t="s">
        <v>3978</v>
      </c>
      <c r="M76" s="402" t="s">
        <v>11</v>
      </c>
      <c r="N76" s="402" t="s">
        <v>2337</v>
      </c>
      <c r="O76" s="61"/>
      <c r="P76" s="269" t="b">
        <v>1</v>
      </c>
      <c r="R76" s="270"/>
      <c r="S76" s="384"/>
      <c r="T76" s="109"/>
      <c r="U76" s="344"/>
      <c r="V76" s="344"/>
      <c r="W76" s="109"/>
      <c r="X76" s="298"/>
      <c r="Z76" s="471"/>
      <c r="AA76" s="450"/>
      <c r="AB76" s="450"/>
      <c r="AC76" s="474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344"/>
      <c r="G77" s="61"/>
      <c r="H77" s="269"/>
      <c r="J77" s="403">
        <v>46177.0</v>
      </c>
      <c r="K77" s="294" t="s">
        <v>3979</v>
      </c>
      <c r="L77" s="294" t="s">
        <v>3980</v>
      </c>
      <c r="M77" s="391" t="s">
        <v>11</v>
      </c>
      <c r="N77" s="391" t="s">
        <v>2337</v>
      </c>
      <c r="O77" s="61"/>
      <c r="P77" s="269" t="b">
        <v>1</v>
      </c>
      <c r="R77" s="270"/>
      <c r="S77" s="384"/>
      <c r="T77" s="109"/>
      <c r="U77" s="344"/>
      <c r="V77" s="344"/>
      <c r="W77" s="61"/>
      <c r="X77" s="298"/>
      <c r="Z77" s="468"/>
      <c r="AA77" s="453"/>
      <c r="AB77" s="453"/>
      <c r="AC77" s="469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344"/>
      <c r="G78" s="61"/>
      <c r="H78" s="269"/>
      <c r="J78" s="401">
        <v>46177.0</v>
      </c>
      <c r="K78" s="273" t="s">
        <v>3981</v>
      </c>
      <c r="L78" s="273" t="s">
        <v>3982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471"/>
      <c r="AA78" s="450"/>
      <c r="AB78" s="450"/>
      <c r="AC78" s="474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344"/>
      <c r="G79" s="61"/>
      <c r="H79" s="269"/>
      <c r="J79" s="403">
        <v>46177.0</v>
      </c>
      <c r="K79" s="294" t="s">
        <v>3983</v>
      </c>
      <c r="L79" s="294" t="s">
        <v>3984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468"/>
      <c r="AA79" s="453"/>
      <c r="AB79" s="453"/>
      <c r="AC79" s="469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344"/>
      <c r="G80" s="61"/>
      <c r="H80" s="269"/>
      <c r="J80" s="401">
        <v>46177.0</v>
      </c>
      <c r="K80" s="273" t="s">
        <v>3985</v>
      </c>
      <c r="L80" s="273" t="s">
        <v>3986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4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344"/>
      <c r="G81" s="61"/>
      <c r="H81" s="269"/>
      <c r="J81" s="270">
        <v>46178.0</v>
      </c>
      <c r="K81" s="109" t="s">
        <v>3987</v>
      </c>
      <c r="L81" s="109" t="s">
        <v>3988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344"/>
      <c r="G82" s="61"/>
      <c r="H82" s="269"/>
      <c r="J82" s="270">
        <v>46178.0</v>
      </c>
      <c r="K82" s="109" t="s">
        <v>3989</v>
      </c>
      <c r="L82" s="109" t="s">
        <v>3990</v>
      </c>
      <c r="M82" s="58" t="s">
        <v>11</v>
      </c>
      <c r="N82" s="58" t="s">
        <v>20</v>
      </c>
      <c r="O82" s="61"/>
      <c r="P82" s="269" t="b">
        <v>1</v>
      </c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344"/>
      <c r="G83" s="61"/>
      <c r="H83" s="269"/>
      <c r="J83" s="270">
        <v>46178.0</v>
      </c>
      <c r="K83" s="109" t="s">
        <v>3991</v>
      </c>
      <c r="L83" s="109" t="s">
        <v>3992</v>
      </c>
      <c r="M83" s="58" t="s">
        <v>11</v>
      </c>
      <c r="N83" s="58" t="s">
        <v>20</v>
      </c>
      <c r="O83" s="61"/>
      <c r="P83" s="269"/>
      <c r="R83" s="270"/>
      <c r="S83" s="109"/>
      <c r="T83" s="109"/>
      <c r="U83" s="344"/>
      <c r="V83" s="344"/>
      <c r="W83" s="61"/>
      <c r="X83" s="298"/>
      <c r="Z83" s="497"/>
      <c r="AA83" s="485"/>
      <c r="AB83" s="485"/>
      <c r="AC83" s="498"/>
      <c r="AD83" s="499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326"/>
      <c r="D84" s="326"/>
      <c r="E84" s="370"/>
      <c r="F84" s="385"/>
      <c r="G84" s="195"/>
      <c r="H84" s="371"/>
      <c r="J84" s="270">
        <v>46178.0</v>
      </c>
      <c r="K84" s="109" t="s">
        <v>3993</v>
      </c>
      <c r="L84" s="109" t="s">
        <v>3994</v>
      </c>
      <c r="M84" s="58" t="s">
        <v>11</v>
      </c>
      <c r="N84" s="58" t="s">
        <v>20</v>
      </c>
      <c r="O84" s="61"/>
      <c r="P84" s="269"/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85"/>
      <c r="G85" s="195"/>
      <c r="H85" s="371"/>
      <c r="J85" s="270">
        <v>46178.0</v>
      </c>
      <c r="K85" s="109" t="s">
        <v>3995</v>
      </c>
      <c r="L85" s="109" t="s">
        <v>3996</v>
      </c>
      <c r="M85" s="58" t="s">
        <v>11</v>
      </c>
      <c r="N85" s="58" t="s">
        <v>20</v>
      </c>
      <c r="O85" s="109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85"/>
      <c r="G86" s="326"/>
      <c r="H86" s="371"/>
      <c r="J86" s="270">
        <v>46178.0</v>
      </c>
      <c r="K86" s="109" t="s">
        <v>3997</v>
      </c>
      <c r="L86" s="109" t="s">
        <v>3998</v>
      </c>
      <c r="M86" s="58" t="s">
        <v>11</v>
      </c>
      <c r="N86" s="58" t="s">
        <v>20</v>
      </c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195"/>
      <c r="H87" s="371"/>
      <c r="J87" s="380">
        <v>46178.0</v>
      </c>
      <c r="K87" s="430" t="s">
        <v>3999</v>
      </c>
      <c r="L87" s="430" t="s">
        <v>4000</v>
      </c>
      <c r="M87" s="431" t="s">
        <v>11</v>
      </c>
      <c r="N87" s="58" t="s">
        <v>2338</v>
      </c>
      <c r="O87" s="61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195"/>
      <c r="H88" s="371"/>
      <c r="J88" s="382">
        <v>46178.0</v>
      </c>
      <c r="K88" s="405" t="s">
        <v>4001</v>
      </c>
      <c r="L88" s="405" t="s">
        <v>4002</v>
      </c>
      <c r="M88" s="478" t="s">
        <v>11</v>
      </c>
      <c r="N88" s="58" t="s">
        <v>2338</v>
      </c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380">
        <v>46178.0</v>
      </c>
      <c r="K89" s="273" t="s">
        <v>4003</v>
      </c>
      <c r="L89" s="273" t="s">
        <v>4004</v>
      </c>
      <c r="M89" s="402" t="s">
        <v>11</v>
      </c>
      <c r="N89" s="58" t="s">
        <v>2338</v>
      </c>
      <c r="O89" s="61"/>
      <c r="P89" s="269"/>
      <c r="R89" s="270"/>
      <c r="S89" s="109"/>
      <c r="T89" s="109"/>
      <c r="U89" s="344"/>
      <c r="V89" s="344"/>
      <c r="W89" s="109"/>
      <c r="X89" s="298"/>
      <c r="Z89" s="471"/>
      <c r="AA89" s="485"/>
      <c r="AB89" s="450"/>
      <c r="AC89" s="474"/>
      <c r="AD89" s="452"/>
      <c r="AE89" s="475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4005</v>
      </c>
      <c r="L90" s="294" t="s">
        <v>4006</v>
      </c>
      <c r="M90" s="396" t="s">
        <v>23</v>
      </c>
      <c r="N90" s="58" t="s">
        <v>2338</v>
      </c>
      <c r="O90" s="61"/>
      <c r="P90" s="269"/>
      <c r="R90" s="270"/>
      <c r="S90" s="384"/>
      <c r="T90" s="109"/>
      <c r="U90" s="344"/>
      <c r="V90" s="344"/>
      <c r="W90" s="61"/>
      <c r="X90" s="298"/>
      <c r="Z90" s="468"/>
      <c r="AA90" s="453"/>
      <c r="AB90" s="453"/>
      <c r="AC90" s="469"/>
      <c r="AD90" s="455"/>
      <c r="AE90" s="473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4007</v>
      </c>
      <c r="L91" s="294" t="s">
        <v>4008</v>
      </c>
      <c r="M91" s="396" t="s">
        <v>11</v>
      </c>
      <c r="N91" s="391" t="s">
        <v>2338</v>
      </c>
      <c r="O91" s="61"/>
      <c r="P91" s="269"/>
      <c r="R91" s="270"/>
      <c r="S91" s="384"/>
      <c r="T91" s="109"/>
      <c r="U91" s="344"/>
      <c r="V91" s="344"/>
      <c r="W91" s="61"/>
      <c r="X91" s="298"/>
      <c r="Z91" s="471"/>
      <c r="AA91" s="450"/>
      <c r="AB91" s="450"/>
      <c r="AC91" s="452"/>
      <c r="AD91" s="452"/>
      <c r="AE91" s="500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4009</v>
      </c>
      <c r="L92" s="273" t="s">
        <v>4010</v>
      </c>
      <c r="M92" s="501" t="s">
        <v>11</v>
      </c>
      <c r="N92" s="402" t="s">
        <v>2338</v>
      </c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3"/>
      <c r="AB92" s="453"/>
      <c r="AC92" s="469"/>
      <c r="AD92" s="455"/>
      <c r="AE92" s="473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4011</v>
      </c>
      <c r="L93" s="430" t="s">
        <v>4012</v>
      </c>
      <c r="M93" s="502" t="s">
        <v>11</v>
      </c>
      <c r="N93" s="431" t="s">
        <v>2338</v>
      </c>
      <c r="O93" s="109" t="s">
        <v>4013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71"/>
      <c r="AA93" s="450"/>
      <c r="AB93" s="485"/>
      <c r="AC93" s="452"/>
      <c r="AD93" s="452"/>
      <c r="AE93" s="500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3">
        <v>46181.0</v>
      </c>
      <c r="K94" s="109" t="s">
        <v>4014</v>
      </c>
      <c r="L94" s="109" t="s">
        <v>4015</v>
      </c>
      <c r="M94" s="271" t="s">
        <v>11</v>
      </c>
      <c r="N94" s="58" t="s">
        <v>28</v>
      </c>
      <c r="O94" s="109" t="s">
        <v>4016</v>
      </c>
      <c r="P94" s="269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270"/>
      <c r="K95" s="109"/>
      <c r="L95" s="109"/>
      <c r="M95" s="58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270"/>
      <c r="K96" s="109"/>
      <c r="L96" s="109"/>
      <c r="M96" s="58"/>
      <c r="N96" s="58"/>
      <c r="O96" s="61"/>
      <c r="P96" s="269"/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109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4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05"/>
      <c r="C1003" s="506" t="s">
        <v>3164</v>
      </c>
      <c r="D1003" s="109" t="s">
        <v>3165</v>
      </c>
      <c r="E1003" s="507" t="s">
        <v>13</v>
      </c>
      <c r="F1003" s="507" t="s">
        <v>2347</v>
      </c>
      <c r="G1003" s="508"/>
      <c r="H1003" s="50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05"/>
      <c r="C1004" s="109" t="s">
        <v>4017</v>
      </c>
      <c r="D1004" s="109" t="s">
        <v>4018</v>
      </c>
      <c r="E1004" s="507" t="s">
        <v>22</v>
      </c>
      <c r="F1004" s="507" t="s">
        <v>2347</v>
      </c>
      <c r="G1004" s="508"/>
      <c r="H1004" s="50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05"/>
      <c r="C1005" s="109" t="s">
        <v>4019</v>
      </c>
      <c r="D1005" s="109" t="s">
        <v>4020</v>
      </c>
      <c r="E1005" s="507" t="s">
        <v>22</v>
      </c>
      <c r="F1005" s="507" t="s">
        <v>2347</v>
      </c>
      <c r="G1005" s="508"/>
      <c r="H1005" s="50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05"/>
      <c r="C1006" s="109" t="s">
        <v>4021</v>
      </c>
      <c r="D1006" s="109" t="s">
        <v>4022</v>
      </c>
      <c r="E1006" s="507" t="s">
        <v>22</v>
      </c>
      <c r="F1006" s="507" t="s">
        <v>2347</v>
      </c>
      <c r="G1006" s="508"/>
      <c r="H1006" s="50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05"/>
      <c r="C1007" s="109"/>
      <c r="D1007" s="109"/>
      <c r="E1007" s="507"/>
      <c r="F1007" s="507"/>
      <c r="G1007" s="508"/>
      <c r="H1007" s="50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05"/>
      <c r="C1008" s="109"/>
      <c r="D1008" s="109"/>
      <c r="E1008" s="507"/>
      <c r="F1008" s="507"/>
      <c r="G1008" s="508"/>
      <c r="H1008" s="509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