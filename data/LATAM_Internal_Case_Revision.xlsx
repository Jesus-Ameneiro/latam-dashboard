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ummary-March" sheetId="1" r:id="rId5"/>
    <sheet state="hidden" name="March" sheetId="2" r:id="rId6"/>
    <sheet state="hidden" name="Summary-April" sheetId="3" r:id="rId7"/>
    <sheet state="hidden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  <definedName hidden="1" localSheetId="7" name="_xlnm._FilterDatabase">June!$R$1:$X$999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tc={d574a74a-0a6e-4860-9aa9-8d425016b599}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d574a74a-0a6e-4860-9aa9-8d425016b599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J53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</commentList>
</comments>
</file>

<file path=xl/sharedStrings.xml><?xml version="1.0" encoding="utf-8"?>
<sst xmlns="http://schemas.openxmlformats.org/spreadsheetml/2006/main" count="9664" uniqueCount="4350">
  <si>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</si>
  <si>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</si>
  <si>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</si>
  <si>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</si>
  <si>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</si>
  <si>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</si>
  <si>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</si>
  <si>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</si>
  <si>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</si>
  <si>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</si>
  <si>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</si>
  <si>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</si>
  <si>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</si>
  <si>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</si>
  <si>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</si>
  <si>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</si>
  <si>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</si>
  <si>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</si>
  <si>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</si>
  <si>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</si>
  <si>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</si>
  <si>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</si>
  <si>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</si>
  <si>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</si>
  <si>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</si>
  <si>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</si>
  <si>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</si>
  <si>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</si>
  <si>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</si>
  <si>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</si>
  <si>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</si>
  <si>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</si>
  <si>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</si>
  <si>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</si>
  <si>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</si>
  <si>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</si>
  <si>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</si>
  <si>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</si>
  <si>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</si>
  <si>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</si>
  <si>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</si>
  <si>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</si>
  <si>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</si>
  <si>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</si>
  <si>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</si>
  <si>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</si>
  <si>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</si>
  <si>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</si>
  <si>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</si>
  <si>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</si>
  <si>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</si>
  <si>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</si>
  <si>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</si>
  <si>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</si>
  <si>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</si>
  <si>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</si>
  <si>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</si>
  <si>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</si>
  <si>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</si>
  <si>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</si>
  <si>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</si>
  <si>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</si>
  <si>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</si>
  <si>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</si>
  <si>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</si>
  <si>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</si>
  <si>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</si>
  <si>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</si>
  <si>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</si>
  <si>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</si>
  <si>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</si>
  <si>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</si>
  <si>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</si>
  <si>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</si>
  <si>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</si>
  <si>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</si>
  <si>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</si>
  <si>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</si>
  <si>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</si>
  <si>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</si>
  <si>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</si>
  <si>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</si>
  <si>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</si>
  <si>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</si>
  <si>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</si>
  <si>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</si>
  <si>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</si>
  <si>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</si>
  <si>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</si>
  <si>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</si>
  <si>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</si>
  <si>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</si>
  <si>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</si>
  <si>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</si>
  <si>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</si>
  <si>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</si>
  <si>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</si>
  <si>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</si>
  <si>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</si>
  <si>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</si>
  <si>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</si>
  <si>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</si>
  <si>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</si>
  <si>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</si>
  <si>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</si>
  <si>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</si>
  <si>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</si>
  <si>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</si>
  <si>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</si>
  <si>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</si>
  <si>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</si>
  <si>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</si>
  <si>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</si>
  <si>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</si>
  <si>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</si>
  <si>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</si>
  <si>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</si>
  <si>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</si>
  <si>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</si>
  <si>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</si>
  <si>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</si>
  <si>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</si>
  <si>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</si>
  <si>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</si>
  <si>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</si>
  <si>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</si>
  <si>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</si>
  <si>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</si>
  <si>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</si>
  <si>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</si>
  <si>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</si>
  <si>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</si>
  <si>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</si>
  <si>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</si>
  <si>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</si>
  <si>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</si>
  <si>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</si>
  <si>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</si>
  <si>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</si>
  <si>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</si>
  <si>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</si>
  <si>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</si>
  <si>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</si>
  <si>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</si>
  <si>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</si>
  <si>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</si>
  <si>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</si>
  <si>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</si>
  <si>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</si>
  <si>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</si>
  <si>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</si>
  <si>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</si>
  <si>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</si>
  <si>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</si>
  <si>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</si>
  <si>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</si>
  <si>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</si>
  <si>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</si>
  <si>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</si>
  <si>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</si>
  <si>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</si>
  <si>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</si>
  <si>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</si>
  <si>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</si>
  <si>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</si>
  <si>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</si>
  <si>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</si>
  <si>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</si>
  <si>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</si>
  <si>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</si>
  <si>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</si>
  <si>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</si>
  <si>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</si>
  <si>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</si>
  <si>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</si>
  <si>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</si>
  <si>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</si>
  <si>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</si>
  <si>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</si>
  <si>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</si>
  <si>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</si>
  <si>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</si>
  <si>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</si>
  <si>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</si>
  <si>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</si>
  <si>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</si>
  <si>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</si>
  <si>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</si>
  <si>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</si>
  <si>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</si>
  <si>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</si>
  <si>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</si>
  <si>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</si>
  <si>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</si>
  <si>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</si>
  <si>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</si>
  <si>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</si>
  <si>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</si>
  <si>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</si>
  <si>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</si>
  <si>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</si>
  <si>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</si>
  <si>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</si>
  <si>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</si>
  <si>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</si>
  <si>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</si>
  <si>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</si>
  <si>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</si>
  <si>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</si>
  <si>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</si>
  <si>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</si>
  <si>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</si>
  <si>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</si>
  <si>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</si>
  <si>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</si>
  <si>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</si>
  <si>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</si>
  <si>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</si>
  <si>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</si>
  <si>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</si>
  <si>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</si>
  <si>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</si>
  <si>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</si>
  <si>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</si>
  <si>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</si>
  <si>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</si>
  <si>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</si>
  <si>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</si>
  <si>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</si>
  <si>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</si>
  <si>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</si>
  <si>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</si>
  <si>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</si>
  <si>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</si>
  <si>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</si>
  <si>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</si>
  <si>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</si>
  <si>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</si>
  <si>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</si>
  <si>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</si>
  <si>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</si>
  <si>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</si>
  <si>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</si>
  <si>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</si>
  <si>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</si>
  <si>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</si>
  <si>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</si>
  <si>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</si>
  <si>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</si>
  <si>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</si>
  <si>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</si>
  <si>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</si>
  <si>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</si>
  <si>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</si>
  <si>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</si>
  <si>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</si>
  <si>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</si>
  <si>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</si>
  <si>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</si>
  <si>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</si>
  <si>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</si>
  <si>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</si>
  <si>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</si>
  <si>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</si>
  <si>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</si>
  <si>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</si>
  <si>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</si>
  <si>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</si>
  <si>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</si>
  <si>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</si>
  <si>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</si>
  <si>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</si>
  <si>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</si>
  <si>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</si>
  <si>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</si>
  <si>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</si>
  <si>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</si>
  <si>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</si>
  <si>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</si>
  <si>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</si>
  <si>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</si>
  <si>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</si>
  <si>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</si>
  <si>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</si>
  <si>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</si>
  <si>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</si>
  <si>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</si>
  <si>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</si>
  <si>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</si>
  <si>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</si>
  <si>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</si>
  <si>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</si>
  <si>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</si>
  <si>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</si>
  <si>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</si>
  <si>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</si>
  <si>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</si>
  <si>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</si>
  <si>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</si>
  <si>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</si>
  <si>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</si>
  <si>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</si>
  <si>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</si>
  <si>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</si>
  <si>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</si>
  <si>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</si>
  <si>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</si>
  <si>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</si>
  <si>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</si>
  <si>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</si>
  <si>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</si>
  <si>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</si>
  <si>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</si>
  <si>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</si>
  <si>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</si>
  <si>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</si>
  <si>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</si>
  <si>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</si>
  <si>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</si>
  <si>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</si>
  <si>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</si>
  <si>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</si>
  <si>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</si>
  <si>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</si>
  <si>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</si>
  <si>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</si>
  <si>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</si>
  <si>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</si>
  <si>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</si>
  <si>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</si>
  <si>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</si>
  <si>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</si>
  <si>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</si>
  <si>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</si>
  <si>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</si>
  <si>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</si>
  <si>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</si>
  <si>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</si>
  <si>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</si>
  <si>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</si>
  <si>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</si>
  <si>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</si>
  <si>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</si>
  <si>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</si>
  <si>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</si>
  <si>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</si>
  <si>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</si>
  <si>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</si>
  <si>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</si>
  <si>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</si>
  <si>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</si>
  <si>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</si>
  <si>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</si>
  <si>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</si>
  <si>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</si>
  <si>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</si>
  <si>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</si>
  <si>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</si>
  <si>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</si>
  <si>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</si>
  <si>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</si>
  <si>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</si>
  <si>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</si>
  <si>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</si>
  <si>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</si>
  <si>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</si>
  <si>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</si>
  <si>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</si>
  <si>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</si>
  <si>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</si>
  <si>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</si>
  <si>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</si>
  <si>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</si>
  <si>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</si>
  <si>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</si>
  <si>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</si>
  <si>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</si>
  <si>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</si>
  <si>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</si>
  <si>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</si>
  <si>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</si>
  <si>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</si>
  <si>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</si>
  <si>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</si>
  <si>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</si>
  <si>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</si>
  <si>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</si>
  <si>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</si>
  <si>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</si>
  <si>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</si>
  <si>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</si>
  <si>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</si>
  <si>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</si>
  <si>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</si>
  <si>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</si>
  <si>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</si>
  <si>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</si>
  <si>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</si>
  <si>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</si>
  <si>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</si>
  <si>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</si>
  <si>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</si>
  <si>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</si>
  <si>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</si>
  <si>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</si>
  <si>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</si>
  <si>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</si>
  <si>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</si>
  <si>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</si>
  <si>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</si>
  <si>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</si>
  <si>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</si>
  <si>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</si>
  <si>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</si>
  <si>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</si>
  <si>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</si>
  <si>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</si>
  <si>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</si>
  <si>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</si>
  <si>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</si>
  <si>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</si>
  <si>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</si>
  <si>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</si>
  <si>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</si>
  <si>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</si>
  <si>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</si>
  <si>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</si>
  <si>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</si>
  <si>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</si>
  <si>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</si>
  <si>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</si>
  <si>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</si>
  <si>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</si>
  <si>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</si>
  <si>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</si>
  <si>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</si>
  <si>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</si>
  <si>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</si>
  <si>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</si>
  <si>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</si>
  <si>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</si>
  <si>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</si>
  <si>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</si>
  <si>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</si>
  <si>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</si>
  <si>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</si>
  <si>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</si>
  <si>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</si>
  <si>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</si>
  <si>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</si>
  <si>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</si>
  <si>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</si>
  <si>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</si>
  <si>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</si>
  <si>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</si>
  <si>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</si>
  <si>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</si>
  <si>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</si>
  <si>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</si>
  <si>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</si>
  <si>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</si>
  <si>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</si>
  <si>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</si>
  <si>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</si>
  <si>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</si>
  <si>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</si>
  <si>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</si>
  <si>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</si>
  <si>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</si>
  <si>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</si>
  <si>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</si>
  <si>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</si>
  <si>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</si>
  <si>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</si>
  <si>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</si>
  <si>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</si>
  <si>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</si>
  <si>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</si>
  <si>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</si>
  <si>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</si>
  <si>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</si>
  <si>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</si>
  <si>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</si>
  <si>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</si>
  <si>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</si>
  <si>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</si>
  <si>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</si>
  <si>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</si>
  <si>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</si>
  <si>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</si>
  <si>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</si>
  <si>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</si>
  <si>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</si>
  <si>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</si>
  <si>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</si>
  <si>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</si>
  <si>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</si>
  <si>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</si>
  <si>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</si>
  <si>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</si>
  <si>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</si>
  <si>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</si>
  <si>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</si>
  <si>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</si>
  <si>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</si>
  <si>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</si>
  <si>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</si>
  <si>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</si>
  <si>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</si>
  <si>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</si>
  <si>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</si>
  <si>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</si>
  <si>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</si>
  <si>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</si>
  <si>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</si>
  <si>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</si>
  <si>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</si>
  <si>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</si>
  <si>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</si>
  <si>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</si>
  <si>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</si>
  <si>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</si>
  <si>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</si>
  <si>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</si>
  <si>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</si>
  <si>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</si>
  <si>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</si>
  <si>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</si>
  <si>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</si>
  <si>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</si>
  <si>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</si>
  <si>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</si>
  <si>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</si>
  <si>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</si>
  <si>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</si>
  <si>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</si>
  <si>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</si>
  <si>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</si>
  <si>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</si>
  <si>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</si>
  <si>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</si>
  <si>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</si>
  <si>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</si>
  <si>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</si>
  <si>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</si>
  <si>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</si>
  <si>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</si>
  <si>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</si>
  <si>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</si>
  <si>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</si>
  <si>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</si>
  <si>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</si>
  <si>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</si>
  <si>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</si>
  <si>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</si>
  <si>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</si>
  <si>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</si>
  <si>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</si>
  <si>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</si>
  <si>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</si>
  <si>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</si>
  <si>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</si>
  <si>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</si>
  <si>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</si>
  <si>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</si>
  <si>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</si>
  <si>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</si>
  <si>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</si>
  <si>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</si>
  <si>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</si>
  <si>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</si>
  <si>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</si>
  <si>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</si>
  <si>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</si>
  <si>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</si>
  <si>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</si>
  <si>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</si>
  <si>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</si>
  <si>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</si>
  <si>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</si>
  <si>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</si>
  <si>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</si>
  <si>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</si>
  <si>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</si>
  <si>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</si>
  <si>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</si>
  <si>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</si>
  <si>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</si>
  <si>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</si>
  <si>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</si>
  <si>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</si>
  <si>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</si>
  <si>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</si>
  <si>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</si>
  <si>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</si>
  <si>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</si>
  <si>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</si>
  <si>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</si>
  <si>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</si>
  <si>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</si>
  <si>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</si>
  <si>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</si>
  <si>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</si>
  <si>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</si>
  <si>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</si>
  <si>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</si>
  <si>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</si>
  <si>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</si>
  <si>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</si>
  <si>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</si>
  <si>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</si>
  <si>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</si>
  <si>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</si>
  <si>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</si>
  <si>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</si>
  <si>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</si>
  <si>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</si>
  <si>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</si>
  <si>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</si>
  <si>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</si>
  <si>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</si>
  <si>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</si>
  <si>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</si>
  <si>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</si>
  <si>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</si>
  <si>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</si>
  <si>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</si>
  <si>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</si>
  <si>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</si>
  <si>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</si>
  <si>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</si>
  <si>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</si>
  <si>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</si>
  <si>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</si>
  <si>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</si>
  <si>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</si>
  <si>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</si>
  <si>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</si>
  <si>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</si>
  <si>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</si>
  <si>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</si>
  <si>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</si>
  <si>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</si>
  <si>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</si>
  <si>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</si>
  <si>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</si>
  <si>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</si>
  <si>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</si>
  <si>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</si>
  <si>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</si>
  <si>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</si>
  <si>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</si>
  <si>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</si>
  <si>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</si>
  <si>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</si>
  <si>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</si>
  <si>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</si>
  <si>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</si>
  <si>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</si>
  <si>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</si>
  <si>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</si>
  <si>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</si>
  <si>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</si>
  <si>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</si>
  <si>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</si>
  <si>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</si>
  <si>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</si>
  <si>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</si>
  <si>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</si>
  <si>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</si>
  <si>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</si>
  <si>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</si>
  <si>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</si>
  <si>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</si>
  <si>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</si>
  <si>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</si>
  <si>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</si>
  <si>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</si>
  <si>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</si>
  <si>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</si>
  <si>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</si>
  <si>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</si>
  <si>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</si>
  <si>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</si>
  <si>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</si>
  <si>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</si>
  <si>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</si>
  <si>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</si>
  <si>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</si>
  <si>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</si>
  <si>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</si>
  <si>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</si>
  <si>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</si>
  <si>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</si>
  <si>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</si>
  <si>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</si>
  <si>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</si>
  <si>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</si>
  <si>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</si>
  <si>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</si>
  <si>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</si>
  <si>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</si>
  <si>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</si>
  <si>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</si>
  <si>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</si>
  <si>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</si>
  <si>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</si>
  <si>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</si>
  <si>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</si>
  <si>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</si>
  <si>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</si>
  <si>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</si>
  <si>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</si>
  <si>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</si>
  <si>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</si>
  <si>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</si>
  <si>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</si>
  <si>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</si>
  <si>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</si>
  <si>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</si>
  <si>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</si>
  <si>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</si>
  <si>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</si>
  <si>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</si>
  <si>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</si>
  <si>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</si>
  <si>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</si>
  <si>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</si>
  <si>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</si>
  <si>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</si>
  <si>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</si>
  <si>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</si>
  <si>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</si>
  <si>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</si>
  <si>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</si>
  <si>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</si>
  <si>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</si>
  <si>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</si>
  <si>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</si>
  <si>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</si>
  <si>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</si>
  <si>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</si>
  <si>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</si>
  <si>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</si>
  <si>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</si>
  <si>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</si>
  <si>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</si>
  <si>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</si>
  <si>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</si>
  <si>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</si>
  <si>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</si>
  <si>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</si>
  <si>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</si>
  <si>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</si>
  <si>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</si>
  <si>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</si>
  <si>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</si>
  <si>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</si>
  <si>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</si>
  <si>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</si>
  <si>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</si>
  <si>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</si>
  <si>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</si>
  <si>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</si>
  <si>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</si>
  <si>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</si>
  <si>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</si>
  <si>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</si>
  <si>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</si>
  <si>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</si>
  <si>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</si>
  <si>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</si>
  <si>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</si>
  <si>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</si>
  <si>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</si>
  <si>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</si>
  <si>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</si>
  <si>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</si>
  <si>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</si>
  <si>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</si>
  <si>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</si>
  <si>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</si>
  <si>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</si>
  <si>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</si>
  <si>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</si>
  <si>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</si>
  <si>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</si>
  <si>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</si>
  <si>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</si>
  <si>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</si>
  <si>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</si>
  <si>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</si>
  <si>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</si>
  <si>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</si>
  <si>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</si>
  <si>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</si>
  <si>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</si>
  <si>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</si>
  <si>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</si>
  <si>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</si>
  <si>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</si>
  <si>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</si>
  <si>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</si>
  <si>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</si>
  <si>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</si>
  <si>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</si>
  <si>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</si>
  <si>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</si>
  <si>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</si>
  <si>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</si>
  <si>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</si>
  <si>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</si>
  <si>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</si>
  <si>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</si>
  <si>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</si>
  <si>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</si>
  <si>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</si>
  <si>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</si>
  <si>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</si>
  <si>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</si>
  <si>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</si>
  <si>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</si>
  <si>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</si>
  <si>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</si>
  <si>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</si>
  <si>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</si>
  <si>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</si>
  <si>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</si>
  <si>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</si>
  <si>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</si>
  <si>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</si>
  <si>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</si>
  <si>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</si>
  <si>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</si>
  <si>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</si>
  <si>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</si>
  <si>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</si>
  <si>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</si>
  <si>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</si>
  <si>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</si>
  <si>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</si>
  <si>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</si>
  <si>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</si>
  <si>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</si>
  <si>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</si>
  <si>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</si>
  <si>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</si>
  <si>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</si>
  <si>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</si>
  <si>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</si>
  <si>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</si>
  <si>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</si>
  <si>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</si>
  <si>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</si>
  <si>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</si>
  <si>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</si>
  <si>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</si>
  <si>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</si>
  <si>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</si>
  <si>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</si>
  <si>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</si>
  <si>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</si>
  <si>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</si>
  <si>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</si>
  <si>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</si>
  <si>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</si>
  <si>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</si>
  <si>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</si>
  <si>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</si>
  <si>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</si>
  <si>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</si>
  <si>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</si>
  <si>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</si>
  <si>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</si>
  <si>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</si>
  <si>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</si>
  <si>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</si>
  <si>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</si>
  <si>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</si>
  <si>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</si>
  <si>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</si>
  <si>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</si>
  <si>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</si>
  <si>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</si>
  <si>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</si>
  <si>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</si>
  <si>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</si>
  <si>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</si>
  <si>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</si>
  <si>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</si>
  <si>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</si>
  <si>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</si>
  <si>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</si>
  <si>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</si>
  <si>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</si>
  <si>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</si>
  <si>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</si>
  <si>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</si>
  <si>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</si>
  <si>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</si>
  <si>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</si>
  <si>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</si>
  <si>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</si>
  <si>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</si>
  <si>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</si>
  <si>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</si>
  <si>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</si>
  <si>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</si>
  <si>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</si>
  <si>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</si>
  <si>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</si>
  <si>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</si>
  <si>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</si>
  <si>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</si>
  <si>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</si>
  <si>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</si>
  <si>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</si>
  <si>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</si>
  <si>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</si>
  <si>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</si>
  <si>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</si>
  <si>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</si>
  <si>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</si>
  <si>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</si>
  <si>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</si>
  <si>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</si>
  <si>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</si>
  <si>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</si>
  <si>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</si>
  <si>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</si>
  <si>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</si>
  <si>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</si>
  <si>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</si>
  <si>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</si>
  <si>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</si>
  <si>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</si>
  <si>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</si>
  <si>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</si>
  <si>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</si>
  <si>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</si>
  <si>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</si>
  <si>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</si>
  <si>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</si>
  <si>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</si>
  <si>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</si>
  <si>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</si>
  <si>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</si>
  <si>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</si>
  <si>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</si>
  <si>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</si>
  <si>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</si>
  <si>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</si>
  <si>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</si>
  <si>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</si>
  <si>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</si>
  <si>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</si>
  <si>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</si>
  <si>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</si>
  <si>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</si>
  <si>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</si>
  <si>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</si>
  <si>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</si>
  <si>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</si>
  <si>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</si>
  <si>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</si>
  <si>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</si>
  <si>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</si>
  <si>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</si>
  <si>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</si>
  <si>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</si>
  <si>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</si>
  <si>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</si>
  <si>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</si>
  <si>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</si>
  <si>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</si>
  <si>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</si>
  <si>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</si>
  <si>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</si>
  <si>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</si>
  <si>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</si>
  <si>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</si>
  <si>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</si>
  <si>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</si>
  <si>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</si>
  <si>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</si>
  <si>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</si>
  <si>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</si>
  <si>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</si>
  <si>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</si>
  <si>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</si>
  <si>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</si>
  <si>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</si>
  <si>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</si>
  <si>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</si>
  <si>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</si>
  <si>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</si>
  <si>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</si>
  <si>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</si>
  <si>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</si>
  <si>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</si>
  <si>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</si>
  <si>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</si>
  <si>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</si>
  <si>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</si>
  <si>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</si>
  <si>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</si>
  <si>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</si>
  <si>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</si>
  <si>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</si>
  <si>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</si>
  <si>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</si>
  <si>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</si>
  <si>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</si>
  <si>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</si>
  <si>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</si>
  <si>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</si>
  <si>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</si>
  <si>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</si>
  <si>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</si>
  <si>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</si>
  <si>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</si>
  <si>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</si>
  <si>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</si>
  <si>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</si>
  <si>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</si>
  <si>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</si>
  <si>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</si>
  <si>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</si>
  <si>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</si>
  <si>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</si>
  <si>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</si>
  <si>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</si>
  <si>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</si>
  <si>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</si>
  <si>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</si>
  <si>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</si>
  <si>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</si>
  <si>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</si>
  <si>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</si>
  <si>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</si>
  <si>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</si>
  <si>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</si>
  <si>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</si>
  <si>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</si>
  <si>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</si>
  <si>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</si>
  <si>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</si>
  <si>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</si>
  <si>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</si>
  <si>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</si>
  <si>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</si>
  <si>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</si>
  <si>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</si>
  <si>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</si>
  <si>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</si>
  <si>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</si>
  <si>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</si>
  <si>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</si>
  <si>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</si>
  <si>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</si>
  <si>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</si>
  <si>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</si>
  <si>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</si>
  <si>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</si>
  <si>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</si>
  <si>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</si>
  <si>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</si>
  <si>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</si>
  <si>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</si>
  <si>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</si>
  <si>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</si>
  <si>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</si>
  <si>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</si>
  <si>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</si>
  <si>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</si>
  <si>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</si>
  <si>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</si>
  <si>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</si>
  <si>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</si>
  <si>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</si>
  <si>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</si>
  <si>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</si>
  <si>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</si>
  <si>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</si>
  <si>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</si>
  <si>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</si>
  <si>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</si>
  <si>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</si>
  <si>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</si>
  <si>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</si>
  <si>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</si>
  <si>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</si>
  <si>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</si>
  <si>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</si>
  <si>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</si>
  <si>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</si>
  <si>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</si>
  <si>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</si>
  <si>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</si>
  <si>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</si>
  <si>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</si>
  <si>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</si>
  <si>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</si>
  <si>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</si>
  <si>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</si>
  <si>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</si>
  <si>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</si>
  <si>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</si>
  <si>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</si>
  <si>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</si>
  <si>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</si>
  <si>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</si>
  <si>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</si>
  <si>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</si>
  <si>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</si>
  <si>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</si>
  <si>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</si>
  <si>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</si>
  <si>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</si>
  <si>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</si>
  <si>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</si>
  <si>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</si>
  <si>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</si>
  <si>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</si>
  <si>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</si>
  <si>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</si>
  <si>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</si>
  <si>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</si>
  <si>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</si>
  <si>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</si>
  <si>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</si>
  <si>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</si>
  <si>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</si>
  <si>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</si>
  <si>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</si>
  <si>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</si>
  <si>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</si>
  <si>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</si>
  <si>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</si>
  <si>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</si>
  <si>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</si>
  <si>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</si>
  <si>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</si>
  <si>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</si>
  <si>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</si>
  <si>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</si>
  <si>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</si>
  <si>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</si>
  <si>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</si>
  <si>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</si>
  <si>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</si>
  <si>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</si>
  <si>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</si>
  <si>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</si>
  <si>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</si>
  <si>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</si>
  <si>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</si>
  <si>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</si>
  <si>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</si>
  <si>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</si>
  <si>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</si>
  <si>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</si>
  <si>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</si>
  <si>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</si>
  <si>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</si>
  <si>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</si>
  <si>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</si>
  <si>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</si>
  <si>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</si>
  <si>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</si>
  <si>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</si>
  <si>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</si>
  <si>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</si>
  <si>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</si>
  <si>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</si>
  <si>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</si>
  <si>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</si>
  <si>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</si>
  <si>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</si>
  <si>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</si>
  <si>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</si>
  <si>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</si>
  <si>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</si>
  <si>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</si>
  <si>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</si>
  <si>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</si>
  <si>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</si>
  <si>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</si>
  <si>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</si>
  <si>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</si>
  <si>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</si>
  <si>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</si>
  <si>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</si>
  <si>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</si>
  <si>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</si>
  <si>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</si>
  <si>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</si>
  <si>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</si>
  <si>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</si>
  <si>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</si>
  <si>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</si>
  <si>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</si>
  <si>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</si>
  <si>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</si>
  <si>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</si>
  <si>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</si>
  <si>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</si>
  <si>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</si>
  <si>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</si>
  <si>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</si>
  <si>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</si>
  <si>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</si>
  <si>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</si>
  <si>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</si>
  <si>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</si>
  <si>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</si>
  <si>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</si>
  <si>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</si>
  <si>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</si>
  <si>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</si>
  <si>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</si>
  <si>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</si>
  <si>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</si>
  <si>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</si>
  <si>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</si>
  <si>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</si>
  <si>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</si>
  <si>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</si>
  <si>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</si>
  <si>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</si>
  <si>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</si>
  <si>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</si>
  <si>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</si>
  <si>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</si>
  <si>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</si>
  <si>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</si>
  <si>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</si>
  <si>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</si>
  <si>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</si>
  <si>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</si>
  <si>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</si>
  <si>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</si>
  <si>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</si>
  <si>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</si>
  <si>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</si>
  <si>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</si>
  <si>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</si>
  <si>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</si>
  <si>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</si>
  <si>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</si>
  <si>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</si>
  <si>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</si>
  <si>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</si>
  <si>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</si>
  <si>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</si>
  <si>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</si>
  <si>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</si>
  <si>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</si>
  <si>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</si>
  <si>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</si>
  <si>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</si>
  <si>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</si>
  <si>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</si>
  <si>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</si>
  <si>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</si>
  <si>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</si>
  <si>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</si>
  <si>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</si>
  <si>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</si>
  <si>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</si>
  <si>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</si>
  <si>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</si>
  <si>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</si>
  <si>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</si>
  <si>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</si>
  <si>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</si>
  <si>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</si>
  <si>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</si>
  <si>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</si>
  <si>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</si>
  <si>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</si>
  <si>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</si>
  <si>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</si>
  <si>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</si>
  <si>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</si>
  <si>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</si>
  <si>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</si>
  <si>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</si>
  <si>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</si>
  <si>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</si>
  <si>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</si>
  <si>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</si>
  <si>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</si>
  <si>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</si>
  <si>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</si>
  <si>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</si>
  <si>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</si>
  <si>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</si>
  <si>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</si>
  <si>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</si>
  <si>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</si>
  <si>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</si>
  <si>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</si>
  <si>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</si>
  <si>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</si>
  <si>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</si>
  <si>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</si>
  <si>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</si>
  <si>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</si>
  <si>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</si>
  <si>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</si>
  <si>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</si>
  <si>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</si>
  <si>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</si>
  <si>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</si>
  <si>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</si>
  <si>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</si>
  <si>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</si>
  <si>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</si>
  <si>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</si>
  <si>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</si>
  <si>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</si>
  <si>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</si>
  <si>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</si>
  <si>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</si>
  <si>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</si>
  <si>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</si>
  <si>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</si>
  <si>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</si>
  <si>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</si>
  <si>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</si>
  <si>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</si>
  <si>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</si>
  <si>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</si>
  <si>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</si>
  <si>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</si>
  <si>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</si>
  <si>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</si>
  <si>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</si>
  <si>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</si>
  <si>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</si>
  <si>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</si>
  <si>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</si>
  <si>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</si>
  <si>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</si>
  <si>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</si>
  <si>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</si>
  <si>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</si>
  <si>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</si>
  <si>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</si>
  <si>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</si>
  <si>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</si>
  <si>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</si>
  <si>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</si>
  <si>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</si>
  <si>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</si>
  <si>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</si>
  <si>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</si>
  <si>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</si>
  <si>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</si>
  <si>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</si>
  <si>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</si>
  <si>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</si>
  <si>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</si>
  <si>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</si>
  <si>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</si>
  <si>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</si>
  <si>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</si>
  <si>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</si>
  <si>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</si>
  <si>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</si>
  <si>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</si>
  <si>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</si>
  <si>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</si>
  <si>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</si>
  <si>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</si>
  <si>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</si>
  <si>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</si>
  <si>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</si>
  <si>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</si>
  <si>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</si>
  <si>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</si>
  <si>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</si>
  <si>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</si>
  <si>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</si>
  <si>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</si>
  <si>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</si>
  <si>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</si>
  <si>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</si>
  <si>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</si>
  <si>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</si>
  <si>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</si>
  <si>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</si>
  <si>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</si>
  <si>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</si>
  <si>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</si>
  <si>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</si>
  <si>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</si>
  <si>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</si>
  <si>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</si>
  <si>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</si>
  <si>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</si>
  <si>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</si>
  <si>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</si>
  <si>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</si>
  <si>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</si>
  <si>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</si>
  <si>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</si>
  <si>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</si>
  <si>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</si>
  <si>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</si>
  <si>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</si>
  <si>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</si>
  <si>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</si>
  <si>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</si>
  <si>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</si>
  <si>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</si>
  <si>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</si>
  <si>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</si>
  <si>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</si>
  <si>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</si>
  <si>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</si>
  <si>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</si>
  <si>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</si>
  <si>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</si>
  <si>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</si>
  <si>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</si>
  <si>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</si>
  <si>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</si>
  <si>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</si>
  <si>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</si>
  <si>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</si>
  <si>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</si>
  <si>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</si>
  <si>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</si>
  <si>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</si>
  <si>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</si>
  <si>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</si>
  <si>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</si>
  <si>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</si>
  <si>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</si>
  <si>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</si>
  <si>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</si>
  <si>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</si>
  <si>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</si>
  <si>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</si>
  <si>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</si>
  <si>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</si>
  <si>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</si>
  <si>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</si>
  <si>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</si>
  <si>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</si>
  <si>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</si>
  <si>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</si>
  <si>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</si>
  <si>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</si>
  <si>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</si>
  <si>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</si>
  <si>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</si>
  <si>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</si>
  <si>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</si>
  <si>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</si>
  <si>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</si>
  <si>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</si>
  <si>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</si>
  <si>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</si>
  <si>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</si>
  <si>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</si>
  <si>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</si>
  <si>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</si>
  <si>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</si>
  <si>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</si>
  <si>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</si>
  <si>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</si>
  <si>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</si>
  <si>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</si>
  <si>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</si>
  <si>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</si>
  <si>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</si>
  <si>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</si>
  <si>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</si>
  <si>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</si>
  <si>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</si>
  <si>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</si>
  <si>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</si>
  <si>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</si>
  <si>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</si>
  <si>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</si>
  <si>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</si>
  <si>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</si>
  <si>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</si>
  <si>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</si>
  <si>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</si>
  <si>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</si>
  <si>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</si>
  <si>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</si>
  <si>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</si>
  <si>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</si>
  <si>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</si>
  <si>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</si>
  <si>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</si>
  <si>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</si>
  <si>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</si>
  <si>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</si>
  <si>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</si>
  <si>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</si>
  <si>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</si>
  <si>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</si>
  <si>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</si>
  <si>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</si>
  <si>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</si>
  <si>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</si>
  <si>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</si>
  <si>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</si>
  <si>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</si>
  <si>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</si>
  <si>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</si>
  <si>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</si>
  <si>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</si>
  <si>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</si>
  <si>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</si>
  <si>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</si>
  <si>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</si>
  <si>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</si>
  <si>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</si>
  <si>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</si>
  <si>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</si>
  <si>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</si>
  <si>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</si>
  <si>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</si>
  <si>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</si>
  <si>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</si>
  <si>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</si>
  <si>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</si>
  <si>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</si>
  <si>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</si>
  <si>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</si>
  <si>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</si>
  <si>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</si>
  <si>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</si>
  <si>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</si>
  <si>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</si>
  <si>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</si>
  <si>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</si>
  <si>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</si>
  <si>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</si>
  <si>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</si>
  <si>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</si>
  <si>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</si>
  <si>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</si>
  <si>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</si>
  <si>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</si>
  <si>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</si>
  <si>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</si>
  <si>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</si>
  <si>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</si>
  <si>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</si>
  <si>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</si>
  <si>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</si>
  <si>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</si>
  <si>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</si>
  <si>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</si>
  <si>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</si>
  <si>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</si>
  <si>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</si>
  <si>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</si>
  <si>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</si>
  <si>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</si>
  <si>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</si>
  <si>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</si>
  <si>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</si>
  <si>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</si>
  <si>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</si>
  <si>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</si>
  <si>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</si>
  <si>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</si>
  <si>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</si>
  <si>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</si>
  <si>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</si>
  <si>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</si>
  <si>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</si>
  <si>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</si>
  <si>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</si>
  <si>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</si>
  <si>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</si>
  <si>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</si>
  <si>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</si>
  <si>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</si>
  <si>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</si>
  <si>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</si>
  <si>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</si>
  <si>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</si>
  <si>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</si>
  <si>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</si>
  <si>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</si>
  <si>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</si>
  <si>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</si>
  <si>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</si>
  <si>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</si>
  <si>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</si>
  <si>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</si>
  <si>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</si>
  <si>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</si>
  <si>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</si>
  <si>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</si>
  <si>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</si>
  <si>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</si>
  <si>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</si>
  <si>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</si>
  <si>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</si>
  <si>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</si>
  <si>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</si>
  <si>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</si>
  <si>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</si>
  <si>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</si>
  <si>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</si>
  <si>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</si>
  <si>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</si>
  <si>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</si>
  <si>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</si>
  <si>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</si>
  <si>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</si>
  <si>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</si>
  <si>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</si>
  <si>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</si>
  <si>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</si>
  <si>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</si>
  <si>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</si>
  <si>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</si>
  <si>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</si>
  <si>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</si>
  <si>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</si>
  <si>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</si>
  <si>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</si>
  <si>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</si>
  <si>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</si>
  <si>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</si>
  <si>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</si>
  <si>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</si>
  <si>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</si>
  <si>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</si>
  <si>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</si>
  <si>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</si>
  <si>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</si>
  <si>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</si>
  <si>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</si>
  <si>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</si>
  <si>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</si>
  <si>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</si>
  <si>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</si>
  <si>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</si>
  <si>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</si>
  <si>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</si>
  <si>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</si>
  <si>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</si>
  <si>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</si>
  <si>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</si>
  <si>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</si>
  <si>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</si>
  <si>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</si>
  <si>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</si>
  <si>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</si>
  <si>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</si>
  <si>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</si>
  <si>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</si>
  <si>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</si>
  <si>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</si>
  <si>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</si>
  <si>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</si>
  <si>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</si>
  <si>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</si>
  <si>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</si>
  <si>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</si>
  <si>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</si>
  <si>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</si>
  <si>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</si>
  <si>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</si>
  <si>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</si>
  <si>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</si>
  <si>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</si>
  <si>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</si>
  <si>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</si>
  <si>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</si>
  <si>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</si>
  <si>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</si>
  <si>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</si>
  <si>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</si>
  <si>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</si>
  <si>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</si>
  <si>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</si>
  <si>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</si>
  <si>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</si>
  <si>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</si>
  <si>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</si>
  <si>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</si>
  <si>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</si>
  <si>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</si>
  <si>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</si>
  <si>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</si>
  <si>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</si>
  <si>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</si>
  <si>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</si>
  <si>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</si>
  <si>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</si>
  <si>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</si>
  <si>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</si>
  <si>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</si>
  <si>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</si>
  <si>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</si>
  <si>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</si>
  <si>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</si>
  <si>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</si>
  <si>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</si>
  <si>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</si>
  <si>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</si>
  <si>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</si>
  <si>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</si>
  <si>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</si>
  <si>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</si>
  <si>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</si>
  <si>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</si>
  <si>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</si>
  <si>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</si>
  <si>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</si>
  <si>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</si>
  <si>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</si>
  <si>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</si>
  <si>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</si>
  <si>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</si>
  <si>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</si>
  <si>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</si>
  <si>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</si>
  <si>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</si>
  <si>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</si>
  <si>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</si>
  <si>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</si>
  <si>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</si>
  <si>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</si>
  <si>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</si>
  <si>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</si>
  <si>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</si>
  <si>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</si>
  <si>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</si>
  <si>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</si>
  <si>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</si>
  <si>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</si>
  <si>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</si>
  <si>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</si>
  <si>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</si>
  <si>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</si>
  <si>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</si>
  <si>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</si>
  <si>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</si>
  <si>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</si>
  <si>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</si>
  <si>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</si>
  <si>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</si>
  <si>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</si>
  <si>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</si>
  <si>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</si>
  <si>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</si>
  <si>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</si>
  <si>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</si>
  <si>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</si>
  <si>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</si>
  <si>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</si>
  <si>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</si>
  <si>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</si>
  <si>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</si>
  <si>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</si>
  <si>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</si>
  <si>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</si>
  <si>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</si>
  <si>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</si>
  <si>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</si>
  <si>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</si>
  <si>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</si>
  <si>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</si>
  <si>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</si>
  <si>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</si>
  <si>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</si>
  <si>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</si>
  <si>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</si>
  <si>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</si>
  <si>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</si>
  <si>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</si>
  <si>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</si>
  <si>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</si>
  <si>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</si>
  <si>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</si>
  <si>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</si>
  <si>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</si>
  <si>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</si>
  <si>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</si>
  <si>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</si>
  <si>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</si>
  <si>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</si>
  <si>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</si>
  <si>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</si>
  <si>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</si>
  <si>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</si>
  <si>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</si>
  <si>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</si>
  <si>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</si>
  <si>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</si>
  <si>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</si>
  <si>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</si>
  <si>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</si>
  <si>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</si>
  <si>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</si>
  <si>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</si>
  <si>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</si>
  <si>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</si>
  <si>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</si>
  <si>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</si>
  <si>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</si>
  <si>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</si>
  <si>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</si>
  <si>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</si>
  <si>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</si>
  <si>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</si>
  <si>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</si>
  <si>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</si>
  <si>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</si>
  <si>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</si>
  <si>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</si>
  <si>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</si>
  <si>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</si>
  <si>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</si>
  <si>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</si>
  <si>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</si>
  <si>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</si>
  <si>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</si>
  <si>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</si>
  <si>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</si>
  <si>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</si>
  <si>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</si>
  <si>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</si>
  <si>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</si>
  <si>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</si>
  <si>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</si>
  <si>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</si>
  <si>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</si>
  <si>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</si>
  <si>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</si>
  <si>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</si>
  <si>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</si>
  <si>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</si>
  <si>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</si>
  <si>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</si>
  <si>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</si>
  <si>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</si>
  <si>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</si>
  <si>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</si>
  <si>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</si>
  <si>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</si>
  <si>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</si>
  <si>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</si>
  <si>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</si>
  <si>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</si>
  <si>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</si>
  <si>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</si>
  <si>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</si>
  <si>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</si>
  <si>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</si>
  <si>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</si>
  <si>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</si>
  <si>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</si>
  <si>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</si>
  <si>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</si>
  <si>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</si>
  <si>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</si>
  <si>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</si>
  <si>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</si>
  <si>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</si>
  <si>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</si>
  <si>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</si>
  <si>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</si>
  <si>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</si>
  <si>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</si>
  <si>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</si>
  <si>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</si>
  <si>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</si>
  <si>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</si>
  <si>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</si>
  <si>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</si>
  <si>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</si>
  <si>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</si>
  <si>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</si>
  <si>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</si>
  <si>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</si>
  <si>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</si>
  <si>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</si>
  <si>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</si>
  <si>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</si>
  <si>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</si>
  <si>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</si>
  <si>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</si>
  <si>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</si>
  <si>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</si>
  <si>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</si>
  <si>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</si>
  <si>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</si>
  <si>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</si>
  <si>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</si>
  <si>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</si>
  <si>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</si>
  <si>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</si>
  <si>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</si>
  <si>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</si>
  <si>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</si>
  <si>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</si>
  <si>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</si>
  <si>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</si>
  <si>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</si>
  <si>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</si>
  <si>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</si>
  <si>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</si>
  <si>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</si>
  <si>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</si>
  <si>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</si>
  <si>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</si>
  <si>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</si>
  <si>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</si>
  <si>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</si>
  <si>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</si>
  <si>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</si>
  <si>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</si>
  <si>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</si>
  <si>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</si>
  <si>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</si>
  <si>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</si>
  <si>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</si>
  <si>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</si>
  <si>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</si>
  <si>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</si>
  <si>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</si>
  <si>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</si>
  <si>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</si>
  <si>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</si>
  <si>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</si>
  <si>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</si>
  <si>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</si>
  <si>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</si>
  <si>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</si>
  <si>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</si>
  <si>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</si>
  <si>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</si>
  <si>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</si>
  <si>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</si>
  <si>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</si>
  <si>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</si>
  <si>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</si>
  <si>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</si>
  <si>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</si>
  <si>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</si>
  <si>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</si>
  <si>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</si>
  <si>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</si>
  <si>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</si>
  <si>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</si>
  <si>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</si>
  <si>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</si>
  <si>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</si>
  <si>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</si>
  <si>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</si>
  <si>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</si>
  <si>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</si>
  <si>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</si>
  <si>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</si>
  <si>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</si>
  <si>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</si>
  <si>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</si>
  <si>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</si>
  <si>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</si>
  <si>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</si>
  <si>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</si>
  <si>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</si>
  <si>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</si>
  <si>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</si>
  <si>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</si>
  <si>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</si>
  <si>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</si>
  <si>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</si>
  <si>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</si>
  <si>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</si>
  <si>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</si>
  <si>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</si>
  <si>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</si>
  <si>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</si>
  <si>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</si>
  <si>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</si>
  <si>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</si>
  <si>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</si>
  <si>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</si>
  <si>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</si>
  <si>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</si>
  <si>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</si>
  <si>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</si>
  <si>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</si>
  <si>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</si>
  <si>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</si>
  <si>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</si>
  <si>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</si>
  <si>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</si>
  <si>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</si>
  <si>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</si>
  <si>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</si>
  <si>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</si>
  <si>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</si>
  <si>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</si>
  <si>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</si>
  <si>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</si>
  <si>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</si>
  <si>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</si>
  <si>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</si>
  <si>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</si>
  <si>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</si>
  <si>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</si>
  <si>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</si>
  <si>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</si>
  <si>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</si>
  <si>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</si>
  <si>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</si>
  <si>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</si>
  <si>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</si>
  <si>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</si>
  <si>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</si>
  <si>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</si>
  <si>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</si>
  <si>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</si>
  <si>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</si>
  <si>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</si>
  <si>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</si>
  <si>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</si>
  <si>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</si>
  <si>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</si>
  <si>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</si>
  <si>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</si>
  <si>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</si>
  <si>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</si>
  <si>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</si>
  <si>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</si>
  <si>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</si>
  <si>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</si>
  <si>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</si>
  <si>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</si>
  <si>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</si>
  <si>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</si>
  <si>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</si>
  <si>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</si>
  <si>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</si>
  <si>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</si>
  <si>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</si>
  <si>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</si>
  <si>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</si>
  <si>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</si>
  <si>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</si>
  <si>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</si>
  <si>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</si>
  <si>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</si>
  <si>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</si>
  <si>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</si>
  <si>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</si>
  <si>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</si>
  <si>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</si>
  <si>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</si>
  <si>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</si>
  <si>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</si>
  <si>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</si>
  <si>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</si>
  <si>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</si>
  <si>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</si>
  <si>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</si>
  <si>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</si>
  <si>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</si>
  <si>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</si>
  <si>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</si>
  <si>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</si>
  <si>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</si>
  <si>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</si>
  <si>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</si>
  <si>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</si>
  <si>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</si>
  <si>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</si>
  <si>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</si>
  <si>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</si>
  <si>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</si>
  <si>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</si>
  <si>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</si>
  <si>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</si>
  <si>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</si>
  <si>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</si>
  <si>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</si>
  <si>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</si>
  <si>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</si>
  <si>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</si>
  <si>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</si>
  <si>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</si>
  <si>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</si>
  <si>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</si>
  <si>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</si>
  <si>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</si>
  <si>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</si>
  <si>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</si>
  <si>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</si>
  <si>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</si>
  <si>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</si>
  <si>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</si>
  <si>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</si>
  <si>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</si>
  <si>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</si>
  <si>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</si>
  <si>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</si>
  <si>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</si>
  <si>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</si>
  <si>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</si>
  <si>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</si>
  <si>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</si>
  <si>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</si>
  <si>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</si>
  <si>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</si>
  <si>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</si>
  <si>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</si>
  <si>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</si>
  <si>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</si>
  <si>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</si>
  <si>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</si>
  <si>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</si>
  <si>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</si>
  <si>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</si>
  <si>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</si>
  <si>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</si>
  <si>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</si>
  <si>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</si>
  <si>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</si>
  <si>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</si>
  <si>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</si>
  <si>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</si>
  <si>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</si>
  <si>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</si>
  <si>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</si>
  <si>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</si>
  <si>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</si>
  <si>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</si>
  <si>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</si>
  <si>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</si>
  <si>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</si>
  <si>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</si>
  <si>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</si>
  <si>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</si>
  <si>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</si>
  <si>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</si>
  <si>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</si>
  <si>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</si>
  <si>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</si>
  <si>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</si>
  <si>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</si>
  <si>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</si>
  <si>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</si>
  <si>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</si>
  <si>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</si>
  <si>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</si>
  <si>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</si>
  <si>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</si>
  <si>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</si>
  <si>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</si>
  <si>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</si>
  <si>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</si>
  <si>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</si>
  <si>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</si>
  <si>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</si>
  <si>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</si>
  <si>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</si>
  <si>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</si>
  <si>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</si>
  <si>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</si>
  <si>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</si>
  <si>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</si>
  <si>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</si>
  <si>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</si>
  <si>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</si>
  <si>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</si>
  <si>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</si>
  <si>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</si>
  <si>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</si>
  <si>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</si>
  <si>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</si>
  <si>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</si>
  <si>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</si>
  <si>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</si>
  <si>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</si>
  <si>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</si>
  <si>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</si>
  <si>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</si>
  <si>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</si>
  <si>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</si>
  <si>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</si>
  <si>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</si>
  <si>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</si>
  <si>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</si>
  <si>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</si>
  <si>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</si>
  <si>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</si>
  <si>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</si>
  <si>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</si>
  <si>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</si>
  <si>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</si>
  <si>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</si>
  <si>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</si>
  <si>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</si>
  <si>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</si>
  <si>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</si>
  <si>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</si>
  <si>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</si>
  <si>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</si>
  <si>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</si>
  <si>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</si>
  <si>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</si>
  <si>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</si>
  <si>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</si>
  <si>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</si>
  <si>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</si>
  <si>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</si>
  <si>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</si>
  <si>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</si>
  <si>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</si>
  <si>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</si>
  <si>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</si>
  <si>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</si>
  <si>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</si>
  <si>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</si>
  <si>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</si>
  <si>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</si>
  <si>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</si>
  <si>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</si>
  <si>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</si>
  <si>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</si>
  <si>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</si>
  <si>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</si>
  <si>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</si>
  <si>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</si>
  <si>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</si>
  <si>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</si>
  <si>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</si>
  <si>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</si>
  <si>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</si>
  <si>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</si>
  <si>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</si>
  <si>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</si>
  <si>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</si>
  <si>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</si>
  <si>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</si>
  <si>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</si>
  <si>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</si>
  <si>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</si>
  <si>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</si>
  <si>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</si>
  <si>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</si>
  <si>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</si>
  <si>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</si>
  <si>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</si>
  <si>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</si>
  <si>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</si>
  <si>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</si>
  <si>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</si>
  <si>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</si>
  <si>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</si>
  <si>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</si>
  <si>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</si>
  <si>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</si>
  <si>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</si>
  <si>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</si>
  <si>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</si>
  <si>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</si>
  <si>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</si>
  <si>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</si>
  <si>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</si>
  <si>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</si>
  <si>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</si>
  <si>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</si>
  <si>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</si>
  <si>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</si>
  <si>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</si>
  <si>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</si>
  <si>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</si>
  <si>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</si>
  <si>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</si>
  <si>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</si>
  <si>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</si>
  <si>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</si>
  <si>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</si>
  <si>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</si>
  <si>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</si>
  <si>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</si>
  <si>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</si>
  <si>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</si>
  <si>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</si>
  <si>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</si>
  <si>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</si>
  <si>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</si>
  <si>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</si>
  <si>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</si>
  <si>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</si>
  <si>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</si>
  <si>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</si>
  <si>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</si>
  <si>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</si>
  <si>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</si>
  <si>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</si>
  <si>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</si>
  <si>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</si>
  <si>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</si>
  <si>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</si>
  <si>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</si>
  <si>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</si>
  <si>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</si>
  <si>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</si>
  <si>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</si>
  <si>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</si>
  <si>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</si>
  <si>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</si>
  <si>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</si>
  <si>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</si>
  <si>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</si>
  <si>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</si>
  <si>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</si>
  <si>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</si>
  <si>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</si>
  <si>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</si>
  <si>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</si>
  <si>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</si>
  <si>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</si>
  <si>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</si>
  <si>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</si>
  <si>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</si>
  <si>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</si>
  <si>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</si>
  <si>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</si>
  <si>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</si>
  <si>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</si>
  <si>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</si>
  <si>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</si>
  <si>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</si>
  <si>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</si>
  <si>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</si>
  <si>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</si>
  <si>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</si>
  <si>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</si>
  <si>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</si>
  <si>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</si>
  <si>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</si>
  <si>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</si>
  <si>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</si>
  <si>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</si>
  <si>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</si>
  <si>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</si>
  <si>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</si>
  <si>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</si>
  <si>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</si>
  <si>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</si>
  <si>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</si>
  <si>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</si>
  <si>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</si>
  <si>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</si>
  <si>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</si>
  <si>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</si>
  <si>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</si>
  <si>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</si>
  <si>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</si>
  <si>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</si>
  <si>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</si>
  <si>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</si>
  <si>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</si>
  <si>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</si>
  <si>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</si>
  <si>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</si>
  <si>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</si>
  <si>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</si>
  <si>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</si>
  <si>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</si>
  <si>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</si>
  <si>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</si>
  <si>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</si>
  <si>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</si>
  <si>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</si>
  <si>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</si>
  <si>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</si>
  <si>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</si>
  <si>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</si>
  <si>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</si>
  <si>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</si>
  <si>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</si>
  <si>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</si>
  <si>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</si>
  <si>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</si>
  <si>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</si>
  <si>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</si>
  <si>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</si>
  <si>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</si>
  <si>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</si>
  <si>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</si>
  <si>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</si>
  <si>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</si>
  <si>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</si>
  <si>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</si>
  <si>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</si>
  <si>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</si>
  <si>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</si>
  <si>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</si>
  <si>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</si>
  <si>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</si>
  <si>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</si>
  <si>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</si>
  <si>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</si>
  <si>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</si>
  <si>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</si>
  <si>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</si>
  <si>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</si>
  <si>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</si>
  <si>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</si>
  <si>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</si>
  <si>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</si>
  <si>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</si>
  <si>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</si>
  <si>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</si>
  <si>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</si>
  <si>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</si>
  <si>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</si>
  <si>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</si>
  <si>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</si>
  <si>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</si>
  <si>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</si>
  <si>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</si>
  <si>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</si>
  <si>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</si>
  <si>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</si>
  <si>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</si>
  <si>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</si>
  <si>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</si>
  <si>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</si>
  <si>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</si>
  <si>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</si>
  <si>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</si>
  <si>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</si>
  <si>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</si>
  <si>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</si>
  <si>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</si>
  <si>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</si>
  <si>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</si>
  <si>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</si>
  <si>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</si>
  <si>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</si>
  <si>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</si>
  <si>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</si>
  <si>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</si>
  <si>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</si>
  <si>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</si>
  <si>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</si>
  <si>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</si>
  <si>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</si>
  <si>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</si>
  <si>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</si>
  <si>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</si>
  <si>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</si>
  <si>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</si>
  <si>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</si>
  <si>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</si>
  <si>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</si>
  <si>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</si>
  <si>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</si>
  <si>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</si>
  <si>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</si>
  <si>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</si>
  <si>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</si>
  <si>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</si>
  <si>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</si>
  <si>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</si>
  <si>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</si>
  <si>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</si>
  <si>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</si>
  <si>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</si>
  <si>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</si>
  <si>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</si>
  <si>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</si>
  <si>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</si>
  <si>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</si>
  <si>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</si>
  <si>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</si>
  <si>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</si>
  <si>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</si>
  <si>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</si>
  <si>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</si>
  <si>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</si>
  <si>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</si>
  <si>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</si>
  <si>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</si>
  <si>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</si>
  <si>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</si>
  <si>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</si>
  <si>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</si>
  <si>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</si>
  <si>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</si>
  <si>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</si>
  <si>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</si>
  <si>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</si>
  <si>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</si>
  <si>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</si>
  <si>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</si>
  <si>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</si>
  <si>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</si>
  <si>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</si>
  <si>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</si>
  <si>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</si>
  <si>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</si>
  <si>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</si>
  <si>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</si>
  <si>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</si>
  <si>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</si>
  <si>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</si>
  <si>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</si>
  <si>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</si>
  <si>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</si>
  <si>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</si>
  <si>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</si>
  <si>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</si>
  <si>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</si>
  <si>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</si>
  <si>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</si>
  <si>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</si>
  <si>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</si>
  <si>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</si>
  <si>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</si>
  <si>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</si>
  <si>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</si>
  <si>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</si>
  <si>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</si>
  <si>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</si>
  <si>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</si>
  <si>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</si>
  <si>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</si>
  <si>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</si>
  <si>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</si>
  <si>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</si>
  <si>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</si>
  <si>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</si>
  <si>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</si>
  <si>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</si>
  <si>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</si>
  <si>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</si>
  <si>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</si>
  <si>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</si>
  <si>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</si>
  <si>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</si>
  <si>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</si>
  <si>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</si>
  <si>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</si>
  <si>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</si>
  <si>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</si>
  <si>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</si>
  <si>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</si>
  <si>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</si>
  <si>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</si>
  <si>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</si>
  <si>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</si>
  <si>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</si>
  <si>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</si>
  <si>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</si>
  <si>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</si>
  <si>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</si>
  <si>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</si>
  <si>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</si>
  <si>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</si>
  <si>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</si>
  <si>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</si>
  <si>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</si>
  <si>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</si>
  <si>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</si>
  <si>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</si>
  <si>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</si>
  <si>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</si>
  <si>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</si>
  <si>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</si>
  <si>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</si>
  <si>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</si>
  <si>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</si>
  <si>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</si>
  <si>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</si>
  <si>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</si>
  <si>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</si>
  <si>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</si>
  <si>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</si>
  <si>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</si>
  <si>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</si>
  <si>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</si>
  <si>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</si>
  <si>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</si>
  <si>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</si>
  <si>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</si>
  <si>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</si>
  <si>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</si>
  <si>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</si>
  <si>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</si>
  <si>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</si>
  <si>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</si>
  <si>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</si>
  <si>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</si>
  <si>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</si>
  <si>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</si>
  <si>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</si>
  <si>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</si>
  <si>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</si>
  <si>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</si>
  <si>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</si>
  <si>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</si>
  <si>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</si>
  <si>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</si>
  <si>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</si>
  <si>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</si>
  <si>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</si>
  <si>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</si>
  <si>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</si>
  <si>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</si>
  <si>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</si>
  <si>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</si>
  <si>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</si>
  <si>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</si>
  <si>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</si>
  <si>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</si>
  <si>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</si>
  <si>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</si>
  <si>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</si>
  <si>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</si>
  <si>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</si>
  <si>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</si>
  <si>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</si>
  <si>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</si>
  <si>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</si>
  <si>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</si>
  <si>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</si>
  <si>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</si>
  <si>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</si>
  <si>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</si>
  <si>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</si>
  <si>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</si>
  <si>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</si>
  <si>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</si>
  <si>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</si>
  <si>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</si>
  <si>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</si>
  <si>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</si>
  <si>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</si>
  <si>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</si>
  <si>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</si>
  <si>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</si>
  <si>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</si>
  <si>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</si>
  <si>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</si>
  <si>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</si>
  <si>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</si>
  <si>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</si>
  <si>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</si>
  <si>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</si>
  <si>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</si>
  <si>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</si>
  <si>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</si>
  <si>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</si>
  <si>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</si>
  <si>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</si>
  <si>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</si>
  <si>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</si>
  <si>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</si>
  <si>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</si>
  <si>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</si>
  <si>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</si>
  <si>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</si>
  <si>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</si>
  <si>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</si>
  <si>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4548512#1</t>
  </si>
  <si>
    <t>Despromin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</si>
  <si>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</si>
  <si>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</si>
  <si>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</si>
  <si>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</si>
  <si>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</si>
  <si>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</si>
  <si>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</si>
  <si>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</si>
  <si>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</si>
  <si>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</si>
  <si>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</si>
  <si>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</si>
  <si>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</si>
  <si>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</si>
  <si>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</si>
  <si>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4196083#1</t>
  </si>
  <si>
    <t>Larproyectos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</si>
  <si>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</si>
  <si>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</si>
  <si>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</si>
  <si>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</si>
  <si>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</si>
  <si>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</si>
  <si>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</si>
  <si>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</si>
  <si>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</si>
  <si>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</si>
  <si>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</si>
  <si>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</si>
  <si>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</si>
  <si>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</si>
  <si>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3890335#1</t>
  </si>
  <si>
    <t>Ambientes Funcionales S.R.L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</si>
  <si>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</si>
  <si>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</si>
  <si>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</si>
  <si>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</si>
  <si>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</si>
  <si>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</si>
  <si>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</si>
  <si>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</si>
  <si>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</si>
  <si>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</si>
  <si>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</si>
  <si>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</si>
  <si>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</si>
  <si>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</si>
  <si>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4342386#1</t>
  </si>
  <si>
    <t>VAPEU SRL. Empresa Constructora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</si>
  <si>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</si>
  <si>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</si>
  <si>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</si>
  <si>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</si>
  <si>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</si>
  <si>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</si>
  <si>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</si>
  <si>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</si>
  <si>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</si>
  <si>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</si>
  <si>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</si>
  <si>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</si>
  <si>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</si>
  <si>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</si>
  <si>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4298791#1</t>
  </si>
  <si>
    <t>Colamp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</si>
  <si>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</si>
  <si>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</si>
  <si>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</si>
  <si>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</si>
  <si>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</si>
  <si>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</si>
  <si>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</si>
  <si>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</si>
  <si>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</si>
  <si>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</si>
  <si>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</si>
  <si>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</si>
  <si>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</si>
  <si>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</si>
  <si>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1359636#1</t>
  </si>
  <si>
    <t>Ancla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</si>
  <si>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</si>
  <si>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</si>
  <si>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</si>
  <si>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</si>
  <si>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</si>
  <si>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</si>
  <si>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</si>
  <si>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</si>
  <si>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</si>
  <si>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</si>
  <si>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</si>
  <si>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</si>
  <si>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</si>
  <si>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</si>
  <si>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</si>
  <si>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3267144#3</t>
  </si>
  <si>
    <t>Lasalleconocoto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</si>
  <si>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</si>
  <si>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</si>
  <si>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</si>
  <si>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</si>
  <si>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</si>
  <si>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</si>
  <si>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</si>
  <si>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</si>
  <si>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</si>
  <si>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</si>
  <si>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</si>
  <si>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</si>
  <si>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</si>
  <si>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</si>
  <si>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1173012#1</t>
  </si>
  <si>
    <t>Ersa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</si>
  <si>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</si>
  <si>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</si>
  <si>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</si>
  <si>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</si>
  <si>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</si>
  <si>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</si>
  <si>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</si>
  <si>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</si>
  <si>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</si>
  <si>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</si>
  <si>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</si>
  <si>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</si>
  <si>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</si>
  <si>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</si>
  <si>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</si>
  <si>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1568650#2</t>
  </si>
  <si>
    <t>Corporacion Autonoma De Naria O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</si>
  <si>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</si>
  <si>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</si>
  <si>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</si>
  <si>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</si>
  <si>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</si>
  <si>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</si>
  <si>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</si>
  <si>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</si>
  <si>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</si>
  <si>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</si>
  <si>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</si>
  <si>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</si>
  <si>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</si>
  <si>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</si>
  <si>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</si>
  <si>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1936639#1</t>
  </si>
  <si>
    <t>GRUPO AMPO. Lofts de Bahia Grande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</si>
  <si>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</si>
  <si>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</si>
  <si>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</si>
  <si>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</si>
  <si>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</si>
  <si>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</si>
  <si>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</si>
  <si>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</si>
  <si>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</si>
  <si>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</si>
  <si>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</si>
  <si>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</si>
  <si>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</si>
  <si>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</si>
  <si>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</si>
  <si>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</si>
  <si>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2984986#1</t>
  </si>
  <si>
    <t>Centro Aire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</si>
  <si>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</si>
  <si>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</si>
  <si>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</si>
  <si>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</si>
  <si>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</si>
  <si>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</si>
  <si>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</si>
  <si>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</si>
  <si>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</si>
  <si>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</si>
  <si>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</si>
  <si>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</si>
  <si>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</si>
  <si>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</si>
  <si>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938126#1</t>
  </si>
  <si>
    <t>Sommier Center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</si>
  <si>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</si>
  <si>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</si>
  <si>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</si>
  <si>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</si>
  <si>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</si>
  <si>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</si>
  <si>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</si>
  <si>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</si>
  <si>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</si>
  <si>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</si>
  <si>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</si>
  <si>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</si>
  <si>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</si>
  <si>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</si>
  <si>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</si>
  <si>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1954161#2</t>
  </si>
  <si>
    <t>Theos Group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</si>
  <si>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</si>
  <si>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</si>
  <si>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</si>
  <si>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</si>
  <si>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</si>
  <si>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</si>
  <si>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</si>
  <si>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</si>
  <si>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</si>
  <si>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</si>
  <si>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</si>
  <si>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</si>
  <si>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</si>
  <si>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</si>
  <si>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</si>
  <si>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</si>
  <si>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1677334#1</t>
  </si>
  <si>
    <t>equindeca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</si>
  <si>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</si>
  <si>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</si>
  <si>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</si>
  <si>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</si>
  <si>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</si>
  <si>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</si>
  <si>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</si>
  <si>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</si>
  <si>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</si>
  <si>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</si>
  <si>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</si>
  <si>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</si>
  <si>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</si>
  <si>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</si>
  <si>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2335220#1</t>
  </si>
  <si>
    <t>Kranec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</si>
  <si>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</si>
  <si>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</si>
  <si>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</si>
  <si>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</si>
  <si>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</si>
  <si>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</si>
  <si>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</si>
  <si>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</si>
  <si>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</si>
  <si>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</si>
  <si>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</si>
  <si>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</si>
  <si>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</si>
  <si>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</si>
  <si>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</si>
  <si>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336762#1</t>
  </si>
  <si>
    <t>Imprenta Mariscal Cia. Ltda.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</si>
  <si>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</si>
  <si>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</si>
  <si>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</si>
  <si>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</si>
  <si>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</si>
  <si>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</si>
  <si>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</si>
  <si>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</si>
  <si>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</si>
  <si>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</si>
  <si>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</si>
  <si>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</si>
  <si>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</si>
  <si>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</si>
  <si>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1091086#1</t>
  </si>
  <si>
    <t>Studio K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</si>
  <si>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</si>
  <si>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</si>
  <si>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</si>
  <si>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</si>
  <si>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</si>
  <si>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</si>
  <si>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</si>
  <si>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</si>
  <si>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</si>
  <si>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</si>
  <si>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</si>
  <si>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</si>
  <si>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</si>
  <si>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</si>
  <si>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</si>
  <si>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4601242#1</t>
  </si>
  <si>
    <t>Reactlab Import Cia. Ltda.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</si>
  <si>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</si>
  <si>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</si>
  <si>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</si>
  <si>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</si>
  <si>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</si>
  <si>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</si>
  <si>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</si>
  <si>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</si>
  <si>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</si>
  <si>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</si>
  <si>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</si>
  <si>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</si>
  <si>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</si>
  <si>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</si>
  <si>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729104#1</t>
  </si>
  <si>
    <t>Ucu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</si>
  <si>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</si>
  <si>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</si>
  <si>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</si>
  <si>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</si>
  <si>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</si>
  <si>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</si>
  <si>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</si>
  <si>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</si>
  <si>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</si>
  <si>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</si>
  <si>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</si>
  <si>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</si>
  <si>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</si>
  <si>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</si>
  <si>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</si>
  <si>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4583990#1</t>
  </si>
  <si>
    <t>Ecosolarcolombia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</si>
  <si>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</si>
  <si>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</si>
  <si>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</si>
  <si>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</si>
  <si>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</si>
  <si>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</si>
  <si>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</si>
  <si>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</si>
  <si>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</si>
  <si>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</si>
  <si>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</si>
  <si>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</si>
  <si>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</si>
  <si>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</si>
  <si>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4498544#1</t>
  </si>
  <si>
    <t>Gentrackmasteri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</si>
  <si>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</si>
  <si>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</si>
  <si>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</si>
  <si>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</si>
  <si>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</si>
  <si>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</si>
  <si>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</si>
  <si>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</si>
  <si>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</si>
  <si>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</si>
  <si>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</si>
  <si>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</si>
  <si>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</si>
  <si>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</si>
  <si>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</si>
  <si>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4614340#1</t>
  </si>
  <si>
    <t>Arce Arquitectos Limitada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</si>
  <si>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</si>
  <si>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</si>
  <si>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</si>
  <si>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</si>
  <si>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</si>
  <si>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</si>
  <si>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</si>
  <si>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</si>
  <si>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</si>
  <si>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</si>
  <si>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</si>
  <si>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</si>
  <si>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</si>
  <si>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</si>
  <si>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4423154#1</t>
  </si>
  <si>
    <t>Cientifica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</si>
  <si>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</si>
  <si>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</si>
  <si>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</si>
  <si>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</si>
  <si>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</si>
  <si>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</si>
  <si>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</si>
  <si>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</si>
  <si>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</si>
  <si>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</si>
  <si>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</si>
  <si>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</si>
  <si>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</si>
  <si>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</si>
  <si>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</si>
  <si>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4543231#1</t>
  </si>
  <si>
    <t>Mqvconstrucciones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</si>
  <si>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</si>
  <si>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</si>
  <si>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</si>
  <si>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</si>
  <si>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</si>
  <si>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</si>
  <si>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</si>
  <si>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</si>
  <si>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</si>
  <si>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</si>
  <si>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</si>
  <si>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</si>
  <si>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</si>
  <si>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</si>
  <si>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</si>
  <si>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4518541#1</t>
  </si>
  <si>
    <t>Armasarquitectura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</si>
  <si>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</si>
  <si>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</si>
  <si>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</si>
  <si>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</si>
  <si>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</si>
  <si>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</si>
  <si>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</si>
  <si>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</si>
  <si>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</si>
  <si>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</si>
  <si>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</si>
  <si>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</si>
  <si>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</si>
  <si>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</si>
  <si>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4606666#1</t>
  </si>
  <si>
    <t>Senave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</si>
  <si>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</si>
  <si>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</si>
  <si>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</si>
  <si>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</si>
  <si>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</si>
  <si>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</si>
  <si>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</si>
  <si>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</si>
  <si>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</si>
  <si>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</si>
  <si>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</si>
  <si>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</si>
  <si>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</si>
  <si>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</si>
  <si>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4551304#1</t>
  </si>
  <si>
    <t>Alfredo Sosa Martinez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</si>
  <si>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</si>
  <si>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</si>
  <si>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</si>
  <si>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</si>
  <si>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</si>
  <si>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</si>
  <si>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</si>
  <si>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</si>
  <si>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</si>
  <si>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</si>
  <si>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</si>
  <si>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</si>
  <si>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</si>
  <si>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</si>
  <si>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</si>
  <si>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</si>
  <si>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</si>
  <si>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</si>
  <si>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</si>
  <si>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</si>
  <si>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</si>
  <si>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</si>
  <si>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</si>
  <si>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</si>
  <si>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</si>
  <si>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</si>
  <si>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</si>
  <si>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</si>
  <si>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</si>
  <si>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</si>
  <si>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</si>
  <si>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</si>
  <si>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</si>
  <si>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</si>
  <si>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</si>
  <si>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</si>
  <si>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</si>
  <si>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</si>
  <si>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</si>
  <si>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</si>
  <si>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</si>
  <si>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</si>
  <si>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</si>
  <si>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</si>
  <si>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</si>
  <si>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</si>
  <si>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</si>
  <si>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</si>
  <si>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</si>
  <si>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</si>
  <si>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</si>
  <si>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</si>
  <si>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</si>
  <si>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</si>
  <si>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</si>
  <si>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Duplicate case already contacted within 6 months period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</si>
  <si>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</si>
  <si>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</si>
  <si>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</si>
  <si>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</si>
  <si>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</si>
  <si>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</si>
  <si>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</si>
  <si>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</si>
  <si>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</si>
  <si>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</si>
  <si>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</si>
  <si>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</si>
  <si>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</si>
  <si>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</si>
  <si>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</si>
  <si>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</si>
  <si>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</si>
  <si>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</si>
  <si>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</si>
  <si>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</si>
  <si>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</si>
  <si>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</si>
  <si>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</si>
  <si>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</si>
  <si>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</si>
  <si>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</si>
  <si>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</si>
  <si>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</si>
  <si>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</si>
  <si>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</si>
  <si>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</si>
  <si>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</si>
  <si>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</si>
  <si>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</si>
  <si>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</si>
  <si>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</si>
  <si>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</si>
  <si>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</si>
  <si>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</si>
  <si>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</si>
  <si>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</si>
  <si>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</si>
  <si>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</si>
  <si>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</si>
  <si>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</si>
  <si>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</si>
  <si>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</si>
  <si>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</si>
  <si>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</si>
  <si>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</si>
  <si>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</si>
  <si>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</si>
  <si>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</si>
  <si>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</si>
  <si>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</si>
  <si>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</si>
  <si>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</si>
  <si>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</si>
  <si>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</si>
  <si>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</si>
  <si>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</si>
  <si>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</si>
  <si>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</si>
  <si>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</si>
  <si>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</si>
  <si>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</si>
  <si>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</si>
  <si>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</si>
  <si>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</si>
  <si>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</si>
  <si>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</si>
  <si>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</si>
  <si>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</si>
  <si>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792073#1</t>
  </si>
  <si>
    <t>Arte Casa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</si>
  <si>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</si>
  <si>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</si>
  <si>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</si>
  <si>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</si>
  <si>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</si>
  <si>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</si>
  <si>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</si>
  <si>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</si>
  <si>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</si>
  <si>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</si>
  <si>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1871329#1</t>
  </si>
  <si>
    <t>Novis Corp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</si>
  <si>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</si>
  <si>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</si>
  <si>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</si>
  <si>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</si>
  <si>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</si>
  <si>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</si>
  <si>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</si>
  <si>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</si>
  <si>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</si>
  <si>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</si>
  <si>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1143818#1</t>
  </si>
  <si>
    <t>Winco Sa De Cv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</si>
  <si>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</si>
  <si>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</si>
  <si>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</si>
  <si>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</si>
  <si>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</si>
  <si>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</si>
  <si>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</si>
  <si>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</si>
  <si>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</si>
  <si>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</si>
  <si>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4432471#1</t>
  </si>
  <si>
    <t>Gruporovich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</si>
  <si>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</si>
  <si>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</si>
  <si>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</si>
  <si>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</si>
  <si>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</si>
  <si>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</si>
  <si>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</si>
  <si>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</si>
  <si>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</si>
  <si>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</si>
  <si>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4389212#1</t>
  </si>
  <si>
    <t>Masterkitchen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</si>
  <si>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</si>
  <si>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</si>
  <si>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</si>
  <si>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</si>
  <si>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</si>
  <si>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</si>
  <si>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</si>
  <si>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</si>
  <si>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</si>
  <si>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</si>
  <si>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</si>
  <si>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3258593#1</t>
  </si>
  <si>
    <t>3C Metrology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</si>
  <si>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</si>
  <si>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</si>
  <si>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</si>
  <si>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</si>
  <si>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</si>
  <si>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</si>
  <si>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</si>
  <si>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</si>
  <si>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</si>
  <si>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</si>
  <si>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4551466#1</t>
  </si>
  <si>
    <t>Galezagroup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</si>
  <si>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</si>
  <si>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</si>
  <si>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</si>
  <si>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</si>
  <si>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</si>
  <si>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</si>
  <si>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</si>
  <si>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672479#1, 349476#1</t>
  </si>
  <si>
    <t>CHL Ingenieria CORP</t>
  </si>
  <si>
    <t>Duplicated case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</si>
  <si>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</si>
  <si>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</si>
  <si>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</si>
  <si>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</si>
  <si>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</si>
  <si>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</si>
  <si>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</si>
  <si>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</si>
  <si>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</si>
  <si>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4643073#1</t>
  </si>
  <si>
    <t>Prefanahuat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</si>
  <si>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</si>
  <si>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</si>
  <si>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</si>
  <si>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</si>
  <si>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</si>
  <si>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</si>
  <si>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</si>
  <si>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</si>
  <si>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</si>
  <si>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4630887#1</t>
  </si>
  <si>
    <t>Sermagro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</si>
  <si>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</si>
  <si>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</si>
  <si>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</si>
  <si>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</si>
  <si>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</si>
  <si>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</si>
  <si>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</si>
  <si>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</si>
  <si>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</si>
  <si>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2191140#1</t>
  </si>
  <si>
    <t>CEM-JWT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</si>
  <si>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</si>
  <si>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</si>
  <si>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</si>
  <si>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</si>
  <si>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</si>
  <si>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</si>
  <si>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</si>
  <si>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</si>
  <si>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4647371#1</t>
  </si>
  <si>
    <t>Selecom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</si>
  <si>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</si>
  <si>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</si>
  <si>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</si>
  <si>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</si>
  <si>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</si>
  <si>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</si>
  <si>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</si>
  <si>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</si>
  <si>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</si>
  <si>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</si>
  <si>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2445824#2</t>
  </si>
  <si>
    <t>Azucarera La Grecia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</si>
  <si>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</si>
  <si>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</si>
  <si>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</si>
  <si>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</si>
  <si>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</si>
  <si>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</si>
  <si>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</si>
  <si>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</si>
  <si>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4621555#1</t>
  </si>
  <si>
    <t>Arguellesarchitects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</si>
  <si>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</si>
  <si>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</si>
  <si>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</si>
  <si>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</si>
  <si>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</si>
  <si>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</si>
  <si>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</si>
  <si>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</si>
  <si>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</si>
  <si>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</si>
  <si>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</si>
  <si>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</si>
  <si>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</si>
  <si>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</si>
  <si>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</si>
  <si>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</si>
  <si>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</si>
  <si>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</si>
  <si>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</si>
  <si>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</si>
  <si>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</si>
  <si>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</si>
  <si>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</si>
  <si>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</si>
  <si>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</si>
  <si>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</si>
  <si>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</si>
  <si>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</si>
  <si>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</si>
  <si>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</si>
  <si>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</si>
  <si>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</si>
  <si>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</si>
  <si>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</si>
  <si>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</si>
  <si>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</si>
  <si>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</si>
  <si>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</si>
  <si>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</si>
  <si>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</si>
  <si>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</si>
  <si>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</si>
  <si>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</si>
  <si>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</si>
  <si>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</si>
  <si>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</si>
  <si>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</si>
  <si>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</si>
  <si>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</si>
  <si>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</si>
  <si>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</si>
  <si>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</si>
  <si>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</si>
  <si>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</si>
  <si>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</si>
  <si>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</si>
  <si>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</si>
  <si>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</si>
  <si>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</si>
  <si>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</si>
  <si>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</si>
  <si>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</si>
  <si>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</si>
  <si>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</si>
  <si>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</si>
  <si>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</si>
  <si>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</si>
  <si>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</si>
  <si>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</si>
  <si>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</si>
  <si>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</si>
  <si>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</si>
  <si>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</si>
  <si>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</si>
  <si>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</si>
  <si>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</si>
  <si>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</si>
  <si>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</si>
  <si>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</si>
  <si>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</si>
  <si>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</si>
  <si>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</si>
  <si>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</si>
  <si>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</si>
  <si>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</si>
  <si>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</si>
  <si>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</si>
  <si>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</si>
  <si>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</si>
  <si>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</si>
  <si>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</si>
  <si>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</si>
  <si>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</si>
  <si>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</si>
  <si>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</si>
  <si>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</si>
  <si>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</si>
  <si>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</si>
  <si>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</si>
  <si>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</si>
  <si>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</si>
  <si>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</si>
  <si>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</si>
  <si>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</si>
  <si>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</si>
  <si>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</si>
  <si>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</si>
  <si>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</si>
  <si>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</si>
  <si>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</si>
  <si>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</si>
  <si>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</si>
  <si>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</si>
  <si>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</si>
  <si>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</si>
  <si>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</si>
  <si>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</si>
  <si>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</si>
  <si>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</si>
  <si>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</si>
  <si>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</si>
  <si>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</si>
  <si>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</si>
  <si>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</si>
  <si>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</si>
  <si>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</si>
  <si>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</si>
  <si>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</si>
  <si>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</si>
  <si>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</si>
  <si>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</si>
  <si>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</si>
  <si>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</si>
  <si>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</si>
  <si>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</si>
  <si>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</si>
  <si>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</si>
  <si>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</si>
  <si>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</si>
  <si>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</si>
  <si>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</si>
  <si>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</si>
  <si>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</si>
  <si>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</si>
  <si>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</si>
  <si>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</si>
  <si>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</si>
  <si>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</si>
  <si>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</si>
  <si>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</si>
  <si>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</si>
  <si>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</si>
  <si>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</si>
  <si>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</si>
  <si>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</si>
  <si>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</si>
  <si>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</si>
  <si>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</si>
  <si>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</si>
  <si>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</si>
  <si>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</si>
  <si>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</si>
  <si>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</si>
  <si>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</si>
  <si>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</si>
  <si>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</si>
  <si>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</si>
  <si>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</si>
  <si>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</si>
  <si>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</si>
  <si>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</si>
  <si>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</si>
  <si>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</si>
  <si>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</si>
  <si>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</si>
  <si>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</si>
  <si>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</si>
  <si>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</si>
  <si>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</si>
  <si>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</si>
  <si>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</si>
  <si>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</si>
  <si>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</si>
  <si>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</si>
  <si>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</si>
  <si>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</si>
  <si>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</si>
  <si>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</si>
  <si>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</si>
  <si>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</si>
  <si>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</si>
  <si>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</si>
  <si>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</si>
  <si>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</si>
  <si>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</si>
  <si>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</si>
  <si>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</si>
  <si>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</si>
  <si>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</si>
  <si>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</si>
  <si>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</si>
  <si>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</si>
  <si>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</si>
  <si>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</si>
  <si>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</si>
  <si>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</si>
  <si>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</si>
  <si>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</si>
  <si>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</si>
  <si>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</si>
  <si>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</si>
  <si>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</si>
  <si>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</si>
  <si>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</si>
  <si>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</si>
  <si>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</si>
  <si>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</si>
  <si>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</si>
  <si>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</si>
  <si>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</si>
  <si>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</si>
  <si>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</si>
  <si>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</si>
  <si>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</si>
  <si>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</si>
  <si>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</si>
  <si>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</si>
  <si>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</si>
  <si>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</si>
  <si>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</si>
  <si>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</si>
  <si>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</si>
  <si>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</si>
  <si>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</si>
  <si>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</si>
  <si>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</si>
  <si>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</si>
  <si>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</si>
  <si>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</si>
  <si>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</si>
  <si>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</si>
  <si>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</si>
  <si>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</si>
  <si>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</si>
  <si>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</si>
  <si>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</si>
  <si>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</si>
  <si>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</si>
  <si>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</si>
  <si>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</si>
  <si>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</si>
  <si>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</si>
  <si>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</si>
  <si>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</si>
  <si>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</si>
  <si>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</si>
  <si>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</si>
  <si>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</si>
  <si>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</si>
  <si>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</si>
  <si>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</si>
  <si>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</si>
  <si>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</si>
  <si>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</si>
  <si>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</si>
  <si>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</si>
  <si>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</si>
  <si>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</si>
  <si>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</si>
  <si>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</si>
  <si>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</si>
  <si>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</si>
  <si>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</si>
  <si>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</si>
  <si>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</si>
  <si>
    <t>4643399#1</t>
  </si>
  <si>
    <t>Stillframerender</t>
  </si>
  <si>
    <t>3046489#1</t>
  </si>
  <si>
    <t>Instituto Nacional de Desarrollo Rural y de la Tierra (INDERT)</t>
  </si>
  <si>
    <t xml:space="preserve">Case related to Universidad Nacional de Asunción. This entity has another case (ID 722006#1); it was already qualified and launched, but does not have a revenue opportunity. 
This case was reassigned to this entity to engage it as one. </t>
  </si>
  <si>
    <t>4547363#1</t>
  </si>
  <si>
    <t>Tadudesingstudio</t>
  </si>
  <si>
    <t>4598753#1</t>
  </si>
  <si>
    <t>Bacarquitectura</t>
  </si>
  <si>
    <t>3888634#1</t>
  </si>
  <si>
    <t>Black Palm Development Corp.</t>
  </si>
  <si>
    <t>4588269#1</t>
  </si>
  <si>
    <t>Gesfinanciera</t>
  </si>
  <si>
    <t>4647518#1</t>
  </si>
  <si>
    <t>Construccionesintegralescr</t>
  </si>
  <si>
    <t>2037068#1</t>
  </si>
  <si>
    <t>Emyly</t>
  </si>
  <si>
    <t>4537947#1</t>
  </si>
  <si>
    <t>Ferrymac</t>
  </si>
  <si>
    <t>4546353#1</t>
  </si>
  <si>
    <t>Soluvial.cl</t>
  </si>
  <si>
    <t>4596296#1</t>
  </si>
  <si>
    <t>Sensatostudio</t>
  </si>
  <si>
    <t xml:space="preserve"> Disqualified (Data)
</t>
  </si>
  <si>
    <t>4538378#1</t>
  </si>
  <si>
    <t>Ajsolutionsa</t>
  </si>
  <si>
    <t>4531326#1</t>
  </si>
  <si>
    <t>Dcdenergycooling</t>
  </si>
  <si>
    <t>4557618#1</t>
  </si>
  <si>
    <t>Grupo Nacional De Medios</t>
  </si>
  <si>
    <t xml:space="preserve">An additional case related to this entity was identified. Case ID 516421#1. It has to be investigated to launch the entity
</t>
  </si>
  <si>
    <t>4565439#1</t>
  </si>
  <si>
    <t>Decokasastudio</t>
  </si>
  <si>
    <t>4606424#1</t>
  </si>
  <si>
    <t>Automotoraolguin</t>
  </si>
  <si>
    <t>4647279#1</t>
  </si>
  <si>
    <t>Hasaingenieros</t>
  </si>
  <si>
    <t>491717#1</t>
  </si>
  <si>
    <t>Global Intimates</t>
  </si>
  <si>
    <t xml:space="preserve">An additional case related to the entity was identified. Case ID. 285219#2.  It has to be investigated to launch the entity.
</t>
  </si>
  <si>
    <t>4567346#1</t>
  </si>
  <si>
    <t>Rivalcr</t>
  </si>
  <si>
    <t>4649396#1</t>
  </si>
  <si>
    <t>Bajorelieve</t>
  </si>
  <si>
    <t>4544141#1</t>
  </si>
  <si>
    <t>Evita's cabinets</t>
  </si>
  <si>
    <t>1678727#1</t>
  </si>
  <si>
    <t>Segura Julian Matias</t>
  </si>
  <si>
    <t>4485567#1</t>
  </si>
  <si>
    <t>Bzesigns</t>
  </si>
  <si>
    <t>4649170#1</t>
  </si>
  <si>
    <t xml:space="preserve">Cirigliano
</t>
  </si>
  <si>
    <t>4631125#1</t>
  </si>
  <si>
    <t>Alkimiamx</t>
  </si>
  <si>
    <t>711103#1</t>
  </si>
  <si>
    <t>Obrando</t>
  </si>
  <si>
    <t>4602739#1</t>
  </si>
  <si>
    <t>Espaciomura</t>
  </si>
  <si>
    <t>4642084#1</t>
  </si>
  <si>
    <t>Colmena</t>
  </si>
  <si>
    <t>4329205#1</t>
  </si>
  <si>
    <t>FT Williams and Associates</t>
  </si>
  <si>
    <t>4531902#1</t>
  </si>
  <si>
    <t>Esing</t>
  </si>
  <si>
    <t>4639918#1</t>
  </si>
  <si>
    <t>Azulinversioneshn</t>
  </si>
  <si>
    <t>4619433#1</t>
  </si>
  <si>
    <t>Contactusinc</t>
  </si>
  <si>
    <t>1908668#1</t>
  </si>
  <si>
    <t>Clima Development</t>
  </si>
  <si>
    <t>4566628#1</t>
  </si>
  <si>
    <t>Pruebaunivalle</t>
  </si>
  <si>
    <t xml:space="preserve">An additional case related to this entity was identified. Case ID 877848#1.  It has to be investigated to launch the entity.
</t>
  </si>
  <si>
    <t>3586580#1</t>
  </si>
  <si>
    <t>Concrenic</t>
  </si>
  <si>
    <t>4538786#1</t>
  </si>
  <si>
    <t>Geramats</t>
  </si>
  <si>
    <t>4577231#1</t>
  </si>
  <si>
    <t>Basilmx</t>
  </si>
  <si>
    <t>3259214#1, 574394#1</t>
  </si>
  <si>
    <t>Cristian Rodriguez Miranda</t>
  </si>
  <si>
    <t>An additional case was identified and investigated</t>
  </si>
  <si>
    <t>4554074#1</t>
  </si>
  <si>
    <t>ASECSA</t>
  </si>
  <si>
    <t>4608964#1</t>
  </si>
  <si>
    <t>Dotarquitectura</t>
  </si>
  <si>
    <t>4566098#1</t>
  </si>
  <si>
    <t>Bmdsistemas</t>
  </si>
  <si>
    <t>1858096#1, 1792296#1</t>
  </si>
  <si>
    <t>Stop Jeans</t>
  </si>
  <si>
    <t>591418#2</t>
  </si>
  <si>
    <t>Atmosfera</t>
  </si>
  <si>
    <t>4621397#1</t>
  </si>
  <si>
    <t>European Economic Community</t>
  </si>
  <si>
    <t>4539336#1</t>
  </si>
  <si>
    <t>Dipaz</t>
  </si>
  <si>
    <t>4422409#1</t>
  </si>
  <si>
    <t>Adarquitectura</t>
  </si>
  <si>
    <t>4532178#1</t>
  </si>
  <si>
    <t>Multiserviciosgodmart</t>
  </si>
  <si>
    <t xml:space="preserve">4641608#1
</t>
  </si>
  <si>
    <t>Exacta Housing</t>
  </si>
  <si>
    <t>4535822#1</t>
  </si>
  <si>
    <t>Visbeen Architects</t>
  </si>
  <si>
    <t>4535875#1</t>
  </si>
  <si>
    <t>Arquiframme</t>
  </si>
  <si>
    <t>4546580#1</t>
  </si>
  <si>
    <t>Insumatcr</t>
  </si>
  <si>
    <t xml:space="preserve">4536392#1
</t>
  </si>
  <si>
    <t>GH COIN SAC</t>
  </si>
  <si>
    <t>4532350#1</t>
  </si>
  <si>
    <t>Tgamex</t>
  </si>
  <si>
    <t>4568128#1</t>
  </si>
  <si>
    <t>Arteplac</t>
  </si>
  <si>
    <t>4552849#1</t>
  </si>
  <si>
    <t>Spacesaverlatam</t>
  </si>
  <si>
    <t xml:space="preserve">4538187#1
</t>
  </si>
  <si>
    <t>Grupovargu</t>
  </si>
  <si>
    <t>4638342#1</t>
  </si>
  <si>
    <t>Dharius</t>
  </si>
  <si>
    <t>4547359#1</t>
  </si>
  <si>
    <t>As269898</t>
  </si>
  <si>
    <t>4645653#1</t>
  </si>
  <si>
    <t>11desarrollos</t>
  </si>
  <si>
    <t>1928325#1</t>
  </si>
  <si>
    <t>Riboldi Guasti Mauro</t>
  </si>
  <si>
    <t>3405547#1</t>
  </si>
  <si>
    <t>Brilliantmindshn</t>
  </si>
  <si>
    <t>4529979#1</t>
  </si>
  <si>
    <t>Omnitracssa</t>
  </si>
  <si>
    <t>4575435#1</t>
  </si>
  <si>
    <t>Woodinteriorspma</t>
  </si>
  <si>
    <t>4567866#1</t>
  </si>
  <si>
    <t>Tuca</t>
  </si>
  <si>
    <t>4571015#1</t>
  </si>
  <si>
    <t>Ceciliademadonna</t>
  </si>
  <si>
    <t>Additional case for Universidad De Buenos AiresA</t>
  </si>
  <si>
    <t>4606451#1</t>
  </si>
  <si>
    <t>Case Rejected. Entity recently launched.</t>
  </si>
  <si>
    <t>1554504#2</t>
  </si>
  <si>
    <t>Frimont Sa</t>
  </si>
  <si>
    <t>An additional case related to the entity was identified and investigated</t>
  </si>
  <si>
    <t>4549848#1</t>
  </si>
  <si>
    <t>Cmrcimbras</t>
  </si>
  <si>
    <t>4478992#1, 1129100#1</t>
  </si>
  <si>
    <t>Jvconstructor</t>
  </si>
  <si>
    <t>4553745#1</t>
  </si>
  <si>
    <t>Hrcasinopuntacana</t>
  </si>
  <si>
    <t>4474665#1</t>
  </si>
  <si>
    <t>Grupochier</t>
  </si>
  <si>
    <t>4597917#1</t>
  </si>
  <si>
    <t>Dolphoxco</t>
  </si>
  <si>
    <t>Duplicate case, sent back for reinvestigation and contact augmentation</t>
  </si>
  <si>
    <t>4448312#1</t>
  </si>
  <si>
    <t>Lagunasnorte</t>
  </si>
  <si>
    <t>4546810#1</t>
  </si>
  <si>
    <t>Monipetras</t>
  </si>
  <si>
    <t>2068537#2</t>
  </si>
  <si>
    <t>Ffavaloro</t>
  </si>
  <si>
    <t>4600789#1</t>
  </si>
  <si>
    <t>Nuumbra</t>
  </si>
  <si>
    <t>4504033#1</t>
  </si>
  <si>
    <t>Probela La Molina</t>
  </si>
  <si>
    <t>4529496#1</t>
  </si>
  <si>
    <t>Tendenzza Acabados</t>
  </si>
  <si>
    <t>3255332#1</t>
  </si>
  <si>
    <t>Abertecno Tecnologia en Aberturas</t>
  </si>
  <si>
    <t>4567075#1</t>
  </si>
  <si>
    <t>Caev</t>
  </si>
  <si>
    <t>1840584#1</t>
  </si>
  <si>
    <t>Trucks tract USA</t>
  </si>
  <si>
    <t>4546427#1</t>
  </si>
  <si>
    <t>Agrologico</t>
  </si>
  <si>
    <t>4337372#1</t>
  </si>
  <si>
    <t>Plastiferro Tubos SA</t>
  </si>
  <si>
    <t>4597300#1</t>
  </si>
  <si>
    <t>Pireos</t>
  </si>
  <si>
    <t>4488759#1</t>
  </si>
  <si>
    <t>Assaabloy</t>
  </si>
  <si>
    <t>4535501#1</t>
  </si>
  <si>
    <t>Ysintern</t>
  </si>
  <si>
    <t>2323080#1</t>
  </si>
  <si>
    <t>Club Cerro Porteño - Oficial</t>
  </si>
  <si>
    <t>189561#2</t>
  </si>
  <si>
    <t>Enacal</t>
  </si>
  <si>
    <t>4570145#1</t>
  </si>
  <si>
    <t>Bavikon</t>
  </si>
  <si>
    <t>4614486#1</t>
  </si>
  <si>
    <t>Anaaltunadesign</t>
  </si>
  <si>
    <t>Case Rejected. Wifi location too ar to consider part of the company's address. Also no other data was associated with the entity.</t>
  </si>
  <si>
    <t>2514614#1</t>
  </si>
  <si>
    <t>Colortex</t>
  </si>
  <si>
    <t>2418649#1</t>
  </si>
  <si>
    <t>Tecno Lite</t>
  </si>
  <si>
    <t>4448993#1</t>
  </si>
  <si>
    <t>GRUPO MOLICOM</t>
  </si>
  <si>
    <t>4573495#1</t>
  </si>
  <si>
    <t>Pieragregis</t>
  </si>
  <si>
    <t>4440948#1</t>
  </si>
  <si>
    <t>Teco</t>
  </si>
  <si>
    <t>3858152#1</t>
  </si>
  <si>
    <t>Cafesoluble</t>
  </si>
  <si>
    <t>441299#4</t>
  </si>
  <si>
    <t>maquiprocesos</t>
  </si>
  <si>
    <t>4554213#1</t>
  </si>
  <si>
    <t>Grupoasocsa</t>
  </si>
  <si>
    <t>4527743#1</t>
  </si>
  <si>
    <t>Casafacil2024</t>
  </si>
  <si>
    <t>1084322#3</t>
  </si>
  <si>
    <t>Centro CAD Nicaragua</t>
  </si>
  <si>
    <t>2446667#2</t>
  </si>
  <si>
    <t>Industrias Altos Sociedad Anonima Cerrada</t>
  </si>
  <si>
    <t>4552471#1</t>
  </si>
  <si>
    <t>Grupodalbast</t>
  </si>
  <si>
    <t>4402198#1</t>
  </si>
  <si>
    <t>Salum &amp; Wenz Constructora</t>
  </si>
  <si>
    <t>This entity was assigned to Kasznar.</t>
  </si>
  <si>
    <t>576639#1</t>
  </si>
  <si>
    <t>Zegesa</t>
  </si>
  <si>
    <t>4294850#1</t>
  </si>
  <si>
    <t>INTEGRA RETAIL</t>
  </si>
  <si>
    <t>4641439#1</t>
  </si>
  <si>
    <t>Pmodernos</t>
  </si>
  <si>
    <t>4442904#1</t>
  </si>
  <si>
    <t>Amalgama S A</t>
  </si>
  <si>
    <t>4576429#1</t>
  </si>
  <si>
    <t>Tilde Studio</t>
  </si>
  <si>
    <t>4546586#1</t>
  </si>
  <si>
    <t>Kaizen360pe</t>
  </si>
  <si>
    <t>4601828#1</t>
  </si>
  <si>
    <t>Primelivingcr</t>
  </si>
  <si>
    <t>991036#1</t>
  </si>
  <si>
    <t>Ramada Buenos Aires hotel</t>
  </si>
  <si>
    <t>4384525#1</t>
  </si>
  <si>
    <t>Ramac</t>
  </si>
  <si>
    <t>2145417#1</t>
  </si>
  <si>
    <t>Ultramodular</t>
  </si>
  <si>
    <t>4649179#1</t>
  </si>
  <si>
    <t>Reactiveart</t>
  </si>
  <si>
    <t>4477790#1</t>
  </si>
  <si>
    <t>Lumierearquitectura</t>
  </si>
  <si>
    <t>An additional case related to the entity was identified and investigated. 3+ machines in total.</t>
  </si>
  <si>
    <t>552169#1</t>
  </si>
  <si>
    <t>Ricardo Esteban Castellon Bogran</t>
  </si>
  <si>
    <t>878469#1</t>
  </si>
  <si>
    <t>Miranda Arquitectos</t>
  </si>
  <si>
    <t>4544941#1</t>
  </si>
  <si>
    <t>Technofruits - STAR</t>
  </si>
  <si>
    <t>3585492#1</t>
  </si>
  <si>
    <t>ASM Construcciones</t>
  </si>
  <si>
    <t>4587314#1</t>
  </si>
  <si>
    <t>Opuscenter</t>
  </si>
  <si>
    <t>4615441#1</t>
  </si>
  <si>
    <t>Prodemco</t>
  </si>
  <si>
    <t>4536103#1</t>
  </si>
  <si>
    <t>Termovoltcr</t>
  </si>
  <si>
    <t>4649784#1</t>
  </si>
  <si>
    <t>Vialterra</t>
  </si>
  <si>
    <t>1264286#1</t>
  </si>
  <si>
    <t>Expo Imagen Hn</t>
  </si>
  <si>
    <t>1714541#1</t>
  </si>
  <si>
    <t>Thomasjefferson</t>
  </si>
  <si>
    <t>4577920#1</t>
  </si>
  <si>
    <t>Urbanaconstructora</t>
  </si>
  <si>
    <t>4570806#1</t>
  </si>
  <si>
    <t>Transportes Rolitrans S.A.</t>
  </si>
  <si>
    <t xml:space="preserve">526888#1
</t>
  </si>
  <si>
    <t>Noma</t>
  </si>
  <si>
    <t>4609791#1</t>
  </si>
  <si>
    <t>Wave Arquitectura</t>
  </si>
  <si>
    <t>4605702#1</t>
  </si>
  <si>
    <t>Yasgroupsrl</t>
  </si>
  <si>
    <t>4649780#1</t>
  </si>
  <si>
    <t>Sittca</t>
  </si>
  <si>
    <t>4319853#1</t>
  </si>
  <si>
    <t>Slacorp</t>
  </si>
  <si>
    <t>610537#1</t>
  </si>
  <si>
    <t>Tecinci</t>
  </si>
  <si>
    <t xml:space="preserve">Case disqualified, not enough data or information in recent events.
</t>
  </si>
  <si>
    <t>4604498#1</t>
  </si>
  <si>
    <t>Ihsa</t>
  </si>
  <si>
    <t>4643866#1</t>
  </si>
  <si>
    <t>Hbianchi</t>
  </si>
  <si>
    <t>2416836#1</t>
  </si>
  <si>
    <t>SMARTSOLAR</t>
  </si>
  <si>
    <t>1347373#1</t>
  </si>
  <si>
    <t>Bioquimica.cl</t>
  </si>
  <si>
    <t xml:space="preserve">Not enough recent cases.
</t>
  </si>
  <si>
    <t>4649558#1</t>
  </si>
  <si>
    <t>Indethn</t>
  </si>
  <si>
    <t>Too little entity information with no online prescence to verify profile. Added Watch List tag for future observation.</t>
  </si>
  <si>
    <t>4212196#1</t>
  </si>
  <si>
    <t>Ifssac</t>
  </si>
  <si>
    <t>4528943#1</t>
  </si>
  <si>
    <t>Construccionescct</t>
  </si>
  <si>
    <t>2392382#1</t>
  </si>
  <si>
    <t>Cobitat</t>
  </si>
  <si>
    <t>4571281#1</t>
  </si>
  <si>
    <t>Rimgas</t>
  </si>
  <si>
    <t>4610393#1</t>
  </si>
  <si>
    <t>Ingomar - Soluciones en Caucho</t>
  </si>
  <si>
    <t>4589085#1</t>
  </si>
  <si>
    <t>Omeinteriors</t>
  </si>
  <si>
    <t>3867287#1</t>
  </si>
  <si>
    <t>Gomez Roco</t>
  </si>
  <si>
    <t>4570421#1</t>
  </si>
  <si>
    <t>Lera</t>
  </si>
  <si>
    <t>Reincidencia</t>
  </si>
  <si>
    <t>4573944#1</t>
  </si>
  <si>
    <t>Laposta</t>
  </si>
  <si>
    <t>4562412#1</t>
  </si>
  <si>
    <t>Aesarquitectos</t>
  </si>
  <si>
    <t>1329080#1</t>
  </si>
  <si>
    <t>EXO S.A. - Soluciones Tecnológicas</t>
  </si>
  <si>
    <t>4536853#1</t>
  </si>
  <si>
    <t>Integralad</t>
  </si>
  <si>
    <t>4605286#1</t>
  </si>
  <si>
    <t>Grupoancon</t>
  </si>
  <si>
    <t>1830401#2</t>
  </si>
  <si>
    <t>DelCampo School</t>
  </si>
  <si>
    <t>2394114#1</t>
  </si>
  <si>
    <t>Carpeal</t>
  </si>
  <si>
    <t>4638288#1</t>
  </si>
  <si>
    <t>Saladinmiller</t>
  </si>
  <si>
    <t>4592585#1</t>
  </si>
  <si>
    <t>Logyca</t>
  </si>
  <si>
    <t>2356325#2</t>
  </si>
  <si>
    <t>Grupo Fortezza</t>
  </si>
  <si>
    <t>4543458#1</t>
  </si>
  <si>
    <t>Cospb</t>
  </si>
  <si>
    <t>Nonprofit</t>
  </si>
  <si>
    <t>4641218#1</t>
  </si>
  <si>
    <t>Roel</t>
  </si>
  <si>
    <t>4643293#1</t>
  </si>
  <si>
    <t>MUEBLES GL SAC</t>
  </si>
  <si>
    <t>4576242#1</t>
  </si>
  <si>
    <t>Echegarayarquitectos</t>
  </si>
  <si>
    <t>4590983#1</t>
  </si>
  <si>
    <t>Filabe</t>
  </si>
  <si>
    <t>4579597#1</t>
  </si>
  <si>
    <t>Figurati</t>
  </si>
  <si>
    <t>4544508#1</t>
  </si>
  <si>
    <t>Ofinova</t>
  </si>
  <si>
    <t>534433#1</t>
  </si>
  <si>
    <t>Discover</t>
  </si>
  <si>
    <t>3876430#1</t>
  </si>
  <si>
    <t>Santateresita</t>
  </si>
  <si>
    <t>4620619#1</t>
  </si>
  <si>
    <t>Hidasa</t>
  </si>
  <si>
    <t>4627065#1</t>
  </si>
  <si>
    <t>Mmaarq</t>
  </si>
  <si>
    <t>4550240#1</t>
  </si>
  <si>
    <t>Corporacionmac</t>
  </si>
  <si>
    <t>2446700#3</t>
  </si>
  <si>
    <t>C.E.P. Santa Maria De Brena E.I.R.L.</t>
  </si>
  <si>
    <t>4579816#1</t>
  </si>
  <si>
    <t>Mirarquitectos</t>
  </si>
  <si>
    <t>2286559#2</t>
  </si>
  <si>
    <t>Prochap</t>
  </si>
  <si>
    <t xml:space="preserve">4567048#1
</t>
  </si>
  <si>
    <t>ModularA01</t>
  </si>
  <si>
    <t>1264047#1</t>
  </si>
  <si>
    <t>Frigerio Nelson Horacio</t>
  </si>
  <si>
    <t>4637315#1</t>
  </si>
  <si>
    <t>Ajiza</t>
  </si>
  <si>
    <t>4524163#1</t>
  </si>
  <si>
    <t>Oriontis</t>
  </si>
  <si>
    <t>1999370#1</t>
  </si>
  <si>
    <t>BTL Marketing</t>
  </si>
  <si>
    <t>1843590#1</t>
  </si>
  <si>
    <t>Andariega SRL</t>
  </si>
  <si>
    <t>4606823#1</t>
  </si>
  <si>
    <t>Grupomayasv</t>
  </si>
  <si>
    <t>4470575#1</t>
  </si>
  <si>
    <t>Dearcos</t>
  </si>
  <si>
    <t>607749#1</t>
  </si>
  <si>
    <t>Contempo Casa</t>
  </si>
  <si>
    <t>1629451#1</t>
  </si>
  <si>
    <t>ISCOT Services</t>
  </si>
  <si>
    <t>4580317#1</t>
  </si>
  <si>
    <t>Voidtechdr</t>
  </si>
  <si>
    <t>4529099#1</t>
  </si>
  <si>
    <t>Construtex</t>
  </si>
  <si>
    <t>236423#2</t>
  </si>
  <si>
    <t>Emycsa</t>
  </si>
  <si>
    <t>2308890#1</t>
  </si>
  <si>
    <t>Bestchem</t>
  </si>
  <si>
    <t>4546618#1</t>
  </si>
  <si>
    <t>Marcasastrales</t>
  </si>
  <si>
    <t>4365646#1</t>
  </si>
  <si>
    <t>XBRI Cubiertas</t>
  </si>
  <si>
    <t>482192#1</t>
  </si>
  <si>
    <t>INMARK</t>
  </si>
  <si>
    <t>902412#1</t>
  </si>
  <si>
    <t>Alubrysl</t>
  </si>
  <si>
    <t>4588751#1</t>
  </si>
  <si>
    <t>Carpentercord</t>
  </si>
  <si>
    <t>4507688#1</t>
  </si>
  <si>
    <t>Angapet</t>
  </si>
  <si>
    <t>1744348#1</t>
  </si>
  <si>
    <t>Edson Simeon</t>
  </si>
  <si>
    <t>1101658#1</t>
  </si>
  <si>
    <t>Plastigas Mar del Plata SA</t>
  </si>
  <si>
    <t>4550506#1</t>
  </si>
  <si>
    <t>Uhi</t>
  </si>
  <si>
    <t>982008#1</t>
  </si>
  <si>
    <t>Ximena Ximenez</t>
  </si>
  <si>
    <t>582377#1</t>
  </si>
  <si>
    <t>Newcity Residencial</t>
  </si>
  <si>
    <t>2143072#1</t>
  </si>
  <si>
    <t>suministro de obras</t>
  </si>
  <si>
    <t>4531814#1</t>
  </si>
  <si>
    <t>Decoarq</t>
  </si>
  <si>
    <t>4320677#1</t>
  </si>
  <si>
    <t>Blindajesecurity</t>
  </si>
  <si>
    <t>4427744#1</t>
  </si>
  <si>
    <t>Off365</t>
  </si>
  <si>
    <t>942879#1</t>
  </si>
  <si>
    <t>MoRPH Argentina</t>
  </si>
  <si>
    <t>4614596#1</t>
  </si>
  <si>
    <t>Grupologospty</t>
  </si>
  <si>
    <t>4572126#1</t>
  </si>
  <si>
    <t>Mueblesdontonino</t>
  </si>
  <si>
    <t>4383518#1</t>
  </si>
  <si>
    <t>Emcose</t>
  </si>
  <si>
    <t>1746171#1</t>
  </si>
  <si>
    <t>ARS Technologies</t>
  </si>
  <si>
    <t>4593073#1</t>
  </si>
  <si>
    <t>Sidcof</t>
  </si>
  <si>
    <t>4648597#1</t>
  </si>
  <si>
    <t>Sclem</t>
  </si>
  <si>
    <t>189320#2</t>
  </si>
  <si>
    <t>Dinant</t>
  </si>
  <si>
    <t>Case disqualified (Date)</t>
  </si>
  <si>
    <t>1209330#1</t>
  </si>
  <si>
    <t>Construcmaderas</t>
  </si>
  <si>
    <t>4539775#1</t>
  </si>
  <si>
    <t>Almadasa</t>
  </si>
  <si>
    <t>4608461#1</t>
  </si>
  <si>
    <t>Tarsingenieria</t>
  </si>
  <si>
    <t>2249841#1,1475835#1</t>
  </si>
  <si>
    <t>Intur</t>
  </si>
  <si>
    <t>An additional case related to the entity was identified and investigated. Case ID 1475835#1.</t>
  </si>
  <si>
    <t>1143647#1</t>
  </si>
  <si>
    <t>Huge</t>
  </si>
  <si>
    <t>4553522#1</t>
  </si>
  <si>
    <t>Textufil S.A. de C.V.</t>
  </si>
  <si>
    <t>4644969#1</t>
  </si>
  <si>
    <t>Tmimza</t>
  </si>
  <si>
    <t>1069552#1</t>
  </si>
  <si>
    <t>Zibza Arquitectos</t>
  </si>
  <si>
    <t>752966#2</t>
  </si>
  <si>
    <t>Intenisa</t>
  </si>
  <si>
    <t>4575378#1</t>
  </si>
  <si>
    <t>Constructoramedina</t>
  </si>
  <si>
    <t>4595260#1</t>
  </si>
  <si>
    <t>Vanguardia</t>
  </si>
  <si>
    <t>1909411#1, 1692352#1</t>
  </si>
  <si>
    <t>Pucom</t>
  </si>
  <si>
    <t>3048020#1</t>
  </si>
  <si>
    <t>Ola</t>
  </si>
  <si>
    <t>4557499#1</t>
  </si>
  <si>
    <t>Rimora</t>
  </si>
  <si>
    <t>4426903#1</t>
  </si>
  <si>
    <t>Scout</t>
  </si>
  <si>
    <t>2475237#1</t>
  </si>
  <si>
    <t>PREFACERO</t>
  </si>
  <si>
    <t>1548843#1</t>
  </si>
  <si>
    <t>Blau</t>
  </si>
  <si>
    <t>4547687#1</t>
  </si>
  <si>
    <t>Apestegui Blair Consultores</t>
  </si>
  <si>
    <t>4599603#1</t>
  </si>
  <si>
    <t>US Open</t>
  </si>
  <si>
    <t>4252252#1</t>
  </si>
  <si>
    <t>Pintropical</t>
  </si>
  <si>
    <t>1748428#2</t>
  </si>
  <si>
    <t>todoloquebusco</t>
  </si>
  <si>
    <t>4644128#1</t>
  </si>
  <si>
    <t>Terbol S.A. Cochabamba</t>
  </si>
  <si>
    <t>970488#1</t>
  </si>
  <si>
    <t>Arquiterrac</t>
  </si>
  <si>
    <t>1591630#1</t>
  </si>
  <si>
    <t>Uniples S.A.</t>
  </si>
  <si>
    <t>4631260#1</t>
  </si>
  <si>
    <t>Mvicente</t>
  </si>
  <si>
    <t>1940957#3</t>
  </si>
  <si>
    <t>Pan American Silver</t>
  </si>
  <si>
    <t>533004#3</t>
  </si>
  <si>
    <t>Redcol S.A.</t>
  </si>
  <si>
    <t>4577495#1</t>
  </si>
  <si>
    <t>Cambiofacilecuador</t>
  </si>
  <si>
    <t>1099111#1</t>
  </si>
  <si>
    <t>Cooperativa de Electrificacion Rural de Alfaro Ruiz R.L.</t>
  </si>
  <si>
    <t xml:space="preserve">Cooperatives are constituted as non-profit entities. Also, this organization, among its activities, operates as an ISP.
</t>
  </si>
  <si>
    <t>1023639#1</t>
  </si>
  <si>
    <t>Ecuavisa</t>
  </si>
  <si>
    <t>4649776#1</t>
  </si>
  <si>
    <t>Coripuno</t>
  </si>
  <si>
    <t>1033113#1</t>
  </si>
  <si>
    <t>Veyco</t>
  </si>
  <si>
    <t>1414832#1</t>
  </si>
  <si>
    <t>Apeec</t>
  </si>
  <si>
    <t>4614599#1</t>
  </si>
  <si>
    <t>Xtendo</t>
  </si>
  <si>
    <t>2922574#1</t>
  </si>
  <si>
    <t>Addison House Panama</t>
  </si>
  <si>
    <t>1477809#1</t>
  </si>
  <si>
    <t>Sinergiagrupo</t>
  </si>
  <si>
    <t>Last event 2023, not valid. Disqualified.</t>
  </si>
  <si>
    <t>4529943#1</t>
  </si>
  <si>
    <t>Stanco</t>
  </si>
  <si>
    <t>482307#1</t>
  </si>
  <si>
    <t>Arqge Arquitectos SRL</t>
  </si>
  <si>
    <t xml:space="preserve">4648684#1
</t>
  </si>
  <si>
    <t>Miranda Arquitectos Peru</t>
  </si>
  <si>
    <t>1495029#1</t>
  </si>
  <si>
    <t>Pvarquitectura</t>
  </si>
  <si>
    <t>4334064#1</t>
  </si>
  <si>
    <t>Elmntosarquitectura</t>
  </si>
  <si>
    <t>891797#1</t>
  </si>
  <si>
    <t>Benito Roggio e Hijos S.A Paraguay</t>
  </si>
  <si>
    <t>3874134#1</t>
  </si>
  <si>
    <t>Relievetaller</t>
  </si>
  <si>
    <t>4405275#1</t>
  </si>
  <si>
    <t>Masconstructora</t>
  </si>
  <si>
    <t>Multiple Cases (Linked to a LOST case with recent events)</t>
  </si>
  <si>
    <t>1105168#1</t>
  </si>
  <si>
    <t xml:space="preserve">Benito Roggio e Hijos S.A  </t>
  </si>
  <si>
    <t>414142#2</t>
  </si>
  <si>
    <t>Organicacwd</t>
  </si>
  <si>
    <t>1548654#1</t>
  </si>
  <si>
    <t>Duodesignlatam</t>
  </si>
  <si>
    <t>1193653#1</t>
  </si>
  <si>
    <t>Lihue Ingenieria S A</t>
  </si>
  <si>
    <t>4648224#1</t>
  </si>
  <si>
    <t>Linseg</t>
  </si>
  <si>
    <t xml:space="preserve">655587#1
</t>
  </si>
  <si>
    <t>Estudioca</t>
  </si>
  <si>
    <t>RO Status Closed - Not Won (Exhausted) with new machines and events</t>
  </si>
  <si>
    <t>4319245#1</t>
  </si>
  <si>
    <t>Mantovana</t>
  </si>
  <si>
    <t>4641773#1</t>
  </si>
  <si>
    <t>Munozconstruye</t>
  </si>
  <si>
    <t>4390615#1</t>
  </si>
  <si>
    <t>Cohenarchitecture</t>
  </si>
  <si>
    <t>1856715#1</t>
  </si>
  <si>
    <t>Rowa S A</t>
  </si>
  <si>
    <t>4576392#1</t>
  </si>
  <si>
    <t>Ironblack</t>
  </si>
  <si>
    <t>4427483#1</t>
  </si>
  <si>
    <t>Dfsolucionescr</t>
  </si>
  <si>
    <t>448954#1</t>
  </si>
  <si>
    <t>Arke</t>
  </si>
  <si>
    <t>4645418#1</t>
  </si>
  <si>
    <t>Faenzaipc</t>
  </si>
  <si>
    <t>879806#1</t>
  </si>
  <si>
    <t>Christian Gomez Espa~a collignon</t>
  </si>
  <si>
    <t>Ruvixx Strategic Old Accounts (recent events; RO Status NOT WON LOST)</t>
  </si>
  <si>
    <t>3049438#1</t>
  </si>
  <si>
    <t>Laham Nicolas Simon</t>
  </si>
  <si>
    <t>4531050#1</t>
  </si>
  <si>
    <t>Constructorasoarco</t>
  </si>
  <si>
    <t>2243817#1</t>
  </si>
  <si>
    <t>Arquifoamgt</t>
  </si>
  <si>
    <t>Multiplied case - Ruvixx Strategic Old Accounts</t>
  </si>
  <si>
    <t>715742#1</t>
  </si>
  <si>
    <t>ROSART Eirl</t>
  </si>
  <si>
    <t>4645429#1</t>
  </si>
  <si>
    <t>Concegua</t>
  </si>
  <si>
    <t>2294246#1</t>
  </si>
  <si>
    <t>Programática de Costa Rica S.A.</t>
  </si>
  <si>
    <t>4366325#1</t>
  </si>
  <si>
    <t>Admdalvian</t>
  </si>
  <si>
    <t>4414594#1</t>
  </si>
  <si>
    <t>Siderurgica Del Occidente S.A. Sidoc S.A</t>
  </si>
  <si>
    <t>3802131#2</t>
  </si>
  <si>
    <t>Desarrollo Y Nutricion Animal</t>
  </si>
  <si>
    <t>4551859#1</t>
  </si>
  <si>
    <t>Alcasrl</t>
  </si>
  <si>
    <t>4570499#1</t>
  </si>
  <si>
    <t>Kwparaguay</t>
  </si>
  <si>
    <t>3402597#1</t>
  </si>
  <si>
    <t>Prepanama</t>
  </si>
  <si>
    <t>4527503#1</t>
  </si>
  <si>
    <t>Cucina Ideale</t>
  </si>
  <si>
    <t>454344#1</t>
  </si>
  <si>
    <t>Cortinaje by Angel Cabrera</t>
  </si>
  <si>
    <t>2222172#2</t>
  </si>
  <si>
    <t>Omnitronic S.A.</t>
  </si>
  <si>
    <t>1346636#1</t>
  </si>
  <si>
    <t>MINILUX</t>
  </si>
  <si>
    <t>4216035#1</t>
  </si>
  <si>
    <t>Solrealgroup</t>
  </si>
  <si>
    <t>2189826#1</t>
  </si>
  <si>
    <t>Grupo MDay</t>
  </si>
  <si>
    <t>3867326#1</t>
  </si>
  <si>
    <t>Clipconsultora</t>
  </si>
  <si>
    <t>1451853#2</t>
  </si>
  <si>
    <t>SCH ConsultorÃ­a y ConstrucciÃ³n</t>
  </si>
  <si>
    <t>2353931#1</t>
  </si>
  <si>
    <t>Palma Orlando Agustin</t>
  </si>
  <si>
    <t>2074614#1</t>
  </si>
  <si>
    <t>Ekore</t>
  </si>
  <si>
    <t>593940#1</t>
  </si>
  <si>
    <t>Cb2arq</t>
  </si>
  <si>
    <t>1265310#1</t>
  </si>
  <si>
    <t>CScreatividad Stands</t>
  </si>
  <si>
    <t>4406430#1</t>
  </si>
  <si>
    <t>Estudioclio</t>
  </si>
  <si>
    <t>1347606#1</t>
  </si>
  <si>
    <t>Sandiego</t>
  </si>
  <si>
    <t>1061146#1</t>
  </si>
  <si>
    <t>ENGINEERING S.A.</t>
  </si>
  <si>
    <t>4386543#1</t>
  </si>
  <si>
    <t>Industrias Merlet S.A. De C.V</t>
  </si>
  <si>
    <t>798135#1</t>
  </si>
  <si>
    <t>UNIBER</t>
  </si>
  <si>
    <t>4512570#1</t>
  </si>
  <si>
    <t>Rubbersrl</t>
  </si>
  <si>
    <t>4333772#1</t>
  </si>
  <si>
    <t>Rosul</t>
  </si>
  <si>
    <t>1793643#1</t>
  </si>
  <si>
    <t>Perfilsrl</t>
  </si>
  <si>
    <t>4565007#1</t>
  </si>
  <si>
    <t>Palyga</t>
  </si>
  <si>
    <t>4515528#1</t>
  </si>
  <si>
    <t>Pulsoarquitectura</t>
  </si>
  <si>
    <t>1362150#1</t>
  </si>
  <si>
    <t>CLC Arquitectos</t>
  </si>
  <si>
    <t>4600761#1</t>
  </si>
  <si>
    <t>Creardiseno</t>
  </si>
  <si>
    <t>1793331#1</t>
  </si>
  <si>
    <t>ISAD, S.A.</t>
  </si>
  <si>
    <t>1261839#1</t>
  </si>
  <si>
    <t>Norfor SA</t>
  </si>
  <si>
    <t>4649350#1</t>
  </si>
  <si>
    <t>Ingenieriabadran</t>
  </si>
  <si>
    <t>3900448#1</t>
  </si>
  <si>
    <t>Metalicaimperio</t>
  </si>
  <si>
    <t>1025747#1</t>
  </si>
  <si>
    <t>Urbano Express Argentina S.A.</t>
  </si>
  <si>
    <t>4648292#1</t>
  </si>
  <si>
    <t>Tcisa</t>
  </si>
  <si>
    <t>932564#1</t>
  </si>
  <si>
    <t>Plastikito</t>
  </si>
  <si>
    <t>4609793#1</t>
  </si>
  <si>
    <t>Primer Piso Arquitectos</t>
  </si>
  <si>
    <t>334515#3</t>
  </si>
  <si>
    <t>Gisan Group Sas</t>
  </si>
  <si>
    <t>4609792#1</t>
  </si>
  <si>
    <t>HDC Arquitectura</t>
  </si>
  <si>
    <t>4524312#1</t>
  </si>
  <si>
    <t>Dypsagroup</t>
  </si>
  <si>
    <t>1739414#2</t>
  </si>
  <si>
    <t>Dalcor Sac</t>
  </si>
  <si>
    <t>380099#1</t>
  </si>
  <si>
    <t>Colcar Merbus</t>
  </si>
  <si>
    <t>4633384#1</t>
  </si>
  <si>
    <t>079velonet</t>
  </si>
  <si>
    <t xml:space="preserve">Cooperatives are constituted as non-profit entities.
</t>
  </si>
  <si>
    <t>4567420#1</t>
  </si>
  <si>
    <t>Grupo</t>
  </si>
  <si>
    <t>Re launch</t>
  </si>
  <si>
    <t>3885743#1</t>
  </si>
  <si>
    <t>Metrocubico</t>
  </si>
  <si>
    <t>4546369#1</t>
  </si>
  <si>
    <t>Frigoconcepcion</t>
  </si>
  <si>
    <t>4649451#1</t>
  </si>
  <si>
    <t>Gapper</t>
  </si>
  <si>
    <t>4523042#1</t>
  </si>
  <si>
    <t>ICE INGENIEROS S.A.</t>
  </si>
  <si>
    <t>4538827#1</t>
  </si>
  <si>
    <t>Madenco</t>
  </si>
  <si>
    <t>4608487#1</t>
  </si>
  <si>
    <t>Manterolainteriorismo</t>
  </si>
  <si>
    <t>4578574#1</t>
  </si>
  <si>
    <t>Menesesvaldes</t>
  </si>
  <si>
    <t>4569417#1</t>
  </si>
  <si>
    <t>Mrree</t>
  </si>
  <si>
    <t>4594832#1</t>
  </si>
  <si>
    <t>Larutadelagarnacha</t>
  </si>
  <si>
    <t>4589972#1</t>
  </si>
  <si>
    <t>Bmsingenieros</t>
  </si>
  <si>
    <t>4594538#1</t>
  </si>
  <si>
    <t>Studio2arquitectos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</si>
</sst>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1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  <border>
      <left style="thin">
        <color rgb="FFFFF2CC"/>
      </left>
      <right style="thin">
        <color rgb="FFFFF2CC"/>
      </right>
      <top style="thin">
        <color rgb="FFFFF2CC"/>
      </top>
      <bottom style="thin">
        <color rgb="FFFFF2CC"/>
      </bottom>
    </border>
  </borders>
  <cellStyleXfs count="1">
    <xf borderId="0" fillId="0" fontId="0" numFmtId="0" applyAlignment="1" applyFont="1"/>
  </cellStyleXfs>
  <cellXfs count="51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0" fontId="41" numFmtId="49" xfId="0" applyAlignment="1" applyFont="1" applyNumberFormat="1">
      <alignment horizontal="center" readingOrder="0" shrinkToFit="0" vertical="bottom" wrapText="0"/>
    </xf>
    <xf borderId="0" fillId="12" fontId="39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40" numFmtId="0" xfId="0" applyAlignment="1" applyBorder="1" applyFont="1">
      <alignment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3" fillId="0" fontId="40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12" fontId="16" numFmtId="49" xfId="0" applyAlignment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30" fillId="16" fontId="31" numFmtId="49" xfId="0" applyAlignment="1" applyBorder="1" applyFont="1" applyNumberFormat="1">
      <alignment shrinkToFit="0" vertical="center" wrapText="0"/>
    </xf>
    <xf borderId="10" fillId="0" fontId="31" numFmtId="0" xfId="0" applyAlignment="1" applyBorder="1" applyFont="1">
      <alignment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0" fillId="12" fontId="16" numFmtId="49" xfId="0" applyAlignment="1" applyFont="1" applyNumberFormat="1">
      <alignment readingOrder="0" shrinkToFit="0" vertical="center" wrapText="0"/>
    </xf>
    <xf borderId="5" fillId="17" fontId="31" numFmtId="0" xfId="0" applyAlignment="1" applyBorder="1" applyFont="1">
      <alignment shrinkToFit="0" vertical="center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shrinkToFit="0" vertical="center" wrapText="1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5" fillId="0" fontId="6" numFmtId="0" xfId="0" applyAlignment="1" applyBorder="1" applyFon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5" fillId="12" fontId="31" numFmtId="0" xfId="0" applyAlignment="1" applyBorder="1" applyFont="1">
      <alignment readingOrder="0"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27" fillId="0" fontId="31" numFmtId="164" xfId="0" applyAlignment="1" applyBorder="1" applyFont="1" applyNumberFormat="1">
      <alignment horizontal="right" shrinkToFit="0" vertical="center" wrapText="0"/>
    </xf>
    <xf borderId="28" fillId="0" fontId="31" numFmtId="164" xfId="0" applyAlignment="1" applyBorder="1" applyFont="1" applyNumberFormat="1">
      <alignment horizontal="right"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3" fillId="12" fontId="31" numFmtId="49" xfId="0" applyAlignment="1" applyBorder="1" applyFont="1" applyNumberFormat="1">
      <alignment readingOrder="0" shrinkToFit="0" vertical="center" wrapText="0"/>
    </xf>
    <xf borderId="3" fillId="17" fontId="31" numFmtId="49" xfId="0" applyAlignment="1" applyBorder="1" applyFont="1" applyNumberFormat="1">
      <alignment horizontal="left" shrinkToFit="0" vertical="center" wrapText="0"/>
    </xf>
    <xf borderId="5" fillId="12" fontId="31" numFmtId="49" xfId="0" applyAlignment="1" applyBorder="1" applyFont="1" applyNumberFormat="1">
      <alignment horizontal="left" shrinkToFit="0" vertical="center" wrapText="0"/>
    </xf>
    <xf borderId="0" fillId="0" fontId="41" numFmtId="49" xfId="0" applyAlignment="1" applyFont="1" applyNumberFormat="1">
      <alignment horizontal="left" readingOrder="0" shrinkToFit="0" vertical="bottom" wrapText="0"/>
    </xf>
    <xf borderId="12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readingOrder="0" shrinkToFit="0" vertical="center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10" fillId="0" fontId="6" numFmtId="49" xfId="0" applyAlignment="1" applyBorder="1" applyFont="1" applyNumberFormat="1">
      <alignment readingOrder="0" shrinkToFit="0" vertical="center" wrapText="0"/>
    </xf>
    <xf borderId="3" fillId="12" fontId="40" numFmtId="49" xfId="0" applyAlignment="1" applyBorder="1" applyFont="1" applyNumberFormat="1">
      <alignment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26" fillId="2" fontId="31" numFmtId="164" xfId="0" applyAlignment="1" applyBorder="1" applyFont="1" applyNumberFormat="1">
      <alignment horizontal="right"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0" xfId="0" applyAlignment="1" applyFont="1">
      <alignment readingOrder="0" shrinkToFit="0" vertical="center" wrapText="0"/>
    </xf>
    <xf borderId="0" fillId="2" fontId="2" numFmtId="0" xfId="0" applyAlignment="1" applyFont="1">
      <alignment horizontal="center" readingOrder="0" shrinkToFit="0" vertical="center" wrapText="0"/>
    </xf>
    <xf borderId="29" fillId="0" fontId="31" numFmtId="0" xfId="0" applyAlignment="1" applyBorder="1" applyFont="1">
      <alignment shrinkToFit="0" vertical="center" wrapText="0"/>
    </xf>
    <xf borderId="0" fillId="0" fontId="15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15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  <dxf>
      <font/>
      <fill>
        <patternFill patternType="solid">
          <fgColor rgb="FFD6CFE1"/>
          <bgColor rgb="FFD6CFE1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5" pivot="0" name="June-style 3">
      <tableStyleElement dxfId="7" type="headerRow"/>
      <tableStyleElement dxfId="3" type="firstRowStripe"/>
      <tableStyleElement dxfId="4" type="secondRowStripe"/>
      <tableStyleElement dxfId="14" type="totalRow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3d7b563a-c3c4-47b7-9146-8580ca3bbbb5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d v="2026-06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4630213#1"/>
        <s v="589312#1"/>
        <s v="792073#1"/>
        <s v="1871329#1"/>
        <s v="1143818#1"/>
        <s v="4432471#1"/>
        <s v="4389212#1"/>
        <s v="3258593#1"/>
        <s v="4551466#1"/>
        <s v="672479#1, 349476#1"/>
        <s v="4643073#1"/>
        <s v="4630887#1"/>
        <s v="2191140#1"/>
        <s v="4647371#1"/>
        <s v="2445824#2"/>
        <s v="4621555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rovettodesign"/>
        <s v="Olofpalme"/>
        <s v="Arte Casa"/>
        <s v="Novis Corp"/>
        <s v="Winco Sa De Cv"/>
        <s v="Gruporovich"/>
        <s v="Masterkitchen"/>
        <s v="3C Metrology"/>
        <s v="Galezagroup"/>
        <s v="CHL Ingenieria CORP"/>
        <s v="Prefanahuat"/>
        <s v="Sermagro"/>
        <s v="CEM-JWT"/>
        <s v="Selecom"/>
        <s v="Azucarera La Grecia"/>
        <s v="Arguellesarchitect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  <s v="Belize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Duplicate case already contacted within 6 months period"/>
        <s v="Duplicated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8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4643399#1"/>
        <s v="3888634#1"/>
        <s v="4537947#1"/>
        <s v="4531326#1"/>
        <s v="4647279#1"/>
        <s v="4544141#1"/>
        <s v="4631125#1"/>
        <s v="4329205#1"/>
        <s v="1908668#1"/>
        <s v="4577231#1"/>
        <s v="4566098#1"/>
        <s v="4539336#1"/>
        <s v="4535822#1"/>
        <s v="4532350#1"/>
        <s v="4638342#1"/>
        <s v="3405547#1"/>
        <s v="4567866#1"/>
        <s v="4549848#1"/>
        <s v="4597917#1"/>
        <s v="4600789#1"/>
        <s v="4567075#1"/>
        <s v="4597300#1"/>
        <s v="189561#2"/>
        <s v="2418649#1"/>
        <s v="3858152#1"/>
        <s v="1084322#3"/>
        <s v="576639#1"/>
        <s v="4576429#1"/>
        <s v="4384525#1"/>
        <s v="552169#1"/>
        <s v="4587314#1"/>
        <s v="1264286#1"/>
        <s v="526888#1 "/>
        <s v="4319853#1"/>
        <s v="2416836#1"/>
        <s v="4528943#1"/>
        <s v="4589085#1"/>
        <s v="4562412#1"/>
        <s v="1830401#2"/>
        <s v="2356325#2"/>
        <s v="4576242#1"/>
        <s v="534433#1"/>
        <s v="4550240#1"/>
        <s v="4567048#1 "/>
        <s v="1999370#1"/>
        <s v="607749#1"/>
        <s v="236423#2"/>
        <s v="482192#1"/>
        <s v="1744348#1"/>
        <s v="582377#1"/>
        <s v="4427744#1"/>
        <s v="4383518#1"/>
        <s v="189320#2"/>
        <s v="2249841#1,1475835#1"/>
        <s v="1069552#1"/>
        <s v="1909411#1, 1692352#1"/>
        <s v="2475237#1"/>
        <s v="4252252#1"/>
        <s v="970488#1"/>
        <s v="1940957#3"/>
        <s v="1099111#1"/>
        <s v="1033113#1"/>
        <s v="2922574#1"/>
        <s v="482307#1"/>
        <s v="4334064#1"/>
        <s v="4405275#1"/>
        <s v="1548654#1"/>
        <s v="655587#1 "/>
        <s v="4390615#1"/>
        <s v="4427483#1"/>
        <s v="879806#1"/>
        <s v="2243817#1"/>
        <s v="2294246#1"/>
        <s v="3802131#2"/>
        <s v="3402597#1"/>
        <s v="454344#1"/>
        <s v="4216035#1"/>
        <s v="1451853#2"/>
        <s v="593940#1"/>
        <s v="1347606#1"/>
        <s v="4386543#1"/>
        <s v="4333772#1"/>
        <s v="4515528#1"/>
        <s v="1793331#1"/>
        <s v="3900448#1"/>
        <s v="932564#1"/>
        <m/>
        <s v="1140589#1"/>
        <s v="4594832#1"/>
        <s v="4589972#1"/>
        <s v="4594538#1"/>
      </sharedItems>
    </cacheField>
    <cacheField name="Case Name" numFmtId="49">
      <sharedItems containsBlank="1">
        <s v="Stillframerender"/>
        <s v="Black Palm Development Corp."/>
        <s v="Ferrymac"/>
        <s v="Dcdenergycooling"/>
        <s v="Hasaingenieros"/>
        <s v="Evita's cabinets"/>
        <s v="Alkimiamx"/>
        <s v="FT Williams and Associates"/>
        <s v="Clima Development"/>
        <s v="Basilmx"/>
        <s v="Bmdsistemas"/>
        <s v="Dipaz"/>
        <s v="Visbeen Architects"/>
        <s v="Tgamex"/>
        <s v="Dharius"/>
        <s v="Brilliantmindshn"/>
        <s v="Tuca"/>
        <s v="Cmrcimbras"/>
        <s v="Dolphoxco"/>
        <s v="Nuumbra"/>
        <s v="Caev"/>
        <s v="Pireos"/>
        <s v="Enacal"/>
        <s v="Tecno Lite"/>
        <s v="Cafesoluble"/>
        <s v="Centro CAD Nicaragua"/>
        <s v="Zegesa"/>
        <s v="Tilde Studio"/>
        <s v="Ramac"/>
        <s v="Ricardo Esteban Castellon Bogran"/>
        <s v="Opuscenter"/>
        <s v="Expo Imagen Hn"/>
        <s v="Noma"/>
        <s v="Slacorp"/>
        <s v="SMARTSOLAR"/>
        <s v="Construccionescct"/>
        <s v="Omeinteriors"/>
        <s v="Aesarquitectos"/>
        <s v="DelCampo School"/>
        <s v="Grupo Fortezza"/>
        <s v="Echegarayarquitectos"/>
        <s v="Discover"/>
        <s v="Corporacionmac"/>
        <s v="ModularA01"/>
        <s v="BTL Marketing"/>
        <s v="Contempo Casa"/>
        <s v="Emycsa"/>
        <s v="INMARK"/>
        <s v="Edson Simeon"/>
        <s v="Newcity Residencial"/>
        <s v="Off365"/>
        <s v="Emcose"/>
        <s v="Dinant"/>
        <s v="Intur"/>
        <s v="Zibza Arquitectos"/>
        <s v="Pucom"/>
        <s v="PREFACERO"/>
        <s v="Pintropical"/>
        <s v="Arquiterrac"/>
        <s v="Pan American Silver"/>
        <s v="Cooperativa de Electrificacion Rural de Alfaro Ruiz R.L."/>
        <s v="Veyco"/>
        <s v="Addison House Panama"/>
        <s v="Arqge Arquitectos SRL"/>
        <s v="Elmntosarquitectura"/>
        <s v="Masconstructora"/>
        <s v="Duodesignlatam"/>
        <s v="Estudioca"/>
        <s v="Cohenarchitecture"/>
        <s v="Dfsolucionescr"/>
        <s v="Christian Gomez Espa~a collignon"/>
        <s v="Arquifoamgt"/>
        <s v="Programática de Costa Rica S.A."/>
        <s v="Desarrollo Y Nutricion Animal"/>
        <s v="Prepanama"/>
        <s v="Cortinaje by Angel Cabrera"/>
        <s v="Solrealgroup"/>
        <s v="SCH ConsultorÃ­a y ConstrucciÃ³n"/>
        <s v="Cb2arq"/>
        <s v="Sandiego"/>
        <s v="Industrias Merlet S.A. De C.V"/>
        <s v="Rosul"/>
        <s v="Pulsoarquitectura"/>
        <s v="ISAD, S.A."/>
        <s v="Metalicaimperio"/>
        <s v="Plastikito"/>
        <m/>
        <s v="Gruposolaire"/>
        <s v="Larutadelagarnacha"/>
        <s v="Bmsingenieros"/>
        <s v="Studio2arquitectos"/>
      </sharedItems>
    </cacheField>
    <cacheField name="Country" numFmtId="0">
      <sharedItems containsBlank="1">
        <s v="Mexico"/>
        <s v="Nicaragua"/>
        <s v="Belize"/>
        <s v="Honduras"/>
        <s v="Costa Rica"/>
        <m/>
        <s v="Panama"/>
        <s v="El Salvador"/>
        <s v="Guatemala"/>
        <s v="Dominican Republic"/>
      </sharedItems>
    </cacheField>
    <cacheField name="Investigator" numFmtId="0">
      <sharedItems containsBlank="1">
        <s v="Francisco"/>
        <s v="Maria Celeste"/>
        <s v="Noel"/>
        <s v="Antonella"/>
        <s v="Clara"/>
        <s v="Luis"/>
        <s v="Mariadelaida"/>
        <s v="Daniela"/>
        <m/>
      </sharedItems>
    </cacheField>
    <cacheField name="QA Notes" numFmtId="0">
      <sharedItems containsBlank="1">
        <m/>
        <s v="Case disqualified, not enough data or information to associate machine with entity"/>
        <s v="Duplicate case, sent back for reinvestigation and contact augmentation"/>
        <s v="Case disqualified (Date)"/>
        <s v="An additional case related to the entity was identified and investigated. Case ID 1475835#1."/>
        <s v="Cooperatives are constituted as non-profit entities. Also, this organization, among its activities, operates as an ISP. "/>
        <s v="Multiple Cases (Linked to a LOST case with recent events)"/>
        <s v="RO Status Closed - Not Won (Exhausted) with new machines and events"/>
        <s v="Ruvixx Strategic Old Accounts (recent events; RO Status NOT WON LOST)"/>
        <s v="Multiplied case - Ruvixx Strategic Old Account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3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3046489#1"/>
        <s v="4588269#1"/>
        <s v="4546353#1"/>
        <s v="4557618#1"/>
        <s v="491717#1"/>
        <s v="1678727#1"/>
        <s v="711103#1"/>
        <s v="4531902#1"/>
        <s v="4566628#1"/>
        <s v="3259214#1, 574394#1"/>
        <s v="1858096#1, 1792296#1"/>
        <s v="4422409#1"/>
        <s v="4535875#1"/>
        <s v="4568128#1"/>
        <s v="4547359#1"/>
        <s v="4529979#1"/>
        <s v="4571015#1"/>
        <s v="4478992#1, 1129100#1"/>
        <s v="4448312#1"/>
        <s v="4504033#1"/>
        <s v="1840584#1"/>
        <s v="4488759#1"/>
        <s v="4570145#1"/>
        <s v="4448993#1"/>
        <s v="441299#4"/>
        <s v="2446667#2"/>
        <s v="4294850#1"/>
        <s v="4546586#1"/>
        <s v="2145417#1"/>
        <s v="878469#1"/>
        <s v="4615441#1"/>
        <s v="1714541#1"/>
        <s v="4609791#1"/>
        <s v="610537#1"/>
        <s v="1347373#1"/>
        <s v="2392382#1"/>
        <s v="3867287#1"/>
        <s v="1329080#1"/>
        <s v="2394114#1"/>
        <s v="4543458#1"/>
        <s v="4590983#1"/>
        <s v="3876430#1"/>
        <s v="2446700#3"/>
        <s v="1264047#1"/>
        <s v="1843590#1"/>
        <s v="1629451#1"/>
        <s v="2308890#1"/>
        <s v="902412#1"/>
        <s v="1101658#1"/>
        <s v="2143072#1"/>
        <s v="942879#1"/>
        <s v="1746171#1"/>
        <s v="1209330#1"/>
        <s v="1143647#1"/>
        <s v="752966#2"/>
        <s v="3048020#1"/>
        <s v="1548843#1"/>
        <s v="1748428#2"/>
        <s v="1591630#1"/>
        <s v="533004#3"/>
        <s v="1023639#1"/>
        <s v="1414832#1"/>
        <s v="1477809#1"/>
        <s v="4648684#1 "/>
        <s v="891797#1"/>
        <s v="1105168#1"/>
        <s v="1193653#1"/>
        <s v="4319245#1"/>
        <s v="1856715#1"/>
        <s v="448954#1"/>
        <s v="3049438#1"/>
        <s v="715742#1"/>
        <s v="4366325#1"/>
        <s v="4551859#1"/>
        <s v="4527503#1"/>
        <s v="2222172#2"/>
        <s v="2189826#1"/>
        <s v="2353931#1"/>
        <s v="1265310#1"/>
        <s v="1061146#1"/>
        <s v="798135#1"/>
        <s v="1793643#1"/>
        <s v="1362150#1"/>
        <s v="1261839#1"/>
        <s v="1025747#1"/>
        <s v="4609793#1"/>
        <s v="4609792#1"/>
        <s v="4524312#1"/>
        <s v="1739414#2"/>
        <s v="380099#1"/>
        <s v="4633384#1"/>
        <s v="4567420#1"/>
        <s v="3885743#1"/>
        <s v="4546369#1"/>
        <s v="4649451#1"/>
        <s v="4523042#1"/>
        <s v="4538827#1"/>
        <s v="4608487#1"/>
        <s v="4578574#1"/>
        <s v="4569417#1"/>
        <m/>
      </sharedItems>
    </cacheField>
    <cacheField name="Case Name" numFmtId="49">
      <sharedItems containsBlank="1">
        <s v="Instituto Nacional de Desarrollo Rural y de la Tierra (INDERT)"/>
        <s v="Gesfinanciera"/>
        <s v="Soluvial.cl"/>
        <s v="Grupo Nacional De Medios"/>
        <s v="Global Intimates"/>
        <s v="Segura Julian Matias"/>
        <s v="Obrando"/>
        <s v="Esing"/>
        <s v="Pruebaunivalle"/>
        <s v="Cristian Rodriguez Miranda"/>
        <s v="Stop Jeans"/>
        <s v="Adarquitectura"/>
        <s v="Arquiframme"/>
        <s v="Arteplac"/>
        <s v="As269898"/>
        <s v="Omnitracssa"/>
        <s v="Ceciliademadonna"/>
        <s v="Jvconstructor"/>
        <s v="Lagunasnorte"/>
        <s v="Probela La Molina"/>
        <s v="Trucks tract USA"/>
        <s v="Assaabloy"/>
        <s v="Bavikon"/>
        <s v="GRUPO MOLICOM"/>
        <s v="maquiprocesos"/>
        <s v="Industrias Altos Sociedad Anonima Cerrada"/>
        <s v="INTEGRA RETAIL"/>
        <s v="Kaizen360pe"/>
        <s v="Ultramodular"/>
        <s v="Miranda Arquitectos"/>
        <s v="Prodemco"/>
        <s v="Thomasjefferson"/>
        <s v="Wave Arquitectura"/>
        <s v="Tecinci"/>
        <s v="Bioquimica.cl"/>
        <s v="Cobitat"/>
        <s v="Gomez Roco"/>
        <s v="EXO S.A. - Soluciones Tecnológicas"/>
        <s v="Carpeal"/>
        <s v="Cospb"/>
        <s v="Filabe"/>
        <s v="Santateresita"/>
        <s v="C.E.P. Santa Maria De Brena E.I.R.L."/>
        <s v="Frigerio Nelson Horacio"/>
        <s v="Andariega SRL"/>
        <s v="ISCOT Services"/>
        <s v="Bestchem"/>
        <s v="Alubrysl"/>
        <s v="Plastigas Mar del Plata SA"/>
        <s v="suministro de obras"/>
        <s v="MoRPH Argentina"/>
        <s v="ARS Technologies"/>
        <s v="Construcmaderas"/>
        <s v="Huge"/>
        <s v="Intenisa"/>
        <s v="Ola"/>
        <s v="Blau"/>
        <s v="todoloquebusco"/>
        <s v="Uniples S.A."/>
        <s v="Redcol S.A."/>
        <s v="Ecuavisa"/>
        <s v="Apeec"/>
        <s v="Sinergiagrupo"/>
        <s v="Miranda Arquitectos Peru"/>
        <s v="Benito Roggio e Hijos S.A Paraguay"/>
        <s v="Benito Roggio e Hijos S.A  "/>
        <s v="Lihue Ingenieria S A"/>
        <s v="Mantovana"/>
        <s v="Rowa S A"/>
        <s v="Arke"/>
        <s v="Laham Nicolas Simon"/>
        <s v="ROSART Eirl"/>
        <s v="Admdalvian"/>
        <s v="Alcasrl"/>
        <s v="Cucina Ideale"/>
        <s v="Omnitronic S.A."/>
        <s v="Grupo MDay"/>
        <s v="Palma Orlando Agustin"/>
        <s v="CScreatividad Stands"/>
        <s v="ENGINEERING S.A."/>
        <s v="UNIBER"/>
        <s v="Perfilsrl"/>
        <s v="CLC Arquitectos"/>
        <s v="Norfor SA"/>
        <s v="Urbano Express Argentina S.A."/>
        <s v="Primer Piso Arquitectos"/>
        <s v="HDC Arquitectura"/>
        <s v="Dypsagroup"/>
        <s v="Dalcor Sac"/>
        <s v="Colcar Merbus"/>
        <s v="079velonet"/>
        <s v="Grupo"/>
        <s v="Metrocubico"/>
        <s v="Frigoconcepcion"/>
        <s v="Gapper"/>
        <s v="ICE INGENIEROS S.A."/>
        <s v="Madenco"/>
        <s v="Manterolainteriorismo"/>
        <s v="Menesesvaldes"/>
        <s v="Mrree"/>
        <m/>
      </sharedItems>
    </cacheField>
    <cacheField name="Country" numFmtId="0">
      <sharedItems containsBlank="1">
        <m/>
        <s v="Chile"/>
        <s v="Argentina"/>
        <s v="Colombia"/>
        <s v="Bolivia"/>
        <s v="Peru"/>
        <s v="Ecuador"/>
        <s v="Paraguay"/>
        <s v="Uruguay"/>
      </sharedItems>
    </cacheField>
    <cacheField name="Investigator" numFmtId="0">
      <sharedItems containsBlank="1">
        <s v="Mariadelaida"/>
        <s v="Rafael"/>
        <s v="Enrique"/>
        <s v="Luis"/>
        <m/>
      </sharedItems>
    </cacheField>
    <cacheField name="QA Notes" numFmtId="49">
      <sharedItems containsBlank="1">
        <s v="Case related to Universidad Nacional de Asunción. This entity has another case (ID 722006#1); it was already qualified and launched, but does not have a revenue opportunity.  &#10;This case was reassigned to this entity to engage it as one. "/>
        <m/>
        <s v="An additional case related to this entity was identified. Case ID 516421#1. It has to be investigated to launch the entity&#10;"/>
        <s v="An additional case related to the entity was identified. Case ID. 285219#2.  It has to be investigated to launch the entity.&#10;"/>
        <s v="An additional case related to this entity was identified. Case ID 877848#1.  It has to be investigated to launch the entity.&#10;"/>
        <s v="An additional case was identified and investigated"/>
        <s v="Additional case for Universidad De Buenos AiresA"/>
        <s v="Case disqualified, not enough data or information to associate the machine with the entity "/>
        <s v="Case disqualified, not enough data or information in recent events.&#10;"/>
        <s v="Not enough recent cases. "/>
        <s v="Nonprofit"/>
        <s v="Last event 2023, not valid. Disqualified."/>
        <s v="Cooperatives are constituted as non-profit entities. "/>
        <s v="Re launch"/>
        <s v="Reincidencia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8" sheet="June"/>
  </cacheSource>
  <cacheFields>
    <cacheField name="Date" numFmtId="164">
      <sharedItems containsDate="1" containsString="0" containsBlank="1">
        <d v="2026-06-09T00:00:00Z"/>
        <d v="2026-06-10T00:00:00Z"/>
        <d v="2026-06-11T00:00:00Z"/>
        <m/>
      </sharedItems>
    </cacheField>
    <cacheField name="External Case ID" numFmtId="49">
      <sharedItems containsBlank="1">
        <s v="4547363#1"/>
        <s v="4647518#1"/>
        <s v="4596296#1"/>
        <s v="4565439#1"/>
        <s v="4567346#1"/>
        <s v="4485567#1"/>
        <s v="4602739#1"/>
        <s v="4639918#1"/>
        <s v="3586580#1"/>
        <s v="4554074#1"/>
        <s v="591418#2"/>
        <s v="4532178#1"/>
        <s v="4546580#1"/>
        <s v="4552849#1"/>
        <s v="4645653#1"/>
        <s v="4575435#1"/>
        <s v="4606451#1"/>
        <s v="4553745#1"/>
        <s v="4546810#1"/>
        <s v="4529496#1"/>
        <s v="4546427#1"/>
        <s v="4535501#1"/>
        <s v="4614486#1"/>
        <s v="4573495#1"/>
        <s v="4554213#1"/>
        <s v="4552471#1"/>
        <s v="4641439#1"/>
        <s v="4601828#1"/>
        <s v="4649179#1"/>
        <s v="4544941#1"/>
        <s v="4536103#1"/>
        <s v="4577920#1"/>
        <s v="4605702#1"/>
        <s v="4604498#1"/>
        <s v="4649558#1"/>
        <s v="4571281#1"/>
        <s v="4570421#1"/>
        <s v="4536853#1"/>
        <s v="4638288#1"/>
        <s v="4641218#1"/>
        <s v="4579597#1"/>
        <s v="4620619#1"/>
        <s v="4579816#1"/>
        <s v="4637315#1"/>
        <s v="4606823#1"/>
        <s v="4580317#1"/>
        <s v="4546618#1"/>
        <s v="4588751#1"/>
        <s v="4550506#1"/>
        <s v="4531814#1"/>
        <s v="4614596#1"/>
        <s v="4593073#1"/>
        <s v="4539775#1"/>
        <s v="4553522#1"/>
        <s v="4575378#1"/>
        <s v="4557499#1"/>
        <s v="4547687#1"/>
        <m/>
      </sharedItems>
    </cacheField>
    <cacheField name="Case Name" numFmtId="49">
      <sharedItems containsBlank="1">
        <s v="Tadudesingstudio"/>
        <s v="Construccionesintegralescr"/>
        <s v="Sensatostudio"/>
        <s v="Decokasastudio"/>
        <s v="Rivalcr"/>
        <s v="Bzesigns"/>
        <s v="Espaciomura"/>
        <s v="Azulinversioneshn"/>
        <s v="Concrenic"/>
        <s v="ASECSA"/>
        <s v="Atmosfera"/>
        <s v="Multiserviciosgodmart"/>
        <s v="Insumatcr"/>
        <s v="Spacesaverlatam"/>
        <s v="11desarrollos"/>
        <s v="Woodinteriorspma"/>
        <s v="Copasapma"/>
        <s v="Hrcasinopuntacana"/>
        <s v="Monipetras"/>
        <s v="Tendenzza Acabados"/>
        <s v="Agrologico"/>
        <s v="Ysintern"/>
        <s v="Anaaltunadesign"/>
        <s v="Pieragregis"/>
        <s v="Grupoasocsa"/>
        <s v="Grupodalbast"/>
        <s v="Pmodernos"/>
        <s v="Primelivingcr"/>
        <s v="Reactiveart"/>
        <s v="Technofruits - STAR"/>
        <s v="Termovoltcr"/>
        <s v="Urbanaconstructora"/>
        <s v="Yasgroupsrl"/>
        <s v="Ihsa"/>
        <s v="Indethn"/>
        <s v="Rimgas"/>
        <s v="Lera"/>
        <s v="Integralad"/>
        <s v="Saladinmiller"/>
        <s v="Roel"/>
        <s v="Figurati"/>
        <s v="Hidasa"/>
        <s v="Mirarquitectos"/>
        <s v="Ajiza"/>
        <s v="Grupomayasv"/>
        <s v="Voidtechdr"/>
        <s v="Marcasastrales"/>
        <s v="Carpentercord"/>
        <s v="Uhi"/>
        <s v="Decoarq"/>
        <s v="Grupologospty"/>
        <s v="Sidcof"/>
        <s v="Almadasa"/>
        <s v="Textufil S.A. de C.V."/>
        <s v="Constructoramedina"/>
        <s v="Rimora"/>
        <s v="Apestegui Blair Consultores"/>
        <m/>
      </sharedItems>
    </cacheField>
    <cacheField name="Country" numFmtId="0">
      <sharedItems containsBlank="1">
        <s v="Dominican Republic"/>
        <s v="Costa Rica"/>
        <m/>
        <s v="Belize"/>
        <s v="Honduras"/>
        <s v="Nicaragua"/>
        <s v="Mexico"/>
        <s v="Panama"/>
        <s v="El Salvador"/>
        <s v="Guatemala"/>
      </sharedItems>
    </cacheField>
    <cacheField name="Investigator" numFmtId="0">
      <sharedItems containsBlank="1">
        <s v="Clara"/>
        <s v="Maria Celeste"/>
        <s v="Noel"/>
        <s v="Francisco"/>
        <m/>
      </sharedItems>
    </cacheField>
    <cacheField name="QA Notes" numFmtId="0">
      <sharedItems containsBlank="1">
        <m/>
        <s v=" Disqualified (Data) "/>
        <s v="Case Rejected. Entity recently launched."/>
        <s v="Case Rejected. Wifi location too ar to consider part of the company's address. Also no other data was associated with the entity."/>
        <s v="Case disqualified, not enough data or information to associate machine with entity"/>
        <s v="Too little entity information with no online prescence to verify profile. Added Watch List tag for future observation."/>
        <s v="Reincidencia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999" sheet="June"/>
  </cacheSource>
  <cacheFields>
    <cacheField name="Date" numFmtId="164">
      <sharedItems containsDate="1" containsString="0" containsBlank="1">
        <d v="2026-06-09T00:00:00Z"/>
        <d v="2026-06-08T00:00:00Z"/>
        <d v="2026-06-10T00:00:00Z"/>
        <d v="2026-06-11T00:00:00Z"/>
        <m/>
      </sharedItems>
    </cacheField>
    <cacheField name="External Case ID" numFmtId="49">
      <sharedItems containsBlank="1">
        <s v="4598753#1"/>
        <s v="2037068#1"/>
        <s v="4538378#1"/>
        <s v="4606424#1"/>
        <s v="4649396#1"/>
        <s v="4649170#1"/>
        <s v="4642084#1"/>
        <s v="4619433#1"/>
        <s v="4538786#1"/>
        <s v="4608964#1"/>
        <s v="4621397#1"/>
        <s v="4641608#1 "/>
        <s v="4536392#1 "/>
        <s v="4538187#1 "/>
        <s v="1928325#1"/>
        <s v="2278808#1"/>
        <s v="1554504#2"/>
        <s v="4474665#1"/>
        <s v="2068537#2"/>
        <s v="3255332#1"/>
        <s v="4337372#1"/>
        <s v="2323080#1"/>
        <s v="2514614#1"/>
        <s v="4440948#1"/>
        <s v="4527743#1"/>
        <s v="4402198#1"/>
        <s v="4442904#1"/>
        <s v="991036#1"/>
        <s v="4477790#1"/>
        <s v="3585492#1"/>
        <s v="4649784#1"/>
        <s v="4570806#1"/>
        <s v="4649780#1"/>
        <s v="4643866#1"/>
        <s v="4212196#1"/>
        <s v="4610393#1"/>
        <s v="4573944#1"/>
        <s v="4605286#1"/>
        <s v="4592585#1"/>
        <s v="4643293#1"/>
        <s v="4544508#1"/>
        <s v="4627065#1"/>
        <s v="2286559#2"/>
        <s v="4524163#1"/>
        <s v="4470575#1"/>
        <s v="4529099#1"/>
        <s v="4365646#1"/>
        <s v="4507688#1"/>
        <s v="982008#1"/>
        <s v="4320677#1"/>
        <s v="4572126#1"/>
        <s v="4648597#1"/>
        <s v="4608461#1"/>
        <s v="4644969#1"/>
        <s v="4595260#1"/>
        <s v="4426903#1"/>
        <s v="4599603#1"/>
        <s v="4644128#1"/>
        <s v="4631260#1"/>
        <s v="4577495#1"/>
        <s v="4649776#1"/>
        <s v="4614599#1"/>
        <s v="4529943#1"/>
        <s v="1495029#1"/>
        <s v="3874134#1"/>
        <s v="414142#2"/>
        <s v="4648224#1"/>
        <s v="4641773#1"/>
        <s v="4576392#1"/>
        <s v="4645418#1"/>
        <s v="4531050#1"/>
        <s v="4645429#1"/>
        <s v="4414594#1"/>
        <s v="4570499#1"/>
        <s v="963733#1"/>
        <s v="1346636#1"/>
        <s v="3867326#1"/>
        <s v="2074614#1"/>
        <s v="4406430#1"/>
        <s v="2418287#1"/>
        <s v="4512570#1"/>
        <s v="4565007#1"/>
        <s v="4600761#1"/>
        <s v="4649350#1"/>
        <s v="4648292#1"/>
        <s v="334515#3"/>
        <m/>
      </sharedItems>
    </cacheField>
    <cacheField name="Case Name" numFmtId="49">
      <sharedItems containsBlank="1">
        <s v="Bacarquitectura"/>
        <s v="Emyly"/>
        <s v="Ajsolutionsa"/>
        <s v="Automotoraolguin"/>
        <s v="Bajorelieve"/>
        <s v="Cirigliano "/>
        <s v="Colmena"/>
        <s v="Contactusinc"/>
        <s v="Geramats"/>
        <s v="Dotarquitectura"/>
        <s v="European Economic Community"/>
        <s v="Exacta Housing"/>
        <s v="GH COIN SAC"/>
        <s v="Grupovargu"/>
        <s v="Riboldi Guasti Mauro"/>
        <s v="Almacén Extraportuario El Sauce S.A."/>
        <s v="Frimont Sa"/>
        <s v="Grupochier"/>
        <s v="Ffavaloro"/>
        <s v="Abertecno Tecnologia en Aberturas"/>
        <s v="Plastiferro Tubos SA"/>
        <s v="Club Cerro Porteño - Oficial"/>
        <s v="Colortex"/>
        <s v="Teco"/>
        <s v="Casafacil2024"/>
        <s v="Salum &amp; Wenz Constructora"/>
        <s v="Amalgama S A"/>
        <s v="Ramada Buenos Aires hotel"/>
        <s v="Lumierearquitectura"/>
        <s v="ASM Construcciones"/>
        <s v="Vialterra"/>
        <s v="Transportes Rolitrans S.A."/>
        <s v="Sittca"/>
        <s v="Hbianchi"/>
        <s v="Ifssac"/>
        <s v="Ingomar - Soluciones en Caucho"/>
        <s v="Laposta"/>
        <s v="Grupoancon"/>
        <s v="Logyca"/>
        <s v="MUEBLES GL SAC"/>
        <s v="Ofinova"/>
        <s v="Mmaarq"/>
        <s v="Prochap"/>
        <s v="Oriontis"/>
        <s v="Dearcos"/>
        <s v="Construtex"/>
        <s v="XBRI Cubiertas"/>
        <s v="Angapet"/>
        <s v="Ximena Ximenez"/>
        <s v="Blindajesecurity"/>
        <s v="Mueblesdontonino"/>
        <s v="Sclem"/>
        <s v="Tarsingenieria"/>
        <s v="Tmimza"/>
        <s v="Vanguardia"/>
        <s v="Scout"/>
        <s v="US Open"/>
        <s v="Terbol S.A. Cochabamba"/>
        <s v="Mvicente"/>
        <s v="Cambiofacilecuador"/>
        <s v="Coripuno"/>
        <s v="Xtendo"/>
        <s v="Stanco"/>
        <s v="Pvarquitectura"/>
        <s v="Relievetaller"/>
        <s v="Organicacwd"/>
        <s v="Linseg"/>
        <s v="Munozconstruye"/>
        <s v="Ironblack"/>
        <s v="Faenzaipc"/>
        <s v="Constructorasoarco"/>
        <s v="Concegua"/>
        <s v="Siderurgica Del Occidente S.A. Sidoc S.A"/>
        <s v="Kwparaguay"/>
        <s v="Guzman Nacich S.A.I.C"/>
        <s v="MINILUX"/>
        <s v="Clipconsultora"/>
        <s v="Ekore"/>
        <s v="Estudioclio"/>
        <s v="Sea White SA"/>
        <s v="Rubbersrl"/>
        <s v="Palyga"/>
        <s v="Creardiseno"/>
        <s v="Ingenieriabadran"/>
        <s v="Tcisa"/>
        <s v="Gisan Group Sas"/>
        <m/>
      </sharedItems>
    </cacheField>
    <cacheField name="Country" numFmtId="0">
      <sharedItems containsBlank="1">
        <s v="Argentina"/>
        <s v="Peru"/>
        <s v="Paraguay"/>
        <s v="Chile"/>
        <s v="Colombia"/>
        <s v="Ecuador"/>
        <s v="Uruguay"/>
        <s v="Bolivia"/>
        <m/>
      </sharedItems>
    </cacheField>
    <cacheField name="Investigator" numFmtId="0">
      <sharedItems containsBlank="1">
        <s v="Luis"/>
        <s v="Rafael"/>
        <s v="Mariadelaida"/>
        <s v="Daniela"/>
        <s v="Enrique"/>
        <m/>
      </sharedItems>
    </cacheField>
    <cacheField name="QA Notes" numFmtId="0">
      <sharedItems containsBlank="1">
        <m/>
        <s v="An additional case related to the entity was identified and investigated"/>
        <s v="This entity was assigned to Kasznar."/>
        <s v="An additional case related to the entity was identified and investigated. 3+ machines in total."/>
        <s v="Case disqualified, not enough data or information to associate the machine with the entity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1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1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1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2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2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3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3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4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4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5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5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6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6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9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9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9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10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10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1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1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10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1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2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2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3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3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4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4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17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17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17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8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8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19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1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8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19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20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20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1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1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22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22" dataCaption="" compact="0" compactData="0">
  <location ref="E111:F12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axis="axisRow" dataField="1" compact="0" outline="0" multipleItemSelectionAllowed="1" showAll="0" sortType="ascending">
      <items>
        <item x="2"/>
        <item x="9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untry" axis="axisRow" dataField="1" compact="0" outline="0" multipleItemSelectionAllowed="1" showAll="0" sortType="ascending">
      <items>
        <item x="5"/>
        <item x="2"/>
        <item x="4"/>
        <item x="9"/>
        <item x="7"/>
        <item x="8"/>
        <item x="3"/>
        <item x="0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5" dataCaption="" compact="0" compactData="0">
  <location ref="H3:I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5" dataCaption="" compact="0" compactData="0">
  <location ref="K3:L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axis="axisRow" dataField="1" compact="0" outline="0" multipleItemSelectionAllowed="1" showAll="0" sortType="ascending">
      <items>
        <item x="0"/>
        <item x="2"/>
        <item x="4"/>
        <item x="1"/>
        <item x="3"/>
        <item x="6"/>
        <item x="7"/>
        <item x="5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6" dataCaption="" compact="0" compactData="0">
  <location ref="B39:C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3"/>
        <item x="1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6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t="default"/>
      </items>
    </pivotField>
    <pivotField name="Country" axis="axisRow" dataField="1" compact="0" outline="0" multipleItemSelectionAllowed="1" showAll="0" sortType="ascending">
      <items>
        <item x="2"/>
        <item x="3"/>
        <item x="1"/>
        <item x="0"/>
        <item x="8"/>
        <item x="9"/>
        <item x="4"/>
        <item x="6"/>
        <item x="5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7" dataCaption="" compact="0" compactData="0">
  <location ref="H39:I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0"/>
        <item x="2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7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8"/>
        <item x="0"/>
        <item x="7"/>
        <item x="3"/>
        <item x="4"/>
        <item x="5"/>
        <item x="2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8" dataCaption="" compact="0" compactData="0">
  <location ref="B75:C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8" dataCaption="" compact="0" compactData="0">
  <location ref="E75:F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29" dataCaption="" compact="0" compactData="0">
  <location ref="H75:I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29" dataCaption="" compact="0" compactData="0">
  <location ref="K75:L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30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30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7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8" displayName="MCC_June_Week_1" name="MCC_June_Week_1" id="25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13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totalsRowCount="1" ref="R1:X999" displayName="MCC_June_Week_2" name="MCC_June_Week_2" id="27">
  <autoFilter ref="$R$1:$X$999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999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999" displayName="MCC_June_Week_3" name="MCC_June_Week_3" id="2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7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81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7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3d7b563a-c3c4-47b7-9146-8580ca3bbbb5}" id="{d574a74a-0a6e-4860-9aa9-8d425016b599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1.xml"/><Relationship Id="rId22" Type="http://schemas.openxmlformats.org/officeDocument/2006/relationships/table" Target="../tables/table23.xml"/><Relationship Id="rId21" Type="http://schemas.openxmlformats.org/officeDocument/2006/relationships/table" Target="../tables/table22.xml"/><Relationship Id="rId23" Type="http://schemas.openxmlformats.org/officeDocument/2006/relationships/table" Target="../tables/table24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8.xml"/><Relationship Id="rId16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20.xml"/><Relationship Id="rId6" Type="http://schemas.openxmlformats.org/officeDocument/2006/relationships/drawing" Target="../drawings/drawing6.xml"/><Relationship Id="rId18" Type="http://schemas.openxmlformats.org/officeDocument/2006/relationships/table" Target="../tables/table19.xml"/><Relationship Id="rId7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20" Type="http://schemas.openxmlformats.org/officeDocument/2006/relationships/table" Target="../tables/table32.xml"/><Relationship Id="rId13" Type="http://schemas.openxmlformats.org/officeDocument/2006/relationships/table" Target="../tables/table25.xml"/><Relationship Id="rId1" Type="http://schemas.openxmlformats.org/officeDocument/2006/relationships/comments" Target="../comments2.xml"/><Relationship Id="rId2" Type="http://schemas.openxmlformats.org/officeDocument/2006/relationships/hyperlink" Target="http://soluvial.cl" TargetMode="External"/><Relationship Id="rId3" Type="http://schemas.openxmlformats.org/officeDocument/2006/relationships/drawing" Target="../drawings/drawing8.xml"/><Relationship Id="rId4" Type="http://schemas.openxmlformats.org/officeDocument/2006/relationships/vmlDrawing" Target="../drawings/vmlDrawing2.vml"/><Relationship Id="rId15" Type="http://schemas.openxmlformats.org/officeDocument/2006/relationships/table" Target="../tables/table27.xml"/><Relationship Id="rId14" Type="http://schemas.openxmlformats.org/officeDocument/2006/relationships/table" Target="../tables/table26.xml"/><Relationship Id="rId17" Type="http://schemas.openxmlformats.org/officeDocument/2006/relationships/table" Target="../tables/table29.xml"/><Relationship Id="rId16" Type="http://schemas.openxmlformats.org/officeDocument/2006/relationships/table" Target="../tables/table28.xml"/><Relationship Id="rId19" Type="http://schemas.openxmlformats.org/officeDocument/2006/relationships/table" Target="../tables/table31.xml"/><Relationship Id="rId18" Type="http://schemas.openxmlformats.org/officeDocument/2006/relationships/table" Target="../tables/table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40</v>
      </c>
      <c r="F127" s="246">
        <f t="shared" ref="F127:F129" si="7">C127-E127</f>
        <v>-10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13</v>
      </c>
      <c r="L127" s="33">
        <f t="shared" ref="L127:L131" si="8">I127-K127</f>
        <v>-8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2</v>
      </c>
      <c r="L128" s="33">
        <f t="shared" si="8"/>
        <v>8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15</v>
      </c>
      <c r="F129" s="246">
        <f t="shared" si="7"/>
        <v>0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17</v>
      </c>
      <c r="L129" s="33">
        <f t="shared" si="8"/>
        <v>3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-5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9</v>
      </c>
      <c r="L131" s="33">
        <f t="shared" si="8"/>
        <v>1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15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69" t="b">
        <v>1</v>
      </c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69" t="b">
        <v>1</v>
      </c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401">
        <v>46170.0</v>
      </c>
      <c r="BG21" s="273" t="s">
        <v>2678</v>
      </c>
      <c r="BH21" s="273" t="s">
        <v>2679</v>
      </c>
      <c r="BI21" s="274" t="s">
        <v>18</v>
      </c>
      <c r="BJ21" s="274" t="s">
        <v>2337</v>
      </c>
      <c r="BK21" s="61"/>
      <c r="BL21" s="269" t="b">
        <v>1</v>
      </c>
    </row>
    <row r="22" ht="22.5" customHeight="1">
      <c r="A22" s="368"/>
      <c r="B22" s="314">
        <v>46142.0</v>
      </c>
      <c r="C22" s="302" t="s">
        <v>2680</v>
      </c>
      <c r="D22" s="277" t="s">
        <v>2681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2682</v>
      </c>
      <c r="L22" s="109" t="s">
        <v>2683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2684</v>
      </c>
      <c r="T22" s="109" t="s">
        <v>2685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2686</v>
      </c>
      <c r="AB22" s="109" t="s">
        <v>2687</v>
      </c>
      <c r="AC22" s="58" t="s">
        <v>11</v>
      </c>
      <c r="AD22" s="58" t="s">
        <v>28</v>
      </c>
      <c r="AE22" s="109" t="s">
        <v>2688</v>
      </c>
      <c r="AF22" s="269"/>
      <c r="AH22" s="270">
        <v>46167.0</v>
      </c>
      <c r="AI22" s="109" t="s">
        <v>2689</v>
      </c>
      <c r="AJ22" s="373" t="s">
        <v>2690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2691</v>
      </c>
      <c r="AR22" s="273" t="s">
        <v>2692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2693</v>
      </c>
      <c r="AZ22" s="408" t="s">
        <v>2694</v>
      </c>
      <c r="BA22" s="58" t="s">
        <v>22</v>
      </c>
      <c r="BB22" s="58" t="s">
        <v>28</v>
      </c>
      <c r="BC22" s="61"/>
      <c r="BD22" s="269" t="b">
        <v>1</v>
      </c>
      <c r="BF22" s="270">
        <v>46170.0</v>
      </c>
      <c r="BG22" s="109" t="s">
        <v>2695</v>
      </c>
      <c r="BH22" s="109" t="s">
        <v>2696</v>
      </c>
      <c r="BI22" s="58" t="s">
        <v>27</v>
      </c>
      <c r="BJ22" s="58" t="s">
        <v>20</v>
      </c>
      <c r="BK22" s="61"/>
      <c r="BL22" s="269" t="b">
        <v>1</v>
      </c>
    </row>
    <row r="23" ht="22.5" customHeight="1">
      <c r="A23" s="368"/>
      <c r="B23" s="314">
        <v>46142.0</v>
      </c>
      <c r="C23" s="302" t="s">
        <v>2697</v>
      </c>
      <c r="D23" s="277" t="s">
        <v>2698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2699</v>
      </c>
      <c r="L23" s="109" t="s">
        <v>2700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2701</v>
      </c>
      <c r="T23" s="109" t="s">
        <v>2702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2703</v>
      </c>
      <c r="AB23" s="109" t="s">
        <v>2704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2705</v>
      </c>
      <c r="AJ23" s="373" t="s">
        <v>2706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2707</v>
      </c>
      <c r="AR23" s="294" t="s">
        <v>2708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2709</v>
      </c>
      <c r="AZ23" s="373" t="s">
        <v>2710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2711</v>
      </c>
      <c r="BH23" s="109" t="s">
        <v>2712</v>
      </c>
      <c r="BI23" s="58" t="s">
        <v>11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2713</v>
      </c>
      <c r="D24" s="277" t="s">
        <v>2714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2715</v>
      </c>
      <c r="L24" s="109" t="s">
        <v>2716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2717</v>
      </c>
      <c r="T24" s="109" t="s">
        <v>2718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2719</v>
      </c>
      <c r="AB24" s="109" t="s">
        <v>2720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2721</v>
      </c>
      <c r="AJ24" s="373" t="s">
        <v>2722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2723</v>
      </c>
      <c r="AR24" s="273" t="s">
        <v>2724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2725</v>
      </c>
      <c r="AZ24" s="373" t="s">
        <v>2726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2727</v>
      </c>
      <c r="BH24" s="109" t="s">
        <v>2728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2729</v>
      </c>
      <c r="D25" s="277" t="s">
        <v>2730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2731</v>
      </c>
      <c r="L25" s="109" t="s">
        <v>2732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2733</v>
      </c>
      <c r="T25" s="109" t="s">
        <v>2734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2735</v>
      </c>
      <c r="AB25" s="109" t="s">
        <v>2736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2737</v>
      </c>
      <c r="AJ25" s="373" t="s">
        <v>2738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2739</v>
      </c>
      <c r="AR25" s="294" t="s">
        <v>2740</v>
      </c>
      <c r="AS25" s="409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2741</v>
      </c>
      <c r="AZ25" s="373" t="s">
        <v>2742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2743</v>
      </c>
      <c r="BH25" s="109" t="s">
        <v>2744</v>
      </c>
      <c r="BI25" s="58" t="s">
        <v>27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2745</v>
      </c>
      <c r="D26" s="277" t="s">
        <v>2746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2747</v>
      </c>
      <c r="L26" s="109" t="s">
        <v>2748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2749</v>
      </c>
      <c r="T26" s="109" t="s">
        <v>2750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2751</v>
      </c>
      <c r="AB26" s="109" t="s">
        <v>2752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2753</v>
      </c>
      <c r="AJ26" s="373" t="s">
        <v>2754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2755</v>
      </c>
      <c r="AR26" s="273" t="s">
        <v>2756</v>
      </c>
      <c r="AS26" s="395" t="s">
        <v>18</v>
      </c>
      <c r="AT26" s="410" t="s">
        <v>2338</v>
      </c>
      <c r="AU26" s="61"/>
      <c r="AV26" s="269" t="b">
        <v>1</v>
      </c>
      <c r="AX26" s="270">
        <v>46170.0</v>
      </c>
      <c r="AY26" s="312" t="s">
        <v>2757</v>
      </c>
      <c r="AZ26" s="373" t="s">
        <v>2758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2759</v>
      </c>
      <c r="BH26" s="109" t="s">
        <v>2760</v>
      </c>
      <c r="BI26" s="58" t="s">
        <v>30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2761</v>
      </c>
      <c r="D27" s="277" t="s">
        <v>2762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2763</v>
      </c>
      <c r="L27" s="109" t="s">
        <v>2764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2765</v>
      </c>
      <c r="T27" s="109" t="s">
        <v>2766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2767</v>
      </c>
      <c r="AB27" s="109" t="s">
        <v>2768</v>
      </c>
      <c r="AC27" s="58" t="s">
        <v>18</v>
      </c>
      <c r="AD27" s="58" t="s">
        <v>17</v>
      </c>
      <c r="AE27" s="109" t="s">
        <v>2769</v>
      </c>
      <c r="AF27" s="269" t="b">
        <v>1</v>
      </c>
      <c r="AH27" s="270">
        <v>46167.0</v>
      </c>
      <c r="AI27" s="109" t="s">
        <v>2770</v>
      </c>
      <c r="AJ27" s="373" t="s">
        <v>2771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2772</v>
      </c>
      <c r="AR27" s="294" t="s">
        <v>2773</v>
      </c>
      <c r="AS27" s="409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2774</v>
      </c>
      <c r="AZ27" s="347" t="s">
        <v>2775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2776</v>
      </c>
      <c r="BH27" s="109" t="s">
        <v>2777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2778</v>
      </c>
      <c r="D28" s="277" t="s">
        <v>2779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2780</v>
      </c>
      <c r="L28" s="109" t="s">
        <v>2781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2782</v>
      </c>
      <c r="T28" s="109" t="s">
        <v>2783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2784</v>
      </c>
      <c r="AB28" s="109" t="s">
        <v>2785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2786</v>
      </c>
      <c r="AJ28" s="373" t="s">
        <v>2787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2788</v>
      </c>
      <c r="AR28" s="294" t="s">
        <v>2789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2790</v>
      </c>
      <c r="AZ28" s="411" t="s">
        <v>2791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2792</v>
      </c>
      <c r="BH28" s="109" t="s">
        <v>2793</v>
      </c>
      <c r="BI28" s="58" t="s">
        <v>11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2794</v>
      </c>
      <c r="D29" s="277" t="s">
        <v>2795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2796</v>
      </c>
      <c r="L29" s="109" t="s">
        <v>2797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2798</v>
      </c>
      <c r="T29" s="109" t="s">
        <v>2799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2800</v>
      </c>
      <c r="AB29" s="109" t="s">
        <v>2801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2802</v>
      </c>
      <c r="AJ29" s="373" t="s">
        <v>2803</v>
      </c>
      <c r="AK29" s="412"/>
      <c r="AL29" s="344" t="s">
        <v>2344</v>
      </c>
      <c r="AM29" s="109" t="s">
        <v>2804</v>
      </c>
      <c r="AN29" s="269"/>
      <c r="AP29" s="401">
        <v>46164.0</v>
      </c>
      <c r="AQ29" s="273" t="s">
        <v>2805</v>
      </c>
      <c r="AR29" s="273" t="s">
        <v>2806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2807</v>
      </c>
      <c r="AZ29" s="413" t="s">
        <v>2808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2809</v>
      </c>
      <c r="BH29" s="109" t="s">
        <v>2810</v>
      </c>
      <c r="BI29" s="58" t="s">
        <v>27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2811</v>
      </c>
      <c r="D30" s="277" t="s">
        <v>2812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2813</v>
      </c>
      <c r="L30" s="109" t="s">
        <v>2814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2815</v>
      </c>
      <c r="T30" s="326" t="s">
        <v>2816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2817</v>
      </c>
      <c r="AB30" s="109" t="s">
        <v>2818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2819</v>
      </c>
      <c r="AJ30" s="373" t="s">
        <v>2820</v>
      </c>
      <c r="AK30" s="412"/>
      <c r="AL30" s="344" t="s">
        <v>2344</v>
      </c>
      <c r="AM30" s="109" t="s">
        <v>2821</v>
      </c>
      <c r="AN30" s="298"/>
      <c r="AP30" s="403">
        <v>46164.0</v>
      </c>
      <c r="AQ30" s="294" t="s">
        <v>2822</v>
      </c>
      <c r="AR30" s="294" t="s">
        <v>2823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2824</v>
      </c>
      <c r="AZ30" s="411" t="s">
        <v>2825</v>
      </c>
      <c r="BA30" s="58" t="s">
        <v>22</v>
      </c>
      <c r="BB30" s="58" t="s">
        <v>12</v>
      </c>
      <c r="BC30" s="61"/>
      <c r="BD30" s="269" t="b">
        <v>1</v>
      </c>
      <c r="BF30" s="270">
        <v>46171.0</v>
      </c>
      <c r="BG30" s="109" t="s">
        <v>2826</v>
      </c>
      <c r="BH30" s="109" t="s">
        <v>2827</v>
      </c>
      <c r="BI30" s="58" t="s">
        <v>11</v>
      </c>
      <c r="BJ30" s="58" t="s">
        <v>20</v>
      </c>
      <c r="BK30" s="109"/>
      <c r="BL30" s="269" t="b">
        <v>1</v>
      </c>
    </row>
    <row r="31" ht="22.5" customHeight="1">
      <c r="A31" s="368"/>
      <c r="B31" s="314">
        <v>46132.0</v>
      </c>
      <c r="C31" s="302" t="s">
        <v>2828</v>
      </c>
      <c r="D31" s="277" t="s">
        <v>2829</v>
      </c>
      <c r="E31" s="303" t="s">
        <v>22</v>
      </c>
      <c r="F31" s="303" t="s">
        <v>958</v>
      </c>
      <c r="G31" s="302" t="s">
        <v>2830</v>
      </c>
      <c r="H31" s="281" t="b">
        <v>1</v>
      </c>
      <c r="J31" s="270">
        <v>46147.0</v>
      </c>
      <c r="K31" s="109" t="s">
        <v>2831</v>
      </c>
      <c r="L31" s="109" t="s">
        <v>2832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2833</v>
      </c>
      <c r="T31" s="109" t="s">
        <v>2834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2835</v>
      </c>
      <c r="AB31" s="109" t="s">
        <v>2836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2837</v>
      </c>
      <c r="AJ31" s="373" t="s">
        <v>2838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2839</v>
      </c>
      <c r="AR31" s="273" t="s">
        <v>2840</v>
      </c>
      <c r="AS31" s="274" t="s">
        <v>27</v>
      </c>
      <c r="AT31" s="274" t="s">
        <v>2337</v>
      </c>
      <c r="AU31" s="414" t="s">
        <v>2841</v>
      </c>
      <c r="AV31" s="269"/>
      <c r="AX31" s="270">
        <v>46170.0</v>
      </c>
      <c r="AY31" s="273" t="s">
        <v>2842</v>
      </c>
      <c r="AZ31" s="413" t="s">
        <v>2843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2844</v>
      </c>
      <c r="BH31" s="109" t="s">
        <v>2845</v>
      </c>
      <c r="BI31" s="58" t="s">
        <v>11</v>
      </c>
      <c r="BJ31" s="58" t="s">
        <v>20</v>
      </c>
      <c r="BK31" s="61"/>
      <c r="BL31" s="269" t="b">
        <v>1</v>
      </c>
    </row>
    <row r="32" ht="22.5" customHeight="1">
      <c r="A32" s="368"/>
      <c r="B32" s="314">
        <v>46132.0</v>
      </c>
      <c r="C32" s="302" t="s">
        <v>2846</v>
      </c>
      <c r="D32" s="277" t="s">
        <v>2847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2848</v>
      </c>
      <c r="L32" s="109" t="s">
        <v>2849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2850</v>
      </c>
      <c r="T32" s="392" t="s">
        <v>2851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2852</v>
      </c>
      <c r="AB32" s="109" t="s">
        <v>2853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2854</v>
      </c>
      <c r="AJ32" s="294" t="s">
        <v>2855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2856</v>
      </c>
      <c r="AR32" s="294" t="s">
        <v>2857</v>
      </c>
      <c r="AS32" s="409" t="s">
        <v>27</v>
      </c>
      <c r="AT32" s="295" t="s">
        <v>2338</v>
      </c>
      <c r="AU32" s="415"/>
      <c r="AV32" s="269" t="b">
        <v>1</v>
      </c>
      <c r="AX32" s="270">
        <v>46170.0</v>
      </c>
      <c r="AY32" s="294" t="s">
        <v>2858</v>
      </c>
      <c r="AZ32" s="411" t="s">
        <v>2859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2860</v>
      </c>
      <c r="BH32" s="109" t="s">
        <v>2861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2862</v>
      </c>
      <c r="D33" s="277" t="s">
        <v>2863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2864</v>
      </c>
      <c r="L33" s="109" t="s">
        <v>2865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2866</v>
      </c>
      <c r="T33" s="347" t="s">
        <v>2867</v>
      </c>
      <c r="U33" s="58" t="s">
        <v>22</v>
      </c>
      <c r="V33" s="58" t="s">
        <v>958</v>
      </c>
      <c r="W33" s="61"/>
      <c r="X33" s="269" t="b">
        <v>1</v>
      </c>
      <c r="Z33" s="416">
        <v>46155.0</v>
      </c>
      <c r="AA33" s="215" t="s">
        <v>2868</v>
      </c>
      <c r="AB33" s="417" t="s">
        <v>2869</v>
      </c>
      <c r="AC33" s="418" t="s">
        <v>11</v>
      </c>
      <c r="AD33" s="419" t="s">
        <v>20</v>
      </c>
      <c r="AE33" s="61"/>
      <c r="AF33" s="269" t="b">
        <v>1</v>
      </c>
      <c r="AH33" s="401">
        <v>46167.0</v>
      </c>
      <c r="AI33" s="273" t="s">
        <v>2870</v>
      </c>
      <c r="AJ33" s="273" t="s">
        <v>2871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2872</v>
      </c>
      <c r="AR33" s="273" t="s">
        <v>2873</v>
      </c>
      <c r="AS33" s="395" t="s">
        <v>27</v>
      </c>
      <c r="AT33" s="274" t="s">
        <v>2338</v>
      </c>
      <c r="AU33" s="420" t="s">
        <v>2874</v>
      </c>
      <c r="AV33" s="269"/>
      <c r="AX33" s="270">
        <v>46170.0</v>
      </c>
      <c r="AY33" s="273" t="s">
        <v>2875</v>
      </c>
      <c r="AZ33" s="413" t="s">
        <v>2876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2877</v>
      </c>
      <c r="BH33" s="109" t="s">
        <v>2878</v>
      </c>
      <c r="BI33" s="58" t="s">
        <v>27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2879</v>
      </c>
      <c r="D34" s="277" t="s">
        <v>2880</v>
      </c>
      <c r="E34" s="303" t="s">
        <v>13</v>
      </c>
      <c r="F34" s="303" t="s">
        <v>20</v>
      </c>
      <c r="G34" s="302" t="s">
        <v>2881</v>
      </c>
      <c r="H34" s="281" t="b">
        <v>1</v>
      </c>
      <c r="J34" s="270">
        <v>46148.0</v>
      </c>
      <c r="K34" s="109" t="s">
        <v>2882</v>
      </c>
      <c r="L34" s="109" t="s">
        <v>2883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2884</v>
      </c>
      <c r="T34" s="421" t="s">
        <v>2885</v>
      </c>
      <c r="U34" s="58" t="s">
        <v>22</v>
      </c>
      <c r="V34" s="58" t="s">
        <v>9</v>
      </c>
      <c r="W34" s="61"/>
      <c r="X34" s="269" t="b">
        <v>1</v>
      </c>
      <c r="Z34" s="422">
        <v>46155.0</v>
      </c>
      <c r="AA34" s="215" t="s">
        <v>2886</v>
      </c>
      <c r="AB34" s="215" t="s">
        <v>2887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2888</v>
      </c>
      <c r="AJ34" s="294" t="s">
        <v>2889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2890</v>
      </c>
      <c r="AR34" s="294" t="s">
        <v>2891</v>
      </c>
      <c r="AS34" s="409" t="s">
        <v>27</v>
      </c>
      <c r="AT34" s="295" t="s">
        <v>2338</v>
      </c>
      <c r="AU34" s="423" t="s">
        <v>2892</v>
      </c>
      <c r="AV34" s="269"/>
      <c r="AX34" s="270">
        <v>46170.0</v>
      </c>
      <c r="AY34" s="294" t="s">
        <v>2893</v>
      </c>
      <c r="AZ34" s="411" t="s">
        <v>2894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2895</v>
      </c>
      <c r="BH34" s="109" t="s">
        <v>2896</v>
      </c>
      <c r="BI34" s="58" t="s">
        <v>30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2897</v>
      </c>
      <c r="D35" s="277" t="s">
        <v>2898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2899</v>
      </c>
      <c r="L35" s="109" t="s">
        <v>2900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2901</v>
      </c>
      <c r="T35" s="109" t="s">
        <v>2902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2903</v>
      </c>
      <c r="AB35" s="109" t="s">
        <v>2904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2905</v>
      </c>
      <c r="AJ35" s="273" t="s">
        <v>2906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2907</v>
      </c>
      <c r="AR35" s="109" t="s">
        <v>2908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2909</v>
      </c>
      <c r="AZ35" s="413" t="s">
        <v>2910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2911</v>
      </c>
      <c r="BH35" s="109" t="s">
        <v>2912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2913</v>
      </c>
      <c r="D36" s="277" t="s">
        <v>2914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2915</v>
      </c>
      <c r="L36" s="109" t="s">
        <v>2916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2917</v>
      </c>
      <c r="T36" s="109" t="s">
        <v>2918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2919</v>
      </c>
      <c r="AB36" s="109" t="s">
        <v>2920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2921</v>
      </c>
      <c r="AJ36" s="294" t="s">
        <v>2922</v>
      </c>
      <c r="AK36" s="409" t="s">
        <v>22</v>
      </c>
      <c r="AL36" s="295" t="s">
        <v>2338</v>
      </c>
      <c r="AM36" s="109" t="s">
        <v>2923</v>
      </c>
      <c r="AN36" s="269" t="b">
        <v>1</v>
      </c>
      <c r="AP36" s="270">
        <v>46164.0</v>
      </c>
      <c r="AQ36" s="109" t="s">
        <v>2924</v>
      </c>
      <c r="AR36" s="109" t="s">
        <v>2925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2926</v>
      </c>
      <c r="AZ36" s="411" t="s">
        <v>2927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2928</v>
      </c>
      <c r="BH36" s="109" t="s">
        <v>2929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2930</v>
      </c>
      <c r="D37" s="277" t="s">
        <v>2931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2932</v>
      </c>
      <c r="L37" s="109" t="s">
        <v>2933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2934</v>
      </c>
      <c r="T37" s="109" t="s">
        <v>2935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2936</v>
      </c>
      <c r="AB37" s="109" t="s">
        <v>2937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2938</v>
      </c>
      <c r="AJ37" s="373" t="s">
        <v>2939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2940</v>
      </c>
      <c r="AR37" s="109" t="s">
        <v>2941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2942</v>
      </c>
      <c r="AZ37" s="413" t="s">
        <v>2943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2944</v>
      </c>
      <c r="BH37" s="109" t="s">
        <v>2945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2946</v>
      </c>
      <c r="D38" s="277" t="s">
        <v>2947</v>
      </c>
      <c r="E38" s="303" t="s">
        <v>22</v>
      </c>
      <c r="F38" s="303" t="s">
        <v>20</v>
      </c>
      <c r="G38" s="302" t="s">
        <v>2948</v>
      </c>
      <c r="H38" s="281" t="b">
        <v>1</v>
      </c>
      <c r="J38" s="270">
        <v>46148.0</v>
      </c>
      <c r="K38" s="109" t="s">
        <v>2949</v>
      </c>
      <c r="L38" s="109" t="s">
        <v>2950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2951</v>
      </c>
      <c r="T38" s="109" t="s">
        <v>2952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2953</v>
      </c>
      <c r="AB38" s="109" t="s">
        <v>2954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2955</v>
      </c>
      <c r="AJ38" s="373" t="s">
        <v>2956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2957</v>
      </c>
      <c r="AR38" s="109" t="s">
        <v>2958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2959</v>
      </c>
      <c r="AZ38" s="411" t="s">
        <v>2960</v>
      </c>
      <c r="BA38" s="58" t="s">
        <v>22</v>
      </c>
      <c r="BB38" s="58" t="s">
        <v>12</v>
      </c>
      <c r="BC38" s="61"/>
      <c r="BD38" s="269" t="b">
        <v>1</v>
      </c>
      <c r="BF38" s="380">
        <v>46171.0</v>
      </c>
      <c r="BG38" s="294" t="s">
        <v>2961</v>
      </c>
      <c r="BH38" s="294" t="s">
        <v>2962</v>
      </c>
      <c r="BI38" s="381" t="s">
        <v>30</v>
      </c>
      <c r="BJ38" s="404" t="s">
        <v>2338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2963</v>
      </c>
      <c r="D39" s="277" t="s">
        <v>2964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2965</v>
      </c>
      <c r="L39" s="109" t="s">
        <v>2966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2967</v>
      </c>
      <c r="T39" s="109" t="s">
        <v>2968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2969</v>
      </c>
      <c r="AB39" s="109" t="s">
        <v>2970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2971</v>
      </c>
      <c r="AJ39" s="373" t="s">
        <v>2972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2973</v>
      </c>
      <c r="AR39" s="109" t="s">
        <v>2974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2975</v>
      </c>
      <c r="AZ39" s="413" t="s">
        <v>2976</v>
      </c>
      <c r="BA39" s="58" t="s">
        <v>22</v>
      </c>
      <c r="BB39" s="58" t="s">
        <v>12</v>
      </c>
      <c r="BC39" s="61"/>
      <c r="BD39" s="269" t="b">
        <v>1</v>
      </c>
      <c r="BF39" s="382">
        <v>46171.0</v>
      </c>
      <c r="BG39" s="273" t="s">
        <v>2977</v>
      </c>
      <c r="BH39" s="273" t="s">
        <v>2978</v>
      </c>
      <c r="BI39" s="383" t="s">
        <v>25</v>
      </c>
      <c r="BJ39" s="27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2979</v>
      </c>
      <c r="D40" s="277" t="s">
        <v>2980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2981</v>
      </c>
      <c r="L40" s="109" t="s">
        <v>2982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2983</v>
      </c>
      <c r="T40" s="109" t="s">
        <v>2984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2985</v>
      </c>
      <c r="AB40" s="109" t="s">
        <v>2986</v>
      </c>
      <c r="AC40" s="58" t="s">
        <v>11</v>
      </c>
      <c r="AD40" s="58" t="s">
        <v>20</v>
      </c>
      <c r="AE40" s="109" t="s">
        <v>2987</v>
      </c>
      <c r="AF40" s="269" t="b">
        <v>1</v>
      </c>
      <c r="AH40" s="270">
        <v>46168.0</v>
      </c>
      <c r="AI40" s="109" t="s">
        <v>2988</v>
      </c>
      <c r="AJ40" s="373" t="s">
        <v>2989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2990</v>
      </c>
      <c r="AR40" s="109" t="s">
        <v>2991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2992</v>
      </c>
      <c r="AZ40" s="411" t="s">
        <v>2993</v>
      </c>
      <c r="BA40" s="58" t="s">
        <v>22</v>
      </c>
      <c r="BB40" s="58" t="s">
        <v>12</v>
      </c>
      <c r="BC40" s="61"/>
      <c r="BD40" s="269" t="b">
        <v>1</v>
      </c>
      <c r="BF40" s="380">
        <v>46171.0</v>
      </c>
      <c r="BG40" s="294" t="s">
        <v>2994</v>
      </c>
      <c r="BH40" s="294" t="s">
        <v>2995</v>
      </c>
      <c r="BI40" s="381" t="s">
        <v>27</v>
      </c>
      <c r="BJ40" s="406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2996</v>
      </c>
      <c r="D41" s="277" t="s">
        <v>2997</v>
      </c>
      <c r="E41" s="303" t="s">
        <v>22</v>
      </c>
      <c r="F41" s="303" t="s">
        <v>20</v>
      </c>
      <c r="G41" s="302" t="s">
        <v>2948</v>
      </c>
      <c r="H41" s="281" t="b">
        <v>1</v>
      </c>
      <c r="J41" s="270">
        <v>46149.0</v>
      </c>
      <c r="K41" s="109" t="s">
        <v>2998</v>
      </c>
      <c r="L41" s="109" t="s">
        <v>2999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3000</v>
      </c>
      <c r="T41" s="109" t="s">
        <v>3001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3002</v>
      </c>
      <c r="AB41" s="109" t="s">
        <v>3003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3004</v>
      </c>
      <c r="AJ41" s="373" t="s">
        <v>3005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3006</v>
      </c>
      <c r="AR41" s="109" t="s">
        <v>3007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3008</v>
      </c>
      <c r="AZ41" s="413" t="s">
        <v>3009</v>
      </c>
      <c r="BA41" s="58" t="s">
        <v>22</v>
      </c>
      <c r="BB41" s="58" t="s">
        <v>12</v>
      </c>
      <c r="BC41" s="61"/>
      <c r="BD41" s="269" t="b">
        <v>1</v>
      </c>
      <c r="BF41" s="382">
        <v>46171.0</v>
      </c>
      <c r="BG41" s="273" t="s">
        <v>3010</v>
      </c>
      <c r="BH41" s="273" t="s">
        <v>3011</v>
      </c>
      <c r="BI41" s="383" t="s">
        <v>30</v>
      </c>
      <c r="BJ41" s="410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3012</v>
      </c>
      <c r="D42" s="277" t="s">
        <v>3013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3014</v>
      </c>
      <c r="L42" s="109" t="s">
        <v>3015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3016</v>
      </c>
      <c r="T42" s="109" t="s">
        <v>3017</v>
      </c>
      <c r="U42" s="58"/>
      <c r="V42" s="58" t="s">
        <v>2344</v>
      </c>
      <c r="W42" s="109" t="s">
        <v>3018</v>
      </c>
      <c r="X42" s="298"/>
      <c r="Z42" s="270">
        <v>46156.0</v>
      </c>
      <c r="AA42" s="109" t="s">
        <v>3019</v>
      </c>
      <c r="AB42" s="109" t="s">
        <v>3020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3021</v>
      </c>
      <c r="AJ42" s="373" t="s">
        <v>3022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3023</v>
      </c>
      <c r="AR42" s="109" t="s">
        <v>3024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3025</v>
      </c>
      <c r="AZ42" s="411" t="s">
        <v>3026</v>
      </c>
      <c r="BA42" s="58" t="s">
        <v>22</v>
      </c>
      <c r="BB42" s="58" t="s">
        <v>12</v>
      </c>
      <c r="BC42" s="61"/>
      <c r="BD42" s="269" t="b">
        <v>1</v>
      </c>
      <c r="BF42" s="403">
        <v>46171.0</v>
      </c>
      <c r="BG42" s="294" t="s">
        <v>3027</v>
      </c>
      <c r="BH42" s="294" t="s">
        <v>3028</v>
      </c>
      <c r="BI42" s="295" t="s">
        <v>18</v>
      </c>
      <c r="BJ42" s="295" t="s">
        <v>2337</v>
      </c>
      <c r="BK42" s="61"/>
      <c r="BL42" s="269" t="b">
        <v>1</v>
      </c>
    </row>
    <row r="43" ht="22.5" customHeight="1">
      <c r="A43" s="368"/>
      <c r="B43" s="314">
        <v>46136.0</v>
      </c>
      <c r="C43" s="302" t="s">
        <v>3029</v>
      </c>
      <c r="D43" s="277" t="s">
        <v>3030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3031</v>
      </c>
      <c r="L43" s="109" t="s">
        <v>3032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3033</v>
      </c>
      <c r="T43" s="109" t="s">
        <v>3034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3035</v>
      </c>
      <c r="AB43" s="109" t="s">
        <v>3036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3037</v>
      </c>
      <c r="AJ43" s="373" t="s">
        <v>3038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3039</v>
      </c>
      <c r="AR43" s="109" t="s">
        <v>3040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3041</v>
      </c>
      <c r="AZ43" s="413" t="s">
        <v>3042</v>
      </c>
      <c r="BA43" s="58" t="s">
        <v>22</v>
      </c>
      <c r="BB43" s="58" t="s">
        <v>12</v>
      </c>
      <c r="BC43" s="61"/>
      <c r="BD43" s="269" t="b">
        <v>1</v>
      </c>
      <c r="BF43" s="401">
        <v>46171.0</v>
      </c>
      <c r="BG43" s="273" t="s">
        <v>3043</v>
      </c>
      <c r="BH43" s="273" t="s">
        <v>3044</v>
      </c>
      <c r="BI43" s="274" t="s">
        <v>23</v>
      </c>
      <c r="BJ43" s="274" t="s">
        <v>2337</v>
      </c>
      <c r="BK43" s="61"/>
      <c r="BL43" s="269" t="b">
        <v>0</v>
      </c>
    </row>
    <row r="44" ht="22.5" customHeight="1">
      <c r="A44" s="368"/>
      <c r="B44" s="314">
        <v>46136.0</v>
      </c>
      <c r="C44" s="302" t="s">
        <v>3045</v>
      </c>
      <c r="D44" s="277" t="s">
        <v>3046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3047</v>
      </c>
      <c r="L44" s="109" t="s">
        <v>3048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3049</v>
      </c>
      <c r="T44" s="109" t="s">
        <v>3050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3051</v>
      </c>
      <c r="AB44" s="109" t="s">
        <v>3052</v>
      </c>
      <c r="AC44" s="58" t="s">
        <v>30</v>
      </c>
      <c r="AD44" s="58" t="s">
        <v>28</v>
      </c>
      <c r="AE44" s="109" t="s">
        <v>3053</v>
      </c>
      <c r="AF44" s="269"/>
      <c r="AH44" s="270">
        <v>46168.0</v>
      </c>
      <c r="AI44" s="109" t="s">
        <v>3054</v>
      </c>
      <c r="AJ44" s="373" t="s">
        <v>3055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3056</v>
      </c>
      <c r="AR44" s="109" t="s">
        <v>3057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3058</v>
      </c>
      <c r="AZ44" s="373" t="s">
        <v>3059</v>
      </c>
      <c r="BA44" s="58" t="s">
        <v>22</v>
      </c>
      <c r="BB44" s="58" t="s">
        <v>958</v>
      </c>
      <c r="BC44" s="61"/>
      <c r="BD44" s="269" t="b">
        <v>1</v>
      </c>
      <c r="BF44" s="403">
        <v>46171.0</v>
      </c>
      <c r="BG44" s="294" t="s">
        <v>3060</v>
      </c>
      <c r="BH44" s="294" t="s">
        <v>3061</v>
      </c>
      <c r="BI44" s="295" t="s">
        <v>21</v>
      </c>
      <c r="BJ44" s="295" t="s">
        <v>2337</v>
      </c>
      <c r="BK44" s="61"/>
      <c r="BL44" s="269" t="b">
        <v>1</v>
      </c>
    </row>
    <row r="45" ht="22.5" customHeight="1">
      <c r="A45" s="368"/>
      <c r="B45" s="314">
        <v>46136.0</v>
      </c>
      <c r="C45" s="302" t="s">
        <v>3062</v>
      </c>
      <c r="D45" s="277" t="s">
        <v>3063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3064</v>
      </c>
      <c r="L45" s="109" t="s">
        <v>3065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3066</v>
      </c>
      <c r="T45" s="109" t="s">
        <v>3067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3068</v>
      </c>
      <c r="AB45" s="109" t="s">
        <v>3069</v>
      </c>
      <c r="AC45" s="58" t="s">
        <v>18</v>
      </c>
      <c r="AD45" s="58" t="s">
        <v>2338</v>
      </c>
      <c r="AE45" s="109" t="s">
        <v>3070</v>
      </c>
      <c r="AF45" s="269"/>
      <c r="AH45" s="270">
        <v>46168.0</v>
      </c>
      <c r="AI45" s="109" t="s">
        <v>3071</v>
      </c>
      <c r="AJ45" s="373" t="s">
        <v>3072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3073</v>
      </c>
      <c r="AR45" s="109" t="s">
        <v>3074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3075</v>
      </c>
      <c r="AZ45" s="373" t="s">
        <v>3076</v>
      </c>
      <c r="BA45" s="58" t="s">
        <v>13</v>
      </c>
      <c r="BB45" s="58" t="s">
        <v>2349</v>
      </c>
      <c r="BC45" s="61"/>
      <c r="BD45" s="269" t="b">
        <v>1</v>
      </c>
      <c r="BF45" s="401">
        <v>46171.0</v>
      </c>
      <c r="BG45" s="273" t="s">
        <v>3077</v>
      </c>
      <c r="BH45" s="273" t="s">
        <v>3078</v>
      </c>
      <c r="BI45" s="274" t="s">
        <v>25</v>
      </c>
      <c r="BJ45" s="274" t="s">
        <v>2337</v>
      </c>
      <c r="BK45" s="61"/>
      <c r="BL45" s="269" t="b">
        <v>1</v>
      </c>
    </row>
    <row r="46" ht="22.5" customHeight="1">
      <c r="A46" s="368"/>
      <c r="B46" s="314">
        <v>46136.0</v>
      </c>
      <c r="C46" s="302" t="s">
        <v>3079</v>
      </c>
      <c r="D46" s="277" t="s">
        <v>3080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3081</v>
      </c>
      <c r="L46" s="109" t="s">
        <v>3082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3083</v>
      </c>
      <c r="T46" s="109" t="s">
        <v>3084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3085</v>
      </c>
      <c r="AB46" s="109" t="s">
        <v>3086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3087</v>
      </c>
      <c r="AJ46" s="373" t="s">
        <v>3088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3089</v>
      </c>
      <c r="AR46" s="109" t="s">
        <v>3090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3091</v>
      </c>
      <c r="AZ46" s="373" t="s">
        <v>3092</v>
      </c>
      <c r="BA46" s="344" t="s">
        <v>22</v>
      </c>
      <c r="BB46" s="344" t="s">
        <v>2344</v>
      </c>
      <c r="BC46" s="61"/>
      <c r="BD46" s="269" t="b">
        <v>1</v>
      </c>
      <c r="BF46" s="403">
        <v>46171.0</v>
      </c>
      <c r="BG46" s="294" t="s">
        <v>3093</v>
      </c>
      <c r="BH46" s="294" t="s">
        <v>3094</v>
      </c>
      <c r="BI46" s="295" t="s">
        <v>21</v>
      </c>
      <c r="BJ46" s="295" t="s">
        <v>2337</v>
      </c>
      <c r="BK46" s="61"/>
      <c r="BL46" s="269" t="b">
        <v>1</v>
      </c>
    </row>
    <row r="47" ht="22.5" customHeight="1">
      <c r="A47" s="368"/>
      <c r="B47" s="314">
        <v>46136.0</v>
      </c>
      <c r="C47" s="302" t="s">
        <v>3095</v>
      </c>
      <c r="D47" s="277" t="s">
        <v>3096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3097</v>
      </c>
      <c r="L47" s="109" t="s">
        <v>3098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3099</v>
      </c>
      <c r="T47" s="109" t="s">
        <v>3100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3101</v>
      </c>
      <c r="AB47" s="109" t="s">
        <v>3102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3103</v>
      </c>
      <c r="AJ47" s="373" t="s">
        <v>3104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3105</v>
      </c>
      <c r="AR47" s="109" t="s">
        <v>3106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3107</v>
      </c>
      <c r="AZ47" s="373" t="s">
        <v>3108</v>
      </c>
      <c r="BA47" s="344" t="s">
        <v>22</v>
      </c>
      <c r="BB47" s="344" t="s">
        <v>2344</v>
      </c>
      <c r="BC47" s="61"/>
      <c r="BD47" s="269" t="b">
        <v>1</v>
      </c>
      <c r="BF47" s="401">
        <v>46171.0</v>
      </c>
      <c r="BG47" s="273" t="s">
        <v>3109</v>
      </c>
      <c r="BH47" s="273" t="s">
        <v>3110</v>
      </c>
      <c r="BI47" s="274" t="s">
        <v>21</v>
      </c>
      <c r="BJ47" s="274" t="s">
        <v>2337</v>
      </c>
      <c r="BK47" s="61"/>
      <c r="BL47" s="269" t="b">
        <v>1</v>
      </c>
    </row>
    <row r="48" ht="22.5" customHeight="1">
      <c r="A48" s="368"/>
      <c r="B48" s="314">
        <v>46136.0</v>
      </c>
      <c r="C48" s="302" t="s">
        <v>3111</v>
      </c>
      <c r="D48" s="277" t="s">
        <v>3112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3113</v>
      </c>
      <c r="L48" s="109" t="s">
        <v>3114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3115</v>
      </c>
      <c r="T48" s="347" t="s">
        <v>3116</v>
      </c>
      <c r="U48" s="58"/>
      <c r="V48" s="58" t="s">
        <v>958</v>
      </c>
      <c r="W48" s="109" t="s">
        <v>3117</v>
      </c>
      <c r="X48" s="269" t="b">
        <v>0</v>
      </c>
      <c r="Z48" s="270">
        <v>46156.0</v>
      </c>
      <c r="AA48" s="109" t="s">
        <v>3118</v>
      </c>
      <c r="AB48" s="109" t="s">
        <v>3119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3120</v>
      </c>
      <c r="AR48" s="109" t="s">
        <v>3121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3122</v>
      </c>
      <c r="AZ48" s="373" t="s">
        <v>3123</v>
      </c>
      <c r="BA48" s="344" t="s">
        <v>22</v>
      </c>
      <c r="BB48" s="344" t="s">
        <v>2344</v>
      </c>
      <c r="BC48" s="61"/>
      <c r="BD48" s="269" t="b">
        <v>1</v>
      </c>
      <c r="BF48" s="194"/>
      <c r="BG48" s="61"/>
      <c r="BH48" s="61"/>
      <c r="BI48" s="81"/>
      <c r="BJ48" s="81"/>
      <c r="BK48" s="61"/>
      <c r="BL48" s="291"/>
    </row>
    <row r="49" ht="22.5" customHeight="1">
      <c r="A49" s="368"/>
      <c r="B49" s="314">
        <v>46136.0</v>
      </c>
      <c r="C49" s="302" t="s">
        <v>3124</v>
      </c>
      <c r="D49" s="277" t="s">
        <v>3125</v>
      </c>
      <c r="E49" s="303" t="s">
        <v>22</v>
      </c>
      <c r="F49" s="303" t="s">
        <v>14</v>
      </c>
      <c r="G49" s="424" t="s">
        <v>3126</v>
      </c>
      <c r="H49" s="281" t="b">
        <v>1</v>
      </c>
      <c r="J49" s="270">
        <v>46149.0</v>
      </c>
      <c r="K49" s="109" t="s">
        <v>3127</v>
      </c>
      <c r="L49" s="109" t="s">
        <v>3128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3129</v>
      </c>
      <c r="T49" s="392" t="s">
        <v>3130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3131</v>
      </c>
      <c r="AB49" s="109" t="s">
        <v>3132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3133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3134</v>
      </c>
      <c r="AR49" s="109" t="s">
        <v>3135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3136</v>
      </c>
      <c r="AZ49" s="373" t="s">
        <v>3137</v>
      </c>
      <c r="BA49" s="344" t="s">
        <v>22</v>
      </c>
      <c r="BB49" s="344" t="s">
        <v>2344</v>
      </c>
      <c r="BC49" s="61"/>
      <c r="BD49" s="269" t="b">
        <v>1</v>
      </c>
      <c r="BF49" s="194"/>
      <c r="BG49" s="61"/>
      <c r="BH49" s="61"/>
      <c r="BI49" s="81"/>
      <c r="BJ49" s="81"/>
      <c r="BK49" s="61"/>
      <c r="BL49" s="291"/>
    </row>
    <row r="50" ht="22.5" customHeight="1">
      <c r="A50" s="368"/>
      <c r="B50" s="314">
        <v>46136.0</v>
      </c>
      <c r="C50" s="302" t="s">
        <v>3138</v>
      </c>
      <c r="D50" s="277" t="s">
        <v>3139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3140</v>
      </c>
      <c r="L50" s="109" t="s">
        <v>3141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3142</v>
      </c>
      <c r="T50" s="392" t="s">
        <v>3143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3144</v>
      </c>
      <c r="AB50" s="109" t="s">
        <v>3145</v>
      </c>
      <c r="AC50" s="58" t="s">
        <v>11</v>
      </c>
      <c r="AD50" s="58" t="s">
        <v>20</v>
      </c>
      <c r="AE50" s="61"/>
      <c r="AF50" s="269" t="b">
        <v>1</v>
      </c>
      <c r="AH50" s="425">
        <v>46168.0</v>
      </c>
      <c r="AI50" s="273" t="s">
        <v>3146</v>
      </c>
      <c r="AJ50" s="273" t="s">
        <v>3147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3148</v>
      </c>
      <c r="AR50" s="417" t="s">
        <v>3149</v>
      </c>
      <c r="AS50" s="409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3150</v>
      </c>
      <c r="AZ50" s="373" t="s">
        <v>3151</v>
      </c>
      <c r="BA50" s="58" t="s">
        <v>22</v>
      </c>
      <c r="BB50" s="58" t="s">
        <v>958</v>
      </c>
      <c r="BC50" s="109" t="s">
        <v>3152</v>
      </c>
      <c r="BD50" s="269" t="b">
        <v>1</v>
      </c>
      <c r="BF50" s="194"/>
      <c r="BG50" s="61"/>
      <c r="BH50" s="61"/>
      <c r="BI50" s="81"/>
      <c r="BJ50" s="81"/>
      <c r="BK50" s="61"/>
      <c r="BL50" s="291"/>
    </row>
    <row r="51" ht="22.5" customHeight="1">
      <c r="A51" s="368"/>
      <c r="B51" s="314">
        <v>46139.0</v>
      </c>
      <c r="C51" s="302" t="s">
        <v>3153</v>
      </c>
      <c r="D51" s="277" t="s">
        <v>3154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3155</v>
      </c>
      <c r="L51" s="109" t="s">
        <v>3156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3157</v>
      </c>
      <c r="T51" s="397" t="s">
        <v>3158</v>
      </c>
      <c r="U51" s="58" t="s">
        <v>22</v>
      </c>
      <c r="V51" s="58" t="s">
        <v>12</v>
      </c>
      <c r="W51" s="109" t="s">
        <v>3159</v>
      </c>
      <c r="X51" s="269" t="b">
        <v>1</v>
      </c>
      <c r="Z51" s="270">
        <v>46156.0</v>
      </c>
      <c r="AA51" s="109" t="s">
        <v>3160</v>
      </c>
      <c r="AB51" s="109" t="s">
        <v>3161</v>
      </c>
      <c r="AC51" s="58" t="s">
        <v>11</v>
      </c>
      <c r="AD51" s="58" t="s">
        <v>20</v>
      </c>
      <c r="AE51" s="61"/>
      <c r="AF51" s="269" t="b">
        <v>1</v>
      </c>
      <c r="AH51" s="426">
        <v>46168.0</v>
      </c>
      <c r="AI51" s="294" t="s">
        <v>3162</v>
      </c>
      <c r="AJ51" s="294" t="s">
        <v>3163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3164</v>
      </c>
      <c r="AZ51" s="373" t="s">
        <v>3165</v>
      </c>
      <c r="BA51" s="58"/>
      <c r="BB51" s="58" t="s">
        <v>2347</v>
      </c>
      <c r="BC51" s="109" t="s">
        <v>3166</v>
      </c>
      <c r="BD51" s="269" t="b">
        <v>0</v>
      </c>
      <c r="BF51" s="194"/>
      <c r="BG51" s="61"/>
      <c r="BH51" s="61"/>
      <c r="BI51" s="81"/>
      <c r="BJ51" s="81"/>
      <c r="BK51" s="61"/>
      <c r="BL51" s="291"/>
    </row>
    <row r="52" ht="22.5" customHeight="1">
      <c r="A52" s="368"/>
      <c r="B52" s="314">
        <v>46139.0</v>
      </c>
      <c r="C52" s="302" t="s">
        <v>3167</v>
      </c>
      <c r="D52" s="277" t="s">
        <v>3168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3169</v>
      </c>
      <c r="L52" s="109" t="s">
        <v>3170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3171</v>
      </c>
      <c r="T52" s="392" t="s">
        <v>3172</v>
      </c>
      <c r="U52" s="58"/>
      <c r="V52" s="58" t="s">
        <v>958</v>
      </c>
      <c r="W52" s="109" t="s">
        <v>3173</v>
      </c>
      <c r="X52" s="298"/>
      <c r="Z52" s="270">
        <v>46156.0</v>
      </c>
      <c r="AA52" s="109" t="s">
        <v>3174</v>
      </c>
      <c r="AB52" s="109" t="s">
        <v>3175</v>
      </c>
      <c r="AC52" s="58" t="s">
        <v>11</v>
      </c>
      <c r="AD52" s="58" t="s">
        <v>20</v>
      </c>
      <c r="AE52" s="61"/>
      <c r="AF52" s="269" t="b">
        <v>1</v>
      </c>
      <c r="AH52" s="425">
        <v>46168.0</v>
      </c>
      <c r="AI52" s="273" t="s">
        <v>3176</v>
      </c>
      <c r="AJ52" s="273" t="s">
        <v>3177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3178</v>
      </c>
      <c r="AZ52" s="373" t="s">
        <v>3179</v>
      </c>
      <c r="BA52" s="58" t="s">
        <v>44</v>
      </c>
      <c r="BB52" s="58" t="s">
        <v>9</v>
      </c>
      <c r="BC52" s="61"/>
      <c r="BD52" s="269" t="b">
        <v>1</v>
      </c>
      <c r="BF52" s="194"/>
      <c r="BG52" s="61"/>
      <c r="BH52" s="61"/>
      <c r="BI52" s="81"/>
      <c r="BJ52" s="81"/>
      <c r="BK52" s="61"/>
      <c r="BL52" s="291"/>
    </row>
    <row r="53" ht="22.5" customHeight="1">
      <c r="A53" s="368"/>
      <c r="B53" s="314">
        <v>46139.0</v>
      </c>
      <c r="C53" s="302" t="s">
        <v>3180</v>
      </c>
      <c r="D53" s="277" t="s">
        <v>3181</v>
      </c>
      <c r="E53" s="303" t="s">
        <v>13</v>
      </c>
      <c r="F53" s="303" t="s">
        <v>12</v>
      </c>
      <c r="G53" s="302" t="s">
        <v>3182</v>
      </c>
      <c r="H53" s="315"/>
      <c r="J53" s="270">
        <v>46149.0</v>
      </c>
      <c r="K53" s="109" t="s">
        <v>3183</v>
      </c>
      <c r="L53" s="109" t="s">
        <v>3184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3185</v>
      </c>
      <c r="T53" s="109" t="s">
        <v>3186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3187</v>
      </c>
      <c r="AB53" s="109" t="s">
        <v>3188</v>
      </c>
      <c r="AC53" s="58" t="s">
        <v>18</v>
      </c>
      <c r="AD53" s="58" t="s">
        <v>20</v>
      </c>
      <c r="AE53" s="61"/>
      <c r="AF53" s="269" t="b">
        <v>1</v>
      </c>
      <c r="AH53" s="426">
        <v>46168.0</v>
      </c>
      <c r="AI53" s="294" t="s">
        <v>3189</v>
      </c>
      <c r="AJ53" s="294" t="s">
        <v>3190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3191</v>
      </c>
      <c r="AZ53" s="373" t="s">
        <v>3192</v>
      </c>
      <c r="BA53" s="58" t="s">
        <v>13</v>
      </c>
      <c r="BB53" s="58" t="s">
        <v>958</v>
      </c>
      <c r="BC53" s="61"/>
      <c r="BD53" s="269" t="b">
        <v>1</v>
      </c>
      <c r="BF53" s="194"/>
      <c r="BG53" s="61"/>
      <c r="BH53" s="61"/>
      <c r="BI53" s="81"/>
      <c r="BJ53" s="81"/>
      <c r="BK53" s="61"/>
      <c r="BL53" s="291"/>
    </row>
    <row r="54" ht="22.5" customHeight="1">
      <c r="A54" s="368"/>
      <c r="B54" s="314">
        <v>46139.0</v>
      </c>
      <c r="C54" s="302" t="s">
        <v>3193</v>
      </c>
      <c r="D54" s="277" t="s">
        <v>3194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3195</v>
      </c>
      <c r="L54" s="109" t="s">
        <v>3196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3197</v>
      </c>
      <c r="T54" s="109" t="s">
        <v>3198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3199</v>
      </c>
      <c r="AB54" s="109" t="s">
        <v>3200</v>
      </c>
      <c r="AC54" s="58" t="s">
        <v>11</v>
      </c>
      <c r="AD54" s="58" t="s">
        <v>20</v>
      </c>
      <c r="AE54" s="61"/>
      <c r="AF54" s="269" t="b">
        <v>1</v>
      </c>
      <c r="AH54" s="425">
        <v>46168.0</v>
      </c>
      <c r="AI54" s="273" t="s">
        <v>3201</v>
      </c>
      <c r="AJ54" s="273" t="s">
        <v>3202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3203</v>
      </c>
      <c r="AZ54" s="294" t="s">
        <v>3204</v>
      </c>
      <c r="BA54" s="391" t="s">
        <v>22</v>
      </c>
      <c r="BB54" s="295" t="s">
        <v>2344</v>
      </c>
      <c r="BC54" s="61"/>
      <c r="BD54" s="269" t="b">
        <v>1</v>
      </c>
      <c r="BF54" s="194"/>
      <c r="BG54" s="61"/>
      <c r="BH54" s="61"/>
      <c r="BI54" s="81"/>
      <c r="BJ54" s="81"/>
      <c r="BK54" s="61"/>
      <c r="BL54" s="291"/>
    </row>
    <row r="55" ht="22.5" customHeight="1">
      <c r="A55" s="368"/>
      <c r="B55" s="314">
        <v>46139.0</v>
      </c>
      <c r="C55" s="302" t="s">
        <v>3205</v>
      </c>
      <c r="D55" s="277" t="s">
        <v>3206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3207</v>
      </c>
      <c r="L55" s="284" t="s">
        <v>3208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3209</v>
      </c>
      <c r="T55" s="109" t="s">
        <v>3210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3211</v>
      </c>
      <c r="AB55" s="109" t="s">
        <v>3212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3213</v>
      </c>
      <c r="AJ55" s="294" t="s">
        <v>3214</v>
      </c>
      <c r="AK55" s="409"/>
      <c r="AL55" s="295" t="s">
        <v>2338</v>
      </c>
      <c r="AM55" s="427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>
        <v>46174.0</v>
      </c>
      <c r="AY55" s="109" t="s">
        <v>3215</v>
      </c>
      <c r="AZ55" s="373" t="s">
        <v>3216</v>
      </c>
      <c r="BA55" s="58" t="s">
        <v>32</v>
      </c>
      <c r="BB55" s="58" t="s">
        <v>9</v>
      </c>
      <c r="BC55" s="61"/>
      <c r="BD55" s="269" t="b">
        <v>1</v>
      </c>
      <c r="BF55" s="194"/>
      <c r="BG55" s="61"/>
      <c r="BH55" s="61"/>
      <c r="BI55" s="81"/>
      <c r="BJ55" s="81"/>
      <c r="BK55" s="61"/>
      <c r="BL55" s="291"/>
    </row>
    <row r="56" ht="22.5" customHeight="1">
      <c r="A56" s="368"/>
      <c r="B56" s="314">
        <v>46139.0</v>
      </c>
      <c r="C56" s="302" t="s">
        <v>3217</v>
      </c>
      <c r="D56" s="277" t="s">
        <v>3218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3219</v>
      </c>
      <c r="L56" s="109" t="s">
        <v>3220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3221</v>
      </c>
      <c r="T56" s="109" t="s">
        <v>3222</v>
      </c>
      <c r="U56" s="58" t="s">
        <v>22</v>
      </c>
      <c r="V56" s="58" t="s">
        <v>2344</v>
      </c>
      <c r="W56" s="109" t="s">
        <v>3223</v>
      </c>
      <c r="X56" s="269" t="b">
        <v>1</v>
      </c>
      <c r="Z56" s="270">
        <v>46156.0</v>
      </c>
      <c r="AA56" s="109" t="s">
        <v>3224</v>
      </c>
      <c r="AB56" s="109" t="s">
        <v>3225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3226</v>
      </c>
      <c r="AJ56" s="273" t="s">
        <v>3227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3228</v>
      </c>
      <c r="AZ56" s="373" t="s">
        <v>3229</v>
      </c>
      <c r="BA56" s="58" t="s">
        <v>32</v>
      </c>
      <c r="BB56" s="58" t="s">
        <v>9</v>
      </c>
      <c r="BC56" s="61"/>
      <c r="BD56" s="269" t="b">
        <v>1</v>
      </c>
      <c r="BF56" s="194"/>
      <c r="BG56" s="61"/>
      <c r="BH56" s="61"/>
      <c r="BI56" s="81"/>
      <c r="BJ56" s="81"/>
      <c r="BK56" s="61"/>
      <c r="BL56" s="291"/>
    </row>
    <row r="57" ht="22.5" customHeight="1">
      <c r="A57" s="368"/>
      <c r="B57" s="314">
        <v>46139.0</v>
      </c>
      <c r="C57" s="302" t="s">
        <v>3230</v>
      </c>
      <c r="D57" s="277" t="s">
        <v>3231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3232</v>
      </c>
      <c r="L57" s="109" t="s">
        <v>3233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3234</v>
      </c>
      <c r="T57" s="109" t="s">
        <v>3235</v>
      </c>
      <c r="U57" s="58" t="s">
        <v>22</v>
      </c>
      <c r="V57" s="58" t="s">
        <v>2344</v>
      </c>
      <c r="W57" s="109" t="s">
        <v>3223</v>
      </c>
      <c r="X57" s="269" t="b">
        <v>1</v>
      </c>
      <c r="Z57" s="270">
        <v>46157.0</v>
      </c>
      <c r="AA57" s="109" t="s">
        <v>3236</v>
      </c>
      <c r="AB57" s="109" t="s">
        <v>3237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3238</v>
      </c>
      <c r="AJ57" s="294" t="s">
        <v>3239</v>
      </c>
      <c r="AK57" s="409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>
        <v>46174.0</v>
      </c>
      <c r="AY57" s="312" t="s">
        <v>3240</v>
      </c>
      <c r="AZ57" s="373" t="s">
        <v>3241</v>
      </c>
      <c r="BA57" s="58" t="s">
        <v>32</v>
      </c>
      <c r="BB57" s="58" t="s">
        <v>9</v>
      </c>
      <c r="BC57" s="61"/>
      <c r="BD57" s="269" t="b">
        <v>1</v>
      </c>
      <c r="BF57" s="194"/>
      <c r="BG57" s="61"/>
      <c r="BH57" s="61"/>
      <c r="BI57" s="81"/>
      <c r="BJ57" s="81"/>
      <c r="BK57" s="61"/>
      <c r="BL57" s="291"/>
    </row>
    <row r="58" ht="22.5" customHeight="1">
      <c r="A58" s="368"/>
      <c r="B58" s="314">
        <v>46139.0</v>
      </c>
      <c r="C58" s="302" t="s">
        <v>3242</v>
      </c>
      <c r="D58" s="277" t="s">
        <v>3243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3244</v>
      </c>
      <c r="L58" s="109" t="s">
        <v>3245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3246</v>
      </c>
      <c r="T58" s="109" t="s">
        <v>3247</v>
      </c>
      <c r="U58" s="58"/>
      <c r="V58" s="58" t="s">
        <v>2344</v>
      </c>
      <c r="W58" s="427" t="s">
        <v>2432</v>
      </c>
      <c r="X58" s="298"/>
      <c r="Z58" s="270">
        <v>46157.0</v>
      </c>
      <c r="AA58" s="109" t="s">
        <v>3248</v>
      </c>
      <c r="AB58" s="109" t="s">
        <v>3249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3250</v>
      </c>
      <c r="AJ58" s="273" t="s">
        <v>3251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>
        <v>46171.0</v>
      </c>
      <c r="AY58" s="273" t="s">
        <v>3252</v>
      </c>
      <c r="AZ58" s="413" t="s">
        <v>3253</v>
      </c>
      <c r="BA58" s="58" t="s">
        <v>22</v>
      </c>
      <c r="BB58" s="58" t="s">
        <v>12</v>
      </c>
      <c r="BC58" s="61"/>
      <c r="BD58" s="269" t="b">
        <v>1</v>
      </c>
      <c r="BF58" s="194"/>
      <c r="BG58" s="61"/>
      <c r="BH58" s="61"/>
      <c r="BI58" s="81"/>
      <c r="BJ58" s="81"/>
      <c r="BK58" s="61"/>
      <c r="BL58" s="291"/>
    </row>
    <row r="59" ht="22.5" customHeight="1">
      <c r="A59" s="368"/>
      <c r="B59" s="314">
        <v>46139.0</v>
      </c>
      <c r="C59" s="302" t="s">
        <v>3254</v>
      </c>
      <c r="D59" s="277" t="s">
        <v>3255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3256</v>
      </c>
      <c r="L59" s="109" t="s">
        <v>3257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3258</v>
      </c>
      <c r="T59" s="109" t="s">
        <v>3259</v>
      </c>
      <c r="U59" s="58" t="s">
        <v>22</v>
      </c>
      <c r="V59" s="58" t="s">
        <v>2344</v>
      </c>
      <c r="W59" s="109" t="s">
        <v>3223</v>
      </c>
      <c r="X59" s="269" t="b">
        <v>1</v>
      </c>
      <c r="Z59" s="270">
        <v>46157.0</v>
      </c>
      <c r="AA59" s="109" t="s">
        <v>3260</v>
      </c>
      <c r="AB59" s="109" t="s">
        <v>3261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3262</v>
      </c>
      <c r="AJ59" s="294" t="s">
        <v>3263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>
        <v>46171.0</v>
      </c>
      <c r="AY59" s="294" t="s">
        <v>3264</v>
      </c>
      <c r="AZ59" s="411" t="s">
        <v>3265</v>
      </c>
      <c r="BA59" s="58" t="s">
        <v>22</v>
      </c>
      <c r="BB59" s="58" t="s">
        <v>12</v>
      </c>
      <c r="BC59" s="61"/>
      <c r="BD59" s="269" t="b">
        <v>1</v>
      </c>
      <c r="BF59" s="194"/>
      <c r="BG59" s="61"/>
      <c r="BH59" s="61"/>
      <c r="BI59" s="81"/>
      <c r="BJ59" s="81"/>
      <c r="BK59" s="61"/>
      <c r="BL59" s="291"/>
    </row>
    <row r="60" ht="22.5" customHeight="1">
      <c r="A60" s="368"/>
      <c r="B60" s="314">
        <v>46139.0</v>
      </c>
      <c r="C60" s="302" t="s">
        <v>3266</v>
      </c>
      <c r="D60" s="277" t="s">
        <v>3267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3268</v>
      </c>
      <c r="L60" s="109" t="s">
        <v>3269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3270</v>
      </c>
      <c r="T60" s="109" t="s">
        <v>3271</v>
      </c>
      <c r="U60" s="58" t="s">
        <v>22</v>
      </c>
      <c r="V60" s="58" t="s">
        <v>2344</v>
      </c>
      <c r="W60" s="109" t="s">
        <v>3223</v>
      </c>
      <c r="X60" s="269" t="b">
        <v>1</v>
      </c>
      <c r="Z60" s="270">
        <v>46157.0</v>
      </c>
      <c r="AA60" s="109" t="s">
        <v>3272</v>
      </c>
      <c r="AB60" s="109" t="s">
        <v>3273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3274</v>
      </c>
      <c r="AJ60" s="273" t="s">
        <v>3275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>
        <v>46171.0</v>
      </c>
      <c r="AY60" s="273" t="s">
        <v>3276</v>
      </c>
      <c r="AZ60" s="413" t="s">
        <v>3277</v>
      </c>
      <c r="BA60" s="58" t="s">
        <v>22</v>
      </c>
      <c r="BB60" s="58" t="s">
        <v>12</v>
      </c>
      <c r="BC60" s="61"/>
      <c r="BD60" s="269" t="b">
        <v>1</v>
      </c>
      <c r="BF60" s="194"/>
      <c r="BG60" s="61"/>
      <c r="BH60" s="61"/>
      <c r="BI60" s="81"/>
      <c r="BJ60" s="81"/>
      <c r="BK60" s="61"/>
      <c r="BL60" s="291"/>
    </row>
    <row r="61" ht="22.5" customHeight="1">
      <c r="A61" s="368"/>
      <c r="B61" s="314">
        <v>46139.0</v>
      </c>
      <c r="C61" s="302" t="s">
        <v>3278</v>
      </c>
      <c r="D61" s="277" t="s">
        <v>3279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3280</v>
      </c>
      <c r="L61" s="109" t="s">
        <v>3281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3282</v>
      </c>
      <c r="T61" s="312" t="s">
        <v>3283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3284</v>
      </c>
      <c r="AB61" s="109" t="s">
        <v>3285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3286</v>
      </c>
      <c r="AJ61" s="294" t="s">
        <v>3287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>
        <v>46171.0</v>
      </c>
      <c r="AY61" s="294" t="s">
        <v>3288</v>
      </c>
      <c r="AZ61" s="411" t="s">
        <v>3289</v>
      </c>
      <c r="BA61" s="58" t="s">
        <v>22</v>
      </c>
      <c r="BB61" s="58" t="s">
        <v>12</v>
      </c>
      <c r="BC61" s="61"/>
      <c r="BD61" s="269" t="b">
        <v>1</v>
      </c>
      <c r="BF61" s="194"/>
      <c r="BG61" s="61"/>
      <c r="BH61" s="61"/>
      <c r="BI61" s="81"/>
      <c r="BJ61" s="81"/>
      <c r="BK61" s="61"/>
      <c r="BL61" s="291"/>
    </row>
    <row r="62" ht="22.5" customHeight="1">
      <c r="A62" s="368"/>
      <c r="B62" s="314">
        <v>46139.0</v>
      </c>
      <c r="C62" s="302" t="s">
        <v>3290</v>
      </c>
      <c r="D62" s="277" t="s">
        <v>3291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3292</v>
      </c>
      <c r="L62" s="109" t="s">
        <v>3293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3294</v>
      </c>
      <c r="T62" s="347" t="s">
        <v>3295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3296</v>
      </c>
      <c r="AB62" s="109" t="s">
        <v>3297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3298</v>
      </c>
      <c r="AJ62" s="373" t="s">
        <v>3299</v>
      </c>
      <c r="AK62" s="58" t="s">
        <v>22</v>
      </c>
      <c r="AL62" s="58" t="s">
        <v>2347</v>
      </c>
      <c r="AM62" s="109" t="s">
        <v>3300</v>
      </c>
      <c r="AN62" s="269"/>
      <c r="AP62" s="270"/>
      <c r="AQ62" s="109"/>
      <c r="AR62" s="109"/>
      <c r="AS62" s="58"/>
      <c r="AT62" s="344"/>
      <c r="AU62" s="61"/>
      <c r="AV62" s="269"/>
      <c r="AX62" s="270">
        <v>46171.0</v>
      </c>
      <c r="AY62" s="273" t="s">
        <v>3301</v>
      </c>
      <c r="AZ62" s="413" t="s">
        <v>3302</v>
      </c>
      <c r="BA62" s="58" t="s">
        <v>22</v>
      </c>
      <c r="BB62" s="58" t="s">
        <v>12</v>
      </c>
      <c r="BC62" s="61"/>
      <c r="BD62" s="269" t="b">
        <v>1</v>
      </c>
      <c r="BF62" s="194"/>
      <c r="BG62" s="61"/>
      <c r="BH62" s="61"/>
      <c r="BI62" s="81"/>
      <c r="BJ62" s="81"/>
      <c r="BK62" s="61"/>
      <c r="BL62" s="291"/>
    </row>
    <row r="63" ht="22.5" customHeight="1">
      <c r="A63" s="368"/>
      <c r="B63" s="314">
        <v>46139.0</v>
      </c>
      <c r="C63" s="302" t="s">
        <v>3303</v>
      </c>
      <c r="D63" s="277" t="s">
        <v>3304</v>
      </c>
      <c r="E63" s="303" t="s">
        <v>13</v>
      </c>
      <c r="F63" s="303" t="s">
        <v>9</v>
      </c>
      <c r="G63" s="424" t="s">
        <v>2370</v>
      </c>
      <c r="H63" s="281" t="b">
        <v>1</v>
      </c>
      <c r="J63" s="270">
        <v>46150.0</v>
      </c>
      <c r="K63" s="109" t="s">
        <v>3305</v>
      </c>
      <c r="L63" s="109" t="s">
        <v>3306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3307</v>
      </c>
      <c r="T63" s="421" t="s">
        <v>3308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3309</v>
      </c>
      <c r="AB63" s="109" t="s">
        <v>3310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3311</v>
      </c>
      <c r="AJ63" s="373" t="s">
        <v>3312</v>
      </c>
      <c r="AK63" s="58" t="s">
        <v>16</v>
      </c>
      <c r="AL63" s="58" t="s">
        <v>2347</v>
      </c>
      <c r="AM63" s="109" t="s">
        <v>3300</v>
      </c>
      <c r="AN63" s="269"/>
      <c r="AP63" s="270"/>
      <c r="AQ63" s="109"/>
      <c r="AR63" s="109"/>
      <c r="AS63" s="344"/>
      <c r="AT63" s="344"/>
      <c r="AU63" s="61"/>
      <c r="AV63" s="269"/>
      <c r="AX63" s="270">
        <v>46171.0</v>
      </c>
      <c r="AY63" s="109" t="s">
        <v>3313</v>
      </c>
      <c r="AZ63" s="373" t="s">
        <v>3314</v>
      </c>
      <c r="BA63" s="58" t="s">
        <v>16</v>
      </c>
      <c r="BB63" s="58" t="s">
        <v>12</v>
      </c>
      <c r="BC63" s="61"/>
      <c r="BD63" s="269" t="b">
        <v>1</v>
      </c>
      <c r="BF63" s="194"/>
      <c r="BG63" s="61"/>
      <c r="BH63" s="61"/>
      <c r="BI63" s="81"/>
      <c r="BJ63" s="81"/>
      <c r="BK63" s="61"/>
      <c r="BL63" s="291"/>
    </row>
    <row r="64" ht="22.5" customHeight="1">
      <c r="A64" s="368"/>
      <c r="B64" s="314">
        <v>46139.0</v>
      </c>
      <c r="C64" s="302" t="s">
        <v>3315</v>
      </c>
      <c r="D64" s="277" t="s">
        <v>3316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3317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3318</v>
      </c>
      <c r="T64" s="47" t="s">
        <v>3319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3320</v>
      </c>
      <c r="AB64" s="109" t="s">
        <v>3321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>
        <v>46202.0</v>
      </c>
      <c r="AY64" s="109" t="s">
        <v>3322</v>
      </c>
      <c r="AZ64" s="373" t="s">
        <v>3323</v>
      </c>
      <c r="BA64" s="58"/>
      <c r="BB64" s="58" t="s">
        <v>2347</v>
      </c>
      <c r="BC64" s="109" t="s">
        <v>3324</v>
      </c>
      <c r="BD64" s="298"/>
      <c r="BF64" s="194"/>
      <c r="BG64" s="61"/>
      <c r="BH64" s="61"/>
      <c r="BI64" s="81"/>
      <c r="BJ64" s="81"/>
      <c r="BK64" s="61"/>
      <c r="BL64" s="291"/>
    </row>
    <row r="65" ht="22.5" customHeight="1">
      <c r="A65" s="368"/>
      <c r="B65" s="314">
        <v>46139.0</v>
      </c>
      <c r="C65" s="302" t="s">
        <v>3325</v>
      </c>
      <c r="D65" s="277" t="s">
        <v>3326</v>
      </c>
      <c r="E65" s="303" t="s">
        <v>19</v>
      </c>
      <c r="F65" s="303" t="s">
        <v>9</v>
      </c>
      <c r="G65" s="424" t="s">
        <v>3327</v>
      </c>
      <c r="H65" s="281" t="b">
        <v>1</v>
      </c>
      <c r="J65" s="270">
        <v>46150.0</v>
      </c>
      <c r="K65" s="109" t="s">
        <v>3328</v>
      </c>
      <c r="L65" s="109" t="s">
        <v>3329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3330</v>
      </c>
      <c r="T65" s="47" t="s">
        <v>3331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3332</v>
      </c>
      <c r="AB65" s="109" t="s">
        <v>3333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>
        <v>46174.0</v>
      </c>
      <c r="AY65" s="109" t="s">
        <v>3334</v>
      </c>
      <c r="AZ65" s="109" t="s">
        <v>3335</v>
      </c>
      <c r="BA65" s="58" t="s">
        <v>13</v>
      </c>
      <c r="BB65" s="58" t="s">
        <v>2349</v>
      </c>
      <c r="BC65" s="61"/>
      <c r="BD65" s="269" t="b">
        <v>1</v>
      </c>
      <c r="BF65" s="194"/>
      <c r="BG65" s="61"/>
      <c r="BH65" s="61"/>
      <c r="BI65" s="81"/>
      <c r="BJ65" s="81"/>
      <c r="BK65" s="61"/>
      <c r="BL65" s="291"/>
    </row>
    <row r="66" ht="22.5" customHeight="1">
      <c r="A66" s="368"/>
      <c r="B66" s="314">
        <v>46139.0</v>
      </c>
      <c r="C66" s="302" t="s">
        <v>3336</v>
      </c>
      <c r="D66" s="277" t="s">
        <v>3337</v>
      </c>
      <c r="E66" s="303" t="s">
        <v>44</v>
      </c>
      <c r="F66" s="303" t="s">
        <v>9</v>
      </c>
      <c r="G66" s="302" t="s">
        <v>3338</v>
      </c>
      <c r="H66" s="281" t="b">
        <v>1</v>
      </c>
      <c r="J66" s="270">
        <v>46150.0</v>
      </c>
      <c r="K66" s="312" t="s">
        <v>3339</v>
      </c>
      <c r="L66" s="109" t="s">
        <v>3340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3341</v>
      </c>
      <c r="T66" s="47" t="s">
        <v>3342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3343</v>
      </c>
      <c r="AB66" s="109" t="s">
        <v>3344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>
        <v>46174.0</v>
      </c>
      <c r="AY66" s="109" t="s">
        <v>3345</v>
      </c>
      <c r="AZ66" s="373" t="s">
        <v>3346</v>
      </c>
      <c r="BA66" s="58" t="s">
        <v>16</v>
      </c>
      <c r="BB66" s="58" t="s">
        <v>9</v>
      </c>
      <c r="BC66" s="61"/>
      <c r="BD66" s="269" t="b">
        <v>1</v>
      </c>
      <c r="BF66" s="194"/>
      <c r="BG66" s="61"/>
      <c r="BH66" s="61"/>
      <c r="BI66" s="81"/>
      <c r="BJ66" s="81"/>
      <c r="BK66" s="61"/>
      <c r="BL66" s="291"/>
    </row>
    <row r="67" ht="22.5" customHeight="1">
      <c r="A67" s="368"/>
      <c r="B67" s="314">
        <v>46140.0</v>
      </c>
      <c r="C67" s="302" t="s">
        <v>3347</v>
      </c>
      <c r="D67" s="277" t="s">
        <v>3348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3349</v>
      </c>
      <c r="L67" s="109" t="s">
        <v>3350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3351</v>
      </c>
      <c r="T67" s="47" t="s">
        <v>3352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3353</v>
      </c>
      <c r="AB67" s="109" t="s">
        <v>3354</v>
      </c>
      <c r="AC67" s="58" t="s">
        <v>18</v>
      </c>
      <c r="AD67" s="58" t="s">
        <v>20</v>
      </c>
      <c r="AE67" s="109" t="s">
        <v>3355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>
        <v>46174.0</v>
      </c>
      <c r="AY67" s="312" t="s">
        <v>3356</v>
      </c>
      <c r="AZ67" s="109" t="s">
        <v>3357</v>
      </c>
      <c r="BA67" s="58" t="s">
        <v>32</v>
      </c>
      <c r="BB67" s="58" t="s">
        <v>2349</v>
      </c>
      <c r="BC67" s="61"/>
      <c r="BD67" s="269" t="b">
        <v>1</v>
      </c>
      <c r="BF67" s="194"/>
      <c r="BG67" s="61"/>
      <c r="BH67" s="61"/>
      <c r="BI67" s="81"/>
      <c r="BJ67" s="81"/>
      <c r="BK67" s="61"/>
      <c r="BL67" s="291"/>
    </row>
    <row r="68" ht="22.5" customHeight="1">
      <c r="A68" s="368"/>
      <c r="B68" s="314">
        <v>46140.0</v>
      </c>
      <c r="C68" s="302" t="s">
        <v>3358</v>
      </c>
      <c r="D68" s="277" t="s">
        <v>3359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3360</v>
      </c>
      <c r="L68" s="109" t="s">
        <v>3361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3362</v>
      </c>
      <c r="T68" s="109" t="s">
        <v>3363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3364</v>
      </c>
      <c r="AB68" s="109" t="s">
        <v>3365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>
        <v>46174.0</v>
      </c>
      <c r="AY68" s="109" t="s">
        <v>3366</v>
      </c>
      <c r="AZ68" s="109" t="s">
        <v>3367</v>
      </c>
      <c r="BA68" s="58" t="s">
        <v>16</v>
      </c>
      <c r="BB68" s="58" t="s">
        <v>2349</v>
      </c>
      <c r="BC68" s="61"/>
      <c r="BD68" s="269" t="b">
        <v>1</v>
      </c>
      <c r="BF68" s="194"/>
      <c r="BG68" s="61"/>
      <c r="BH68" s="61"/>
      <c r="BI68" s="81"/>
      <c r="BJ68" s="81"/>
      <c r="BK68" s="61"/>
      <c r="BL68" s="291"/>
    </row>
    <row r="69" ht="22.5" customHeight="1">
      <c r="A69" s="368"/>
      <c r="B69" s="314">
        <v>46140.0</v>
      </c>
      <c r="C69" s="302" t="s">
        <v>3368</v>
      </c>
      <c r="D69" s="277" t="s">
        <v>3369</v>
      </c>
      <c r="E69" s="303" t="s">
        <v>10</v>
      </c>
      <c r="F69" s="303" t="s">
        <v>12</v>
      </c>
      <c r="G69" s="302" t="s">
        <v>3370</v>
      </c>
      <c r="H69" s="315"/>
      <c r="J69" s="270">
        <v>46150.0</v>
      </c>
      <c r="K69" s="109" t="s">
        <v>3371</v>
      </c>
      <c r="L69" s="109" t="s">
        <v>3372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3373</v>
      </c>
      <c r="T69" s="109" t="s">
        <v>3374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3375</v>
      </c>
      <c r="AB69" s="109" t="s">
        <v>3376</v>
      </c>
      <c r="AC69" s="58" t="s">
        <v>18</v>
      </c>
      <c r="AD69" s="58" t="s">
        <v>20</v>
      </c>
      <c r="AE69" s="109" t="s">
        <v>3377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>
        <v>46174.0</v>
      </c>
      <c r="AY69" s="109" t="s">
        <v>3378</v>
      </c>
      <c r="AZ69" s="373" t="s">
        <v>3379</v>
      </c>
      <c r="BA69" s="58" t="s">
        <v>19</v>
      </c>
      <c r="BB69" s="58" t="s">
        <v>9</v>
      </c>
      <c r="BC69" s="61"/>
      <c r="BD69" s="269" t="b">
        <v>1</v>
      </c>
      <c r="BF69" s="194"/>
      <c r="BG69" s="61"/>
      <c r="BH69" s="61"/>
      <c r="BI69" s="81"/>
      <c r="BJ69" s="81"/>
      <c r="BK69" s="61"/>
      <c r="BL69" s="291"/>
    </row>
    <row r="70" ht="22.5" customHeight="1">
      <c r="A70" s="368"/>
      <c r="B70" s="314">
        <v>46140.0</v>
      </c>
      <c r="C70" s="302" t="s">
        <v>3380</v>
      </c>
      <c r="D70" s="277" t="s">
        <v>3381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3382</v>
      </c>
      <c r="L70" s="109" t="s">
        <v>3383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3384</v>
      </c>
      <c r="T70" s="109" t="s">
        <v>3385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3386</v>
      </c>
      <c r="AB70" s="109" t="s">
        <v>3387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>
        <v>46174.0</v>
      </c>
      <c r="AY70" s="109" t="s">
        <v>3388</v>
      </c>
      <c r="AZ70" s="373" t="s">
        <v>3389</v>
      </c>
      <c r="BA70" s="58" t="s">
        <v>950</v>
      </c>
      <c r="BB70" s="58" t="s">
        <v>28</v>
      </c>
      <c r="BC70" s="61"/>
      <c r="BD70" s="269" t="b">
        <v>1</v>
      </c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3390</v>
      </c>
      <c r="D71" s="277" t="s">
        <v>3391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3392</v>
      </c>
      <c r="L71" s="109" t="s">
        <v>3393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3394</v>
      </c>
      <c r="AB71" s="109" t="s">
        <v>3395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3396</v>
      </c>
      <c r="D72" s="277" t="s">
        <v>3397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3398</v>
      </c>
      <c r="L72" s="109" t="s">
        <v>3399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3400</v>
      </c>
      <c r="AB72" s="109" t="s">
        <v>3401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3402</v>
      </c>
      <c r="D73" s="277" t="s">
        <v>3403</v>
      </c>
      <c r="E73" s="303" t="s">
        <v>13</v>
      </c>
      <c r="F73" s="303" t="s">
        <v>12</v>
      </c>
      <c r="G73" s="302" t="s">
        <v>3404</v>
      </c>
      <c r="H73" s="315"/>
      <c r="J73" s="270">
        <v>46150.0</v>
      </c>
      <c r="K73" s="109" t="s">
        <v>3405</v>
      </c>
      <c r="L73" s="109" t="s">
        <v>3406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3407</v>
      </c>
      <c r="AB73" s="109" t="s">
        <v>3408</v>
      </c>
      <c r="AC73" s="58" t="s">
        <v>30</v>
      </c>
      <c r="AD73" s="58" t="s">
        <v>2338</v>
      </c>
      <c r="AE73" s="61"/>
      <c r="AF73" s="269" t="b">
        <v>1</v>
      </c>
      <c r="AG73" s="428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3409</v>
      </c>
      <c r="D74" s="277" t="s">
        <v>3410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3411</v>
      </c>
      <c r="L74" s="109" t="s">
        <v>3412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3413</v>
      </c>
      <c r="AB74" s="109" t="s">
        <v>3414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3415</v>
      </c>
      <c r="D75" s="277" t="s">
        <v>3416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3417</v>
      </c>
      <c r="L75" s="109" t="s">
        <v>3418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3419</v>
      </c>
      <c r="AB75" s="109" t="s">
        <v>3419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3420</v>
      </c>
      <c r="D76" s="277" t="s">
        <v>3421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3422</v>
      </c>
      <c r="L76" s="429" t="s">
        <v>3423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3424</v>
      </c>
      <c r="AB76" s="273" t="s">
        <v>3425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3426</v>
      </c>
      <c r="D77" s="277" t="s">
        <v>3427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3428</v>
      </c>
      <c r="L77" s="109" t="s">
        <v>3429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3430</v>
      </c>
      <c r="AB77" s="294" t="s">
        <v>3431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3432</v>
      </c>
      <c r="D78" s="277" t="s">
        <v>3433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3434</v>
      </c>
      <c r="L78" s="109" t="s">
        <v>3435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3436</v>
      </c>
      <c r="AB78" s="273" t="s">
        <v>3437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3438</v>
      </c>
      <c r="D79" s="277" t="s">
        <v>3439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3440</v>
      </c>
      <c r="L79" s="109" t="s">
        <v>3441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3442</v>
      </c>
      <c r="AB79" s="294" t="s">
        <v>3443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3444</v>
      </c>
      <c r="D80" s="277" t="s">
        <v>3445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3446</v>
      </c>
      <c r="L80" s="109" t="s">
        <v>3447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3448</v>
      </c>
      <c r="AB80" s="273" t="s">
        <v>3449</v>
      </c>
      <c r="AC80" s="402" t="s">
        <v>27</v>
      </c>
      <c r="AD80" s="274" t="s">
        <v>2337</v>
      </c>
      <c r="AE80" s="61"/>
      <c r="AF80" s="269" t="b">
        <v>1</v>
      </c>
      <c r="AG80" s="428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3450</v>
      </c>
      <c r="D81" s="277" t="s">
        <v>3451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3452</v>
      </c>
      <c r="L81" s="109" t="s">
        <v>3453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3454</v>
      </c>
      <c r="AB81" s="430" t="s">
        <v>3455</v>
      </c>
      <c r="AC81" s="431" t="s">
        <v>18</v>
      </c>
      <c r="AD81" s="410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3456</v>
      </c>
      <c r="D82" s="277" t="s">
        <v>3457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3458</v>
      </c>
      <c r="L82" s="109" t="s">
        <v>3459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3460</v>
      </c>
      <c r="AB82" s="294" t="s">
        <v>3461</v>
      </c>
      <c r="AC82" s="409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3462</v>
      </c>
      <c r="D83" s="277" t="s">
        <v>3463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3464</v>
      </c>
      <c r="L83" s="109" t="s">
        <v>3465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3466</v>
      </c>
      <c r="AB83" s="273" t="s">
        <v>3467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3468</v>
      </c>
      <c r="D84" s="277" t="s">
        <v>3469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3470</v>
      </c>
      <c r="L84" s="109" t="s">
        <v>3471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2">
        <v>46161.0</v>
      </c>
      <c r="AA84" s="417" t="s">
        <v>3472</v>
      </c>
      <c r="AB84" s="417" t="s">
        <v>3473</v>
      </c>
      <c r="AC84" s="433" t="s">
        <v>27</v>
      </c>
      <c r="AD84" s="434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3474</v>
      </c>
      <c r="D85" s="326" t="s">
        <v>3475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3476</v>
      </c>
      <c r="L85" s="109" t="s">
        <v>3477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3478</v>
      </c>
      <c r="AB85" s="109" t="s">
        <v>3479</v>
      </c>
      <c r="AC85" s="58" t="s">
        <v>15</v>
      </c>
      <c r="AD85" s="58" t="s">
        <v>20</v>
      </c>
      <c r="AE85" s="109" t="s">
        <v>3480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3481</v>
      </c>
      <c r="D86" s="326" t="s">
        <v>3482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3483</v>
      </c>
      <c r="L86" s="109" t="s">
        <v>3484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3485</v>
      </c>
      <c r="AB86" s="109" t="s">
        <v>3486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3487</v>
      </c>
      <c r="D87" s="326" t="s">
        <v>3488</v>
      </c>
      <c r="E87" s="370" t="s">
        <v>24</v>
      </c>
      <c r="F87" s="370" t="s">
        <v>14</v>
      </c>
      <c r="G87" s="435" t="s">
        <v>3489</v>
      </c>
      <c r="H87" s="371" t="b">
        <v>1</v>
      </c>
      <c r="J87" s="270"/>
      <c r="K87" s="109" t="s">
        <v>3490</v>
      </c>
      <c r="L87" s="109" t="s">
        <v>3491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3492</v>
      </c>
      <c r="AB87" s="109" t="s">
        <v>3493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3494</v>
      </c>
      <c r="D88" s="326" t="s">
        <v>3495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3496</v>
      </c>
      <c r="L88" s="109" t="s">
        <v>3497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3498</v>
      </c>
      <c r="AB88" s="109" t="s">
        <v>3499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>
        <v>46146.0</v>
      </c>
      <c r="C89" s="326" t="s">
        <v>3500</v>
      </c>
      <c r="D89" s="326" t="s">
        <v>3501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3502</v>
      </c>
      <c r="L89" s="109" t="s">
        <v>3503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3504</v>
      </c>
      <c r="AB89" s="109" t="s">
        <v>3505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3506</v>
      </c>
      <c r="D90" s="326" t="s">
        <v>3507</v>
      </c>
      <c r="E90" s="370" t="s">
        <v>22</v>
      </c>
      <c r="F90" s="436" t="s">
        <v>12</v>
      </c>
      <c r="G90" s="195"/>
      <c r="H90" s="371" t="b">
        <v>1</v>
      </c>
      <c r="J90" s="270"/>
      <c r="K90" s="109" t="s">
        <v>3508</v>
      </c>
      <c r="L90" s="109" t="s">
        <v>3509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7" t="s">
        <v>3510</v>
      </c>
      <c r="AB90" s="294" t="s">
        <v>3511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437">
        <v>46146.0</v>
      </c>
      <c r="C91" s="326" t="s">
        <v>3512</v>
      </c>
      <c r="D91" s="326" t="s">
        <v>3513</v>
      </c>
      <c r="E91" s="370" t="s">
        <v>22</v>
      </c>
      <c r="F91" s="436" t="s">
        <v>12</v>
      </c>
      <c r="G91" s="195"/>
      <c r="H91" s="371" t="b">
        <v>1</v>
      </c>
      <c r="J91" s="270"/>
      <c r="K91" s="109" t="s">
        <v>3514</v>
      </c>
      <c r="L91" s="109" t="s">
        <v>3515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3516</v>
      </c>
      <c r="AB91" s="273" t="s">
        <v>3517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>
        <v>46146.0</v>
      </c>
      <c r="C92" s="326" t="s">
        <v>3518</v>
      </c>
      <c r="D92" s="326" t="s">
        <v>3519</v>
      </c>
      <c r="E92" s="370" t="s">
        <v>22</v>
      </c>
      <c r="F92" s="370" t="s">
        <v>12</v>
      </c>
      <c r="G92" s="435" t="s">
        <v>2370</v>
      </c>
      <c r="H92" s="371" t="b">
        <v>1</v>
      </c>
      <c r="J92" s="270"/>
      <c r="K92" s="109" t="s">
        <v>3520</v>
      </c>
      <c r="L92" s="109" t="s">
        <v>3521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3522</v>
      </c>
      <c r="AB92" s="294" t="s">
        <v>3523</v>
      </c>
      <c r="AC92" s="391"/>
      <c r="AD92" s="295" t="s">
        <v>2337</v>
      </c>
      <c r="AE92" s="438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3524</v>
      </c>
      <c r="D93" s="326" t="s">
        <v>3525</v>
      </c>
      <c r="E93" s="370" t="s">
        <v>22</v>
      </c>
      <c r="F93" s="370" t="s">
        <v>12</v>
      </c>
      <c r="G93" s="326" t="s">
        <v>3526</v>
      </c>
      <c r="H93" s="371"/>
      <c r="J93" s="270"/>
      <c r="K93" s="109" t="s">
        <v>3527</v>
      </c>
      <c r="L93" s="439" t="s">
        <v>3528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3529</v>
      </c>
      <c r="AB93" s="273" t="s">
        <v>3530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3531</v>
      </c>
      <c r="D94" s="326" t="s">
        <v>3532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3533</v>
      </c>
      <c r="L94" s="440" t="s">
        <v>3534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3535</v>
      </c>
      <c r="AB94" s="417" t="s">
        <v>3536</v>
      </c>
      <c r="AC94" s="391"/>
      <c r="AD94" s="295" t="s">
        <v>2337</v>
      </c>
      <c r="AE94" s="438" t="s">
        <v>3537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3538</v>
      </c>
      <c r="D95" s="326" t="s">
        <v>3539</v>
      </c>
      <c r="E95" s="370" t="s">
        <v>22</v>
      </c>
      <c r="F95" s="370" t="s">
        <v>12</v>
      </c>
      <c r="G95" s="435" t="s">
        <v>3540</v>
      </c>
      <c r="H95" s="371" t="b">
        <v>1</v>
      </c>
      <c r="J95" s="270"/>
      <c r="K95" s="109" t="s">
        <v>3541</v>
      </c>
      <c r="L95" s="109" t="s">
        <v>3542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3543</v>
      </c>
      <c r="AB95" s="109" t="s">
        <v>3544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3545</v>
      </c>
      <c r="D96" s="326" t="s">
        <v>3546</v>
      </c>
      <c r="E96" s="370" t="s">
        <v>22</v>
      </c>
      <c r="F96" s="370" t="s">
        <v>12</v>
      </c>
      <c r="G96" s="435" t="s">
        <v>3540</v>
      </c>
      <c r="H96" s="371" t="b">
        <v>1</v>
      </c>
      <c r="J96" s="270"/>
      <c r="K96" s="109" t="s">
        <v>3547</v>
      </c>
      <c r="L96" s="109" t="s">
        <v>3548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3549</v>
      </c>
      <c r="AB96" s="109" t="s">
        <v>3550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3551</v>
      </c>
      <c r="D97" s="326" t="s">
        <v>3552</v>
      </c>
      <c r="E97" s="370" t="s">
        <v>22</v>
      </c>
      <c r="F97" s="370" t="s">
        <v>12</v>
      </c>
      <c r="G97" s="326" t="s">
        <v>3553</v>
      </c>
      <c r="H97" s="371"/>
      <c r="J97" s="270"/>
      <c r="K97" s="109" t="s">
        <v>3554</v>
      </c>
      <c r="L97" s="109" t="s">
        <v>3555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3556</v>
      </c>
      <c r="AB97" s="109" t="s">
        <v>3557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3558</v>
      </c>
      <c r="D98" s="326" t="s">
        <v>3559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3560</v>
      </c>
      <c r="L98" s="109" t="s">
        <v>3561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3562</v>
      </c>
      <c r="AB98" s="109" t="s">
        <v>3563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3564</v>
      </c>
      <c r="D99" s="326" t="s">
        <v>3565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3566</v>
      </c>
      <c r="L99" s="109" t="s">
        <v>3567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3568</v>
      </c>
      <c r="AB99" s="109" t="s">
        <v>3569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3570</v>
      </c>
      <c r="D100" s="326" t="s">
        <v>3571</v>
      </c>
      <c r="E100" s="370" t="s">
        <v>10</v>
      </c>
      <c r="F100" s="370" t="s">
        <v>9</v>
      </c>
      <c r="G100" s="435" t="s">
        <v>3572</v>
      </c>
      <c r="H100" s="371" t="b">
        <v>1</v>
      </c>
      <c r="J100" s="270"/>
      <c r="K100" s="109" t="s">
        <v>3573</v>
      </c>
      <c r="L100" s="109" t="s">
        <v>3574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3575</v>
      </c>
      <c r="AB100" s="109" t="s">
        <v>3576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3577</v>
      </c>
      <c r="D101" s="326" t="s">
        <v>3578</v>
      </c>
      <c r="E101" s="370" t="s">
        <v>44</v>
      </c>
      <c r="F101" s="370" t="s">
        <v>9</v>
      </c>
      <c r="G101" s="435" t="s">
        <v>3572</v>
      </c>
      <c r="H101" s="371" t="b">
        <v>1</v>
      </c>
      <c r="J101" s="270"/>
      <c r="K101" s="109" t="s">
        <v>3579</v>
      </c>
      <c r="L101" s="109" t="s">
        <v>3580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3581</v>
      </c>
      <c r="AB101" s="109" t="s">
        <v>3582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3583</v>
      </c>
      <c r="D102" s="326" t="s">
        <v>3584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3585</v>
      </c>
      <c r="L102" s="109" t="s">
        <v>3586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3587</v>
      </c>
      <c r="AB102" s="109" t="s">
        <v>3588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3589</v>
      </c>
      <c r="D103" s="326" t="s">
        <v>3590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3591</v>
      </c>
      <c r="L103" s="109" t="s">
        <v>3592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3593</v>
      </c>
      <c r="AB103" s="273" t="s">
        <v>3594</v>
      </c>
      <c r="AC103" s="410" t="s">
        <v>27</v>
      </c>
      <c r="AD103" s="410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3595</v>
      </c>
      <c r="D104" s="326" t="s">
        <v>3596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3597</v>
      </c>
      <c r="L104" s="109" t="s">
        <v>3598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3599</v>
      </c>
      <c r="AB104" s="294" t="s">
        <v>3600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3601</v>
      </c>
      <c r="D105" s="326" t="s">
        <v>3602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3603</v>
      </c>
      <c r="L105" s="109" t="s">
        <v>3604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3605</v>
      </c>
      <c r="AB105" s="273" t="s">
        <v>3606</v>
      </c>
      <c r="AC105" s="383" t="s">
        <v>27</v>
      </c>
      <c r="AD105" s="383" t="s">
        <v>2338</v>
      </c>
      <c r="AE105" s="109" t="s">
        <v>3607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3608</v>
      </c>
      <c r="D106" s="326" t="s">
        <v>3609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3610</v>
      </c>
      <c r="L106" s="297" t="s">
        <v>3611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3612</v>
      </c>
      <c r="AB106" s="294" t="s">
        <v>3613</v>
      </c>
      <c r="AC106" s="381" t="s">
        <v>27</v>
      </c>
      <c r="AD106" s="441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3614</v>
      </c>
      <c r="D107" s="326" t="s">
        <v>3615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3616</v>
      </c>
      <c r="L107" s="109" t="s">
        <v>3617</v>
      </c>
      <c r="M107" s="58" t="s">
        <v>18</v>
      </c>
      <c r="N107" s="58" t="s">
        <v>14</v>
      </c>
      <c r="O107" s="109" t="s">
        <v>3618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3619</v>
      </c>
      <c r="AB107" s="273" t="s">
        <v>3620</v>
      </c>
      <c r="AC107" s="274" t="s">
        <v>27</v>
      </c>
      <c r="AD107" s="442" t="s">
        <v>2338</v>
      </c>
      <c r="AE107" s="109" t="s">
        <v>3621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3622</v>
      </c>
      <c r="D108" s="326" t="s">
        <v>3623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3624</v>
      </c>
      <c r="L108" s="109" t="s">
        <v>3625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3626</v>
      </c>
      <c r="AB108" s="109" t="s">
        <v>3627</v>
      </c>
      <c r="AC108" s="58" t="s">
        <v>25</v>
      </c>
      <c r="AD108" s="58" t="s">
        <v>28</v>
      </c>
      <c r="AE108" s="109" t="s">
        <v>3628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3629</v>
      </c>
      <c r="D109" s="326" t="s">
        <v>3630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3631</v>
      </c>
      <c r="L109" s="326" t="s">
        <v>3632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3633</v>
      </c>
      <c r="D110" s="326" t="s">
        <v>3634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3635</v>
      </c>
      <c r="L110" s="326" t="s">
        <v>3636</v>
      </c>
      <c r="M110" s="370" t="s">
        <v>27</v>
      </c>
      <c r="N110" s="370" t="s">
        <v>2338</v>
      </c>
      <c r="O110" s="326" t="s">
        <v>3637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3638</v>
      </c>
      <c r="D111" s="326" t="s">
        <v>3639</v>
      </c>
      <c r="E111" s="370" t="s">
        <v>22</v>
      </c>
      <c r="F111" s="370" t="s">
        <v>14</v>
      </c>
      <c r="G111" s="326" t="s">
        <v>3640</v>
      </c>
      <c r="H111" s="371" t="b">
        <v>1</v>
      </c>
      <c r="J111" s="369"/>
      <c r="K111" s="109" t="s">
        <v>3641</v>
      </c>
      <c r="L111" s="109" t="s">
        <v>3642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3643</v>
      </c>
      <c r="D112" s="326" t="s">
        <v>3644</v>
      </c>
      <c r="E112" s="370" t="s">
        <v>22</v>
      </c>
      <c r="F112" s="370" t="s">
        <v>14</v>
      </c>
      <c r="G112" s="326" t="s">
        <v>3640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3645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3646</v>
      </c>
      <c r="D113" s="326" t="s">
        <v>3647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3648</v>
      </c>
      <c r="D114" s="326" t="s">
        <v>3649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3650</v>
      </c>
      <c r="D115" s="326" t="s">
        <v>3651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3652</v>
      </c>
      <c r="D116" s="326" t="s">
        <v>3653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3654</v>
      </c>
      <c r="D117" s="326" t="s">
        <v>3655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3656</v>
      </c>
      <c r="D118" s="326" t="s">
        <v>3657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>
        <v>46150.0</v>
      </c>
      <c r="C119" s="326" t="s">
        <v>3658</v>
      </c>
      <c r="D119" s="326" t="s">
        <v>3659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47 BH2 AY11 AR12 BG70:BG1010">
    <cfRule type="expression" dxfId="12" priority="18">
      <formula>COUNTIF(AA:AA, AA1)&gt;1</formula>
    </cfRule>
  </conditionalFormatting>
  <conditionalFormatting sqref="AB1:AB1010 AR1:AR1010 BH1:BH47 AZ11 AS12 AA33 BH70:BH1010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">
      <formula1>"Luis,Jesus,Clara,Noel,Daniela,Mariadelaida,Eduardo,Edvaldo,Alexis,Francisco,Enrique,Rafael,Aegis"</formula1>
    </dataValidation>
    <dataValidation type="list" allowBlank="1" sqref="BB2:BB982">
      <formula1>"Luis,Jesus,Clara,Noel,Daniela,Mariadelaida,Eduardo,Alexis,Diana,Francisco,Enrique,Rafael,Aegis,Maria Celeste,Antonella"</formula1>
    </dataValidation>
    <dataValidation type="list" allowBlank="1" sqref="BJ2:BJ997">
      <formula1>"Luis,Jesus,Clara,Noel,Daniela,Mariadelaida,Eduardo,Edvaldo,Alexis,Francisco,Enrique,Rafael,Aegis,Maria Celeste,Antonella"</formula1>
    </dataValidation>
    <dataValidation allowBlank="1" showDropDown="1" sqref="AY2:AZ982 BC2:BC982 BG2:BH997 BK2:BK997 AQ2:AR998 AU2:AU998 S2:T999 W2:W999 AA2:AB1000 AE2:AE1000 AI2:AJ1000 AM2:AM1000 C2:D1003 G2:G1003 K2:L1010 O2:O1010"/>
    <dataValidation type="list" allowBlank="1" sqref="BI2:BI997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7 AP2:AP998 R2:R999 Z2:Z1000 AH2:AH1000 B2:B1003 J2:J1010">
      <formula1>OR(NOT(ISERROR(DATEVALUE(B2))), AND(ISNUMBER(B2), LEFT(CELL("format", B2))="D"))</formula1>
    </dataValidation>
  </dataValidations>
  <hyperlinks>
    <hyperlink r:id="rId4" ref="T8"/>
    <hyperlink r:id="rId5" ref="AB14"/>
  </hyperlinks>
  <drawing r:id="rId6"/>
  <legacyDrawing r:id="rId7"/>
  <tableParts count="8"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3660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32</v>
      </c>
      <c r="F19" s="246">
        <f t="shared" ref="F19:F21" si="1">C19-E19</f>
        <v>-2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46</v>
      </c>
      <c r="L19" s="33">
        <f t="shared" ref="L19:L23" si="2">I19-K19</f>
        <v>-41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23</v>
      </c>
      <c r="F20" s="246">
        <f t="shared" si="1"/>
        <v>-8</v>
      </c>
      <c r="G20" s="10"/>
      <c r="H20" s="22" t="s">
        <v>18</v>
      </c>
      <c r="I20" s="36">
        <v>10.0</v>
      </c>
      <c r="J20" s="10"/>
      <c r="K20" s="33">
        <f>SUMIF($K$4:$K$17, H20,$L$4:$L$17)</f>
        <v>6</v>
      </c>
      <c r="L20" s="33">
        <f t="shared" si="2"/>
        <v>4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31</v>
      </c>
      <c r="F21" s="246">
        <f t="shared" si="1"/>
        <v>-16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11</v>
      </c>
      <c r="L21" s="33">
        <f t="shared" si="2"/>
        <v>9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21</v>
      </c>
      <c r="L22" s="33">
        <f t="shared" si="2"/>
        <v>-6</v>
      </c>
    </row>
    <row r="23" outlineLevel="1">
      <c r="D23" s="10"/>
      <c r="E23" s="37" t="s">
        <v>41</v>
      </c>
      <c r="F23" s="38">
        <f>SUM(F19:F21)</f>
        <v>-26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9</v>
      </c>
      <c r="L23" s="33">
        <f t="shared" si="2"/>
        <v>1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-33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3661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3662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3662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3</v>
      </c>
      <c r="F55" s="246">
        <f t="shared" ref="F55:F57" si="3">C55-E55</f>
        <v>27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23</v>
      </c>
      <c r="L55" s="33">
        <f t="shared" ref="L55:L59" si="4">I55-K55</f>
        <v>-13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26</v>
      </c>
      <c r="F56" s="246">
        <f t="shared" si="3"/>
        <v>-6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12</v>
      </c>
      <c r="L56" s="33">
        <f t="shared" si="4"/>
        <v>-2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23</v>
      </c>
      <c r="F57" s="246">
        <f t="shared" si="3"/>
        <v>-3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19</v>
      </c>
      <c r="L57" s="33">
        <f t="shared" si="4"/>
        <v>1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6</v>
      </c>
      <c r="L58" s="33">
        <f t="shared" si="4"/>
        <v>14</v>
      </c>
    </row>
    <row r="59" outlineLevel="1">
      <c r="D59" s="10"/>
      <c r="E59" s="37" t="s">
        <v>41</v>
      </c>
      <c r="F59" s="38">
        <f>SUM(F55:F57)</f>
        <v>18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26</v>
      </c>
      <c r="L59" s="33">
        <f t="shared" si="4"/>
        <v>-16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-16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3663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0</v>
      </c>
      <c r="F91" s="246">
        <f t="shared" ref="F91:F93" si="5">C91-E91</f>
        <v>40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0</v>
      </c>
      <c r="L91" s="33">
        <f t="shared" ref="L91:L95" si="6">I91-K91</f>
        <v>25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0</v>
      </c>
      <c r="F92" s="246">
        <f t="shared" si="5"/>
        <v>40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0</v>
      </c>
      <c r="L92" s="33">
        <f t="shared" si="6"/>
        <v>25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0</v>
      </c>
      <c r="F93" s="246">
        <f t="shared" si="5"/>
        <v>40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0</v>
      </c>
      <c r="L93" s="33">
        <f t="shared" si="6"/>
        <v>35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120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20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120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3664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4" width="22.63" outlineLevel="1"/>
    <col customWidth="1" hidden="1" min="15" max="15" width="26.88" outlineLevel="1"/>
    <col customWidth="1" hidden="1" min="16" max="16" width="22.63" outlineLevel="1"/>
    <col customWidth="1" min="17" max="17" width="5.5"/>
    <col customWidth="1" min="18" max="22" width="22.63" outlineLevel="1"/>
    <col customWidth="1" min="23" max="23" width="43.75" outlineLevel="1"/>
    <col customWidth="1" min="24" max="24" width="22.63" outlineLevel="1"/>
    <col customWidth="1" min="25" max="25" width="9.63" outlineLevel="1"/>
    <col customWidth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>
        <v>46174.0</v>
      </c>
      <c r="C2" s="273" t="s">
        <v>3665</v>
      </c>
      <c r="D2" s="273" t="s">
        <v>3666</v>
      </c>
      <c r="E2" s="402" t="s">
        <v>22</v>
      </c>
      <c r="F2" s="402" t="s">
        <v>2344</v>
      </c>
      <c r="G2" s="61"/>
      <c r="H2" s="269" t="b">
        <v>1</v>
      </c>
      <c r="J2" s="270">
        <v>46174.0</v>
      </c>
      <c r="K2" s="109" t="s">
        <v>3667</v>
      </c>
      <c r="L2" s="109" t="s">
        <v>3668</v>
      </c>
      <c r="M2" s="58"/>
      <c r="N2" s="58" t="s">
        <v>20</v>
      </c>
      <c r="O2" s="109" t="s">
        <v>3669</v>
      </c>
      <c r="P2" s="298"/>
      <c r="R2" s="369">
        <v>46182.0</v>
      </c>
      <c r="S2" s="326" t="s">
        <v>3670</v>
      </c>
      <c r="T2" s="326" t="s">
        <v>3671</v>
      </c>
      <c r="U2" s="370" t="s">
        <v>44</v>
      </c>
      <c r="V2" s="370" t="s">
        <v>9</v>
      </c>
      <c r="W2" s="195"/>
      <c r="X2" s="371" t="b">
        <v>1</v>
      </c>
      <c r="Z2" s="270">
        <v>46182.0</v>
      </c>
      <c r="AA2" s="109" t="s">
        <v>3672</v>
      </c>
      <c r="AB2" s="109" t="s">
        <v>3673</v>
      </c>
      <c r="AC2" s="58" t="s">
        <v>11</v>
      </c>
      <c r="AD2" s="58" t="s">
        <v>28</v>
      </c>
      <c r="AE2" s="109"/>
      <c r="AF2" s="298"/>
      <c r="AH2" s="372"/>
      <c r="AI2" s="373"/>
      <c r="AJ2" s="373"/>
      <c r="AK2" s="374"/>
      <c r="AL2" s="374"/>
      <c r="AM2" s="375"/>
      <c r="AN2" s="269"/>
      <c r="AP2" s="270"/>
      <c r="AQ2" s="109"/>
      <c r="AR2" s="297"/>
      <c r="AS2" s="58"/>
      <c r="AT2" s="58"/>
      <c r="AU2" s="109"/>
      <c r="AV2" s="269"/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>
        <v>46174.0</v>
      </c>
      <c r="C3" s="273" t="s">
        <v>3674</v>
      </c>
      <c r="D3" s="273" t="s">
        <v>3675</v>
      </c>
      <c r="E3" s="274" t="s">
        <v>22</v>
      </c>
      <c r="F3" s="274" t="s">
        <v>2344</v>
      </c>
      <c r="G3" s="61"/>
      <c r="H3" s="269" t="b">
        <v>1</v>
      </c>
      <c r="J3" s="270">
        <v>46174.0</v>
      </c>
      <c r="K3" s="109" t="s">
        <v>3676</v>
      </c>
      <c r="L3" s="109" t="s">
        <v>3677</v>
      </c>
      <c r="M3" s="58" t="s">
        <v>18</v>
      </c>
      <c r="N3" s="58" t="s">
        <v>20</v>
      </c>
      <c r="O3" s="61"/>
      <c r="P3" s="269" t="b">
        <v>1</v>
      </c>
      <c r="R3" s="369">
        <v>46182.0</v>
      </c>
      <c r="S3" s="326" t="s">
        <v>3678</v>
      </c>
      <c r="T3" s="326" t="s">
        <v>3679</v>
      </c>
      <c r="U3" s="370" t="s">
        <v>10</v>
      </c>
      <c r="V3" s="370" t="s">
        <v>9</v>
      </c>
      <c r="W3" s="195"/>
      <c r="X3" s="371" t="b">
        <v>1</v>
      </c>
      <c r="Z3" s="403">
        <v>46181.0</v>
      </c>
      <c r="AA3" s="294" t="s">
        <v>3680</v>
      </c>
      <c r="AB3" s="294" t="s">
        <v>3681</v>
      </c>
      <c r="AC3" s="295" t="s">
        <v>23</v>
      </c>
      <c r="AD3" s="391" t="s">
        <v>2337</v>
      </c>
      <c r="AE3" s="109"/>
      <c r="AF3" s="269" t="b">
        <v>1</v>
      </c>
      <c r="AH3" s="372"/>
      <c r="AI3" s="378"/>
      <c r="AJ3" s="373"/>
      <c r="AK3" s="376"/>
      <c r="AL3" s="376"/>
      <c r="AM3" s="61"/>
      <c r="AN3" s="269"/>
      <c r="AP3" s="270"/>
      <c r="AQ3" s="109"/>
      <c r="AR3" s="109"/>
      <c r="AS3" s="271"/>
      <c r="AT3" s="58"/>
      <c r="AU3" s="61"/>
      <c r="AV3" s="269"/>
      <c r="AX3" s="379"/>
      <c r="AY3" s="384"/>
      <c r="AZ3" s="373"/>
      <c r="BA3" s="58"/>
      <c r="BB3" s="58"/>
      <c r="BC3" s="61"/>
      <c r="BD3" s="269"/>
      <c r="BF3" s="449"/>
      <c r="BG3" s="450"/>
      <c r="BH3" s="450"/>
      <c r="BI3" s="451"/>
      <c r="BJ3" s="452"/>
      <c r="BK3" s="61"/>
      <c r="BL3" s="269"/>
    </row>
    <row r="4" ht="22.5" customHeight="1">
      <c r="A4" s="368"/>
      <c r="B4" s="270">
        <v>46174.0</v>
      </c>
      <c r="C4" s="312" t="s">
        <v>3682</v>
      </c>
      <c r="D4" s="373" t="s">
        <v>3683</v>
      </c>
      <c r="E4" s="58" t="s">
        <v>22</v>
      </c>
      <c r="F4" s="58" t="s">
        <v>2344</v>
      </c>
      <c r="G4" s="61"/>
      <c r="H4" s="269" t="b">
        <v>1</v>
      </c>
      <c r="J4" s="270">
        <v>46174.0</v>
      </c>
      <c r="K4" s="109" t="s">
        <v>3684</v>
      </c>
      <c r="L4" s="317" t="s">
        <v>3685</v>
      </c>
      <c r="M4" s="58" t="s">
        <v>18</v>
      </c>
      <c r="N4" s="58" t="s">
        <v>20</v>
      </c>
      <c r="O4" s="61"/>
      <c r="P4" s="269" t="b">
        <v>1</v>
      </c>
      <c r="R4" s="369">
        <v>46182.0</v>
      </c>
      <c r="S4" s="326" t="s">
        <v>3686</v>
      </c>
      <c r="T4" s="326" t="s">
        <v>3687</v>
      </c>
      <c r="U4" s="370"/>
      <c r="V4" s="370" t="s">
        <v>9</v>
      </c>
      <c r="W4" s="326" t="s">
        <v>3688</v>
      </c>
      <c r="X4" s="371"/>
      <c r="Z4" s="401">
        <v>46181.0</v>
      </c>
      <c r="AA4" s="273" t="s">
        <v>3689</v>
      </c>
      <c r="AB4" s="273" t="s">
        <v>3690</v>
      </c>
      <c r="AC4" s="342" t="s">
        <v>21</v>
      </c>
      <c r="AD4" s="402" t="s">
        <v>2337</v>
      </c>
      <c r="AE4" s="61"/>
      <c r="AF4" s="269" t="b">
        <v>1</v>
      </c>
      <c r="AH4" s="379"/>
      <c r="AI4" s="109"/>
      <c r="AJ4" s="373"/>
      <c r="AK4" s="58"/>
      <c r="AL4" s="58"/>
      <c r="AM4" s="61"/>
      <c r="AN4" s="269"/>
      <c r="AP4" s="270"/>
      <c r="AQ4" s="109"/>
      <c r="AR4" s="109"/>
      <c r="AS4" s="58"/>
      <c r="AT4" s="58"/>
      <c r="AU4" s="109"/>
      <c r="AV4" s="269"/>
      <c r="AX4" s="379"/>
      <c r="AY4" s="384"/>
      <c r="AZ4" s="373"/>
      <c r="BA4" s="58"/>
      <c r="BB4" s="58"/>
      <c r="BC4" s="61"/>
      <c r="BD4" s="269"/>
      <c r="BF4" s="449"/>
      <c r="BG4" s="453"/>
      <c r="BH4" s="453"/>
      <c r="BI4" s="454"/>
      <c r="BJ4" s="455"/>
      <c r="BK4" s="109"/>
      <c r="BL4" s="269"/>
    </row>
    <row r="5" ht="22.5" customHeight="1">
      <c r="A5" s="368"/>
      <c r="B5" s="270">
        <v>46174.0</v>
      </c>
      <c r="C5" s="312" t="s">
        <v>3691</v>
      </c>
      <c r="D5" s="373" t="s">
        <v>3692</v>
      </c>
      <c r="E5" s="344" t="s">
        <v>22</v>
      </c>
      <c r="F5" s="344" t="s">
        <v>2344</v>
      </c>
      <c r="G5" s="61"/>
      <c r="H5" s="269" t="b">
        <v>1</v>
      </c>
      <c r="J5" s="270">
        <v>46174.0</v>
      </c>
      <c r="K5" s="109" t="s">
        <v>3693</v>
      </c>
      <c r="L5" s="109" t="s">
        <v>3694</v>
      </c>
      <c r="M5" s="58"/>
      <c r="N5" s="58" t="s">
        <v>20</v>
      </c>
      <c r="O5" s="109" t="s">
        <v>3695</v>
      </c>
      <c r="P5" s="298"/>
      <c r="R5" s="369">
        <v>46182.0</v>
      </c>
      <c r="S5" s="326" t="s">
        <v>3696</v>
      </c>
      <c r="T5" s="326" t="s">
        <v>3697</v>
      </c>
      <c r="U5" s="370" t="s">
        <v>10</v>
      </c>
      <c r="V5" s="370" t="s">
        <v>9</v>
      </c>
      <c r="W5" s="195"/>
      <c r="X5" s="371" t="b">
        <v>1</v>
      </c>
      <c r="Z5" s="403">
        <v>46181.0</v>
      </c>
      <c r="AA5" s="294" t="s">
        <v>3698</v>
      </c>
      <c r="AB5" s="294" t="s">
        <v>3699</v>
      </c>
      <c r="AC5" s="391" t="s">
        <v>18</v>
      </c>
      <c r="AD5" s="391" t="s">
        <v>2337</v>
      </c>
      <c r="AE5" s="109"/>
      <c r="AF5" s="269" t="b">
        <v>1</v>
      </c>
      <c r="AH5" s="372"/>
      <c r="AI5" s="109"/>
      <c r="AJ5" s="373"/>
      <c r="AK5" s="58"/>
      <c r="AL5" s="58"/>
      <c r="AM5" s="61"/>
      <c r="AN5" s="269"/>
      <c r="AP5" s="270"/>
      <c r="AQ5" s="384"/>
      <c r="AR5" s="109"/>
      <c r="AS5" s="58"/>
      <c r="AT5" s="58"/>
      <c r="AU5" s="61"/>
      <c r="AV5" s="269"/>
      <c r="AX5" s="379"/>
      <c r="AY5" s="384"/>
      <c r="AZ5" s="373"/>
      <c r="BA5" s="58"/>
      <c r="BB5" s="58"/>
      <c r="BC5" s="61"/>
      <c r="BD5" s="269"/>
      <c r="BF5" s="449"/>
      <c r="BG5" s="450"/>
      <c r="BH5" s="450"/>
      <c r="BI5" s="451"/>
      <c r="BJ5" s="452"/>
      <c r="BK5" s="109"/>
      <c r="BL5" s="298"/>
    </row>
    <row r="6" ht="22.5" customHeight="1">
      <c r="A6" s="368"/>
      <c r="B6" s="270">
        <v>46174.0</v>
      </c>
      <c r="C6" s="273" t="s">
        <v>3700</v>
      </c>
      <c r="D6" s="273" t="s">
        <v>3701</v>
      </c>
      <c r="E6" s="402" t="s">
        <v>32</v>
      </c>
      <c r="F6" s="402" t="s">
        <v>2344</v>
      </c>
      <c r="G6" s="61"/>
      <c r="H6" s="269" t="b">
        <v>1</v>
      </c>
      <c r="J6" s="270">
        <v>46174.0</v>
      </c>
      <c r="K6" s="109" t="s">
        <v>3702</v>
      </c>
      <c r="L6" s="109" t="s">
        <v>3703</v>
      </c>
      <c r="M6" s="58"/>
      <c r="N6" s="58" t="s">
        <v>20</v>
      </c>
      <c r="O6" s="109" t="s">
        <v>3704</v>
      </c>
      <c r="P6" s="298"/>
      <c r="R6" s="369">
        <v>46182.0</v>
      </c>
      <c r="S6" s="326" t="s">
        <v>3705</v>
      </c>
      <c r="T6" s="326" t="s">
        <v>3706</v>
      </c>
      <c r="U6" s="370" t="s">
        <v>10</v>
      </c>
      <c r="V6" s="370" t="s">
        <v>9</v>
      </c>
      <c r="W6" s="326"/>
      <c r="X6" s="371" t="b">
        <v>1</v>
      </c>
      <c r="Z6" s="401">
        <v>46181.0</v>
      </c>
      <c r="AA6" s="273" t="s">
        <v>3707</v>
      </c>
      <c r="AB6" s="273" t="s">
        <v>3708</v>
      </c>
      <c r="AC6" s="402" t="s">
        <v>27</v>
      </c>
      <c r="AD6" s="402" t="s">
        <v>2337</v>
      </c>
      <c r="AE6" s="61"/>
      <c r="AF6" s="269" t="b">
        <v>1</v>
      </c>
      <c r="AH6" s="379"/>
      <c r="AI6" s="384"/>
      <c r="AJ6" s="439"/>
      <c r="AK6" s="58"/>
      <c r="AL6" s="58"/>
      <c r="AM6" s="109"/>
      <c r="AN6" s="298"/>
      <c r="AP6" s="270"/>
      <c r="AQ6" s="384"/>
      <c r="AR6" s="109"/>
      <c r="AS6" s="58"/>
      <c r="AT6" s="58"/>
      <c r="AU6" s="109"/>
      <c r="AV6" s="269"/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>
        <v>46174.0</v>
      </c>
      <c r="C7" s="109" t="s">
        <v>3709</v>
      </c>
      <c r="D7" s="373" t="s">
        <v>3710</v>
      </c>
      <c r="E7" s="58" t="s">
        <v>22</v>
      </c>
      <c r="F7" s="58" t="s">
        <v>2347</v>
      </c>
      <c r="G7" s="61"/>
      <c r="H7" s="269" t="b">
        <v>1</v>
      </c>
      <c r="J7" s="270">
        <v>46174.0</v>
      </c>
      <c r="K7" s="109" t="s">
        <v>3711</v>
      </c>
      <c r="L7" s="109" t="s">
        <v>3712</v>
      </c>
      <c r="M7" s="58" t="s">
        <v>11</v>
      </c>
      <c r="N7" s="58" t="s">
        <v>20</v>
      </c>
      <c r="O7" s="61"/>
      <c r="P7" s="269" t="b">
        <v>1</v>
      </c>
      <c r="R7" s="369">
        <v>46182.0</v>
      </c>
      <c r="S7" s="326" t="s">
        <v>3713</v>
      </c>
      <c r="T7" s="326" t="s">
        <v>3714</v>
      </c>
      <c r="U7" s="370" t="s">
        <v>950</v>
      </c>
      <c r="V7" s="370" t="s">
        <v>9</v>
      </c>
      <c r="W7" s="195"/>
      <c r="X7" s="371" t="b">
        <v>1</v>
      </c>
      <c r="Z7" s="403">
        <v>46181.0</v>
      </c>
      <c r="AA7" s="294" t="s">
        <v>3715</v>
      </c>
      <c r="AB7" s="294" t="s">
        <v>3716</v>
      </c>
      <c r="AC7" s="391" t="s">
        <v>18</v>
      </c>
      <c r="AD7" s="391" t="s">
        <v>2337</v>
      </c>
      <c r="AE7" s="109"/>
      <c r="AF7" s="269" t="b">
        <v>1</v>
      </c>
      <c r="AH7" s="379"/>
      <c r="AI7" s="384"/>
      <c r="AJ7" s="456"/>
      <c r="AK7" s="58"/>
      <c r="AL7" s="58"/>
      <c r="AM7" s="61"/>
      <c r="AN7" s="269"/>
      <c r="AP7" s="270"/>
      <c r="AQ7" s="109"/>
      <c r="AR7" s="109"/>
      <c r="AS7" s="58"/>
      <c r="AT7" s="58"/>
      <c r="AU7" s="109"/>
      <c r="AV7" s="269"/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>
        <v>46175.0</v>
      </c>
      <c r="C8" s="109" t="s">
        <v>3717</v>
      </c>
      <c r="D8" s="457" t="s">
        <v>3718</v>
      </c>
      <c r="E8" s="58" t="s">
        <v>22</v>
      </c>
      <c r="F8" s="58" t="s">
        <v>12</v>
      </c>
      <c r="G8" s="61"/>
      <c r="H8" s="269" t="b">
        <v>1</v>
      </c>
      <c r="J8" s="270">
        <v>46174.0</v>
      </c>
      <c r="K8" s="109" t="s">
        <v>3719</v>
      </c>
      <c r="L8" s="109" t="s">
        <v>3720</v>
      </c>
      <c r="M8" s="58" t="s">
        <v>11</v>
      </c>
      <c r="N8" s="58" t="s">
        <v>20</v>
      </c>
      <c r="O8" s="61"/>
      <c r="P8" s="269" t="b">
        <v>1</v>
      </c>
      <c r="R8" s="458">
        <v>46182.0</v>
      </c>
      <c r="S8" s="459" t="s">
        <v>3721</v>
      </c>
      <c r="T8" s="460" t="s">
        <v>3722</v>
      </c>
      <c r="U8" s="461" t="s">
        <v>19</v>
      </c>
      <c r="V8" s="462" t="s">
        <v>2347</v>
      </c>
      <c r="W8" s="109"/>
      <c r="X8" s="269" t="b">
        <v>1</v>
      </c>
      <c r="Z8" s="401">
        <v>46181.0</v>
      </c>
      <c r="AA8" s="273" t="s">
        <v>3723</v>
      </c>
      <c r="AB8" s="273" t="s">
        <v>3724</v>
      </c>
      <c r="AC8" s="402" t="s">
        <v>18</v>
      </c>
      <c r="AD8" s="402" t="s">
        <v>2337</v>
      </c>
      <c r="AE8" s="61"/>
      <c r="AF8" s="269" t="b">
        <v>1</v>
      </c>
      <c r="AH8" s="379"/>
      <c r="AI8" s="109"/>
      <c r="AJ8" s="373"/>
      <c r="AK8" s="58"/>
      <c r="AL8" s="58"/>
      <c r="AM8" s="61"/>
      <c r="AN8" s="298"/>
      <c r="AP8" s="270"/>
      <c r="AQ8" s="109"/>
      <c r="AR8" s="109"/>
      <c r="AS8" s="58"/>
      <c r="AT8" s="58"/>
      <c r="AU8" s="61"/>
      <c r="AV8" s="269"/>
      <c r="AX8" s="379"/>
      <c r="AY8" s="384"/>
      <c r="AZ8" s="463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>
        <v>46175.0</v>
      </c>
      <c r="C9" s="109" t="s">
        <v>3725</v>
      </c>
      <c r="D9" s="373" t="s">
        <v>3726</v>
      </c>
      <c r="E9" s="58" t="s">
        <v>950</v>
      </c>
      <c r="F9" s="58" t="s">
        <v>12</v>
      </c>
      <c r="G9" s="61"/>
      <c r="H9" s="269" t="b">
        <v>1</v>
      </c>
      <c r="J9" s="403">
        <v>46174.0</v>
      </c>
      <c r="K9" s="294" t="s">
        <v>3727</v>
      </c>
      <c r="L9" s="294" t="s">
        <v>3728</v>
      </c>
      <c r="M9" s="295" t="s">
        <v>27</v>
      </c>
      <c r="N9" s="295" t="s">
        <v>2337</v>
      </c>
      <c r="O9" s="61"/>
      <c r="P9" s="269" t="b">
        <v>1</v>
      </c>
      <c r="R9" s="369">
        <v>46182.0</v>
      </c>
      <c r="S9" s="459" t="s">
        <v>3729</v>
      </c>
      <c r="T9" s="459" t="s">
        <v>3730</v>
      </c>
      <c r="U9" s="464" t="s">
        <v>19</v>
      </c>
      <c r="V9" s="465" t="s">
        <v>9</v>
      </c>
      <c r="W9" s="61"/>
      <c r="X9" s="269" t="b">
        <v>1</v>
      </c>
      <c r="Z9" s="403">
        <v>46181.0</v>
      </c>
      <c r="AA9" s="294" t="s">
        <v>3731</v>
      </c>
      <c r="AB9" s="294" t="s">
        <v>3732</v>
      </c>
      <c r="AC9" s="391" t="s">
        <v>27</v>
      </c>
      <c r="AD9" s="391" t="s">
        <v>2337</v>
      </c>
      <c r="AE9" s="61"/>
      <c r="AF9" s="269" t="b">
        <v>1</v>
      </c>
      <c r="AH9" s="379"/>
      <c r="AI9" s="384"/>
      <c r="AJ9" s="373"/>
      <c r="AK9" s="58"/>
      <c r="AL9" s="58"/>
      <c r="AM9" s="109"/>
      <c r="AN9" s="298"/>
      <c r="AP9" s="449"/>
      <c r="AQ9" s="450"/>
      <c r="AR9" s="450"/>
      <c r="AS9" s="466"/>
      <c r="AT9" s="452"/>
      <c r="AU9" s="109"/>
      <c r="AV9" s="298"/>
      <c r="AX9" s="379"/>
      <c r="AY9" s="384"/>
      <c r="AZ9" s="467"/>
      <c r="BA9" s="58"/>
      <c r="BB9" s="58"/>
      <c r="BC9" s="61"/>
      <c r="BD9" s="269"/>
      <c r="BF9" s="270"/>
      <c r="BG9" s="109"/>
      <c r="BH9" s="109"/>
      <c r="BI9" s="58"/>
      <c r="BJ9" s="58"/>
      <c r="BK9" s="109"/>
      <c r="BL9" s="298"/>
    </row>
    <row r="10" ht="22.5" customHeight="1">
      <c r="A10" s="368"/>
      <c r="B10" s="270">
        <v>46175.0</v>
      </c>
      <c r="C10" s="273" t="s">
        <v>3733</v>
      </c>
      <c r="D10" s="413" t="s">
        <v>3734</v>
      </c>
      <c r="E10" s="58" t="s">
        <v>19</v>
      </c>
      <c r="F10" s="58" t="s">
        <v>12</v>
      </c>
      <c r="G10" s="61"/>
      <c r="H10" s="269" t="b">
        <v>1</v>
      </c>
      <c r="J10" s="401">
        <v>46174.0</v>
      </c>
      <c r="K10" s="273" t="s">
        <v>3735</v>
      </c>
      <c r="L10" s="273" t="s">
        <v>3736</v>
      </c>
      <c r="M10" s="274" t="s">
        <v>15</v>
      </c>
      <c r="N10" s="274" t="s">
        <v>2337</v>
      </c>
      <c r="O10" s="109" t="s">
        <v>3737</v>
      </c>
      <c r="P10" s="298"/>
      <c r="R10" s="369">
        <v>46182.0</v>
      </c>
      <c r="S10" s="459" t="s">
        <v>3738</v>
      </c>
      <c r="T10" s="459" t="s">
        <v>3739</v>
      </c>
      <c r="U10" s="58" t="s">
        <v>32</v>
      </c>
      <c r="V10" s="58" t="s">
        <v>9</v>
      </c>
      <c r="W10" s="61"/>
      <c r="X10" s="269" t="b">
        <v>1</v>
      </c>
      <c r="Z10" s="401">
        <v>46181.0</v>
      </c>
      <c r="AA10" s="273" t="s">
        <v>3740</v>
      </c>
      <c r="AB10" s="273" t="s">
        <v>3741</v>
      </c>
      <c r="AC10" s="402" t="s">
        <v>18</v>
      </c>
      <c r="AD10" s="402" t="s">
        <v>2337</v>
      </c>
      <c r="AE10" s="61"/>
      <c r="AF10" s="269" t="b">
        <v>1</v>
      </c>
      <c r="AH10" s="379"/>
      <c r="AI10" s="384"/>
      <c r="AJ10" s="373"/>
      <c r="AK10" s="58"/>
      <c r="AL10" s="58"/>
      <c r="AM10" s="61"/>
      <c r="AN10" s="269"/>
      <c r="AP10" s="449"/>
      <c r="AQ10" s="453"/>
      <c r="AR10" s="453"/>
      <c r="AS10" s="468"/>
      <c r="AT10" s="451"/>
      <c r="AU10" s="109"/>
      <c r="AV10" s="298"/>
      <c r="AX10" s="270"/>
      <c r="AY10" s="109"/>
      <c r="AZ10" s="109"/>
      <c r="BA10" s="344"/>
      <c r="BB10" s="344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>
        <v>46175.0</v>
      </c>
      <c r="C11" s="273" t="s">
        <v>3742</v>
      </c>
      <c r="D11" s="273" t="s">
        <v>3743</v>
      </c>
      <c r="E11" s="402" t="s">
        <v>22</v>
      </c>
      <c r="F11" s="58" t="s">
        <v>12</v>
      </c>
      <c r="G11" s="61"/>
      <c r="H11" s="269" t="b">
        <v>1</v>
      </c>
      <c r="J11" s="403">
        <v>46174.0</v>
      </c>
      <c r="K11" s="417" t="s">
        <v>3744</v>
      </c>
      <c r="L11" s="294" t="s">
        <v>3745</v>
      </c>
      <c r="M11" s="295" t="s">
        <v>18</v>
      </c>
      <c r="N11" s="295" t="s">
        <v>2337</v>
      </c>
      <c r="O11" s="109" t="s">
        <v>3746</v>
      </c>
      <c r="P11" s="269" t="b">
        <v>1</v>
      </c>
      <c r="R11" s="270">
        <v>46182.0</v>
      </c>
      <c r="S11" s="273" t="s">
        <v>3747</v>
      </c>
      <c r="T11" s="413" t="s">
        <v>3748</v>
      </c>
      <c r="U11" s="402" t="s">
        <v>32</v>
      </c>
      <c r="V11" s="58" t="s">
        <v>12</v>
      </c>
      <c r="W11" s="109"/>
      <c r="X11" s="269" t="b">
        <v>1</v>
      </c>
      <c r="Z11" s="270">
        <v>46182.0</v>
      </c>
      <c r="AA11" s="109" t="s">
        <v>3749</v>
      </c>
      <c r="AB11" s="109" t="s">
        <v>3750</v>
      </c>
      <c r="AC11" s="58" t="s">
        <v>21</v>
      </c>
      <c r="AD11" s="58" t="s">
        <v>28</v>
      </c>
      <c r="AE11" s="61"/>
      <c r="AF11" s="269"/>
      <c r="AH11" s="270"/>
      <c r="AI11" s="384"/>
      <c r="AJ11" s="373"/>
      <c r="AK11" s="58"/>
      <c r="AL11" s="58"/>
      <c r="AM11" s="61"/>
      <c r="AN11" s="269"/>
      <c r="AP11" s="449"/>
      <c r="AQ11" s="109"/>
      <c r="AR11" s="109"/>
      <c r="AS11" s="344"/>
      <c r="AT11" s="344"/>
      <c r="AU11" s="109"/>
      <c r="AV11" s="298"/>
      <c r="AX11" s="379"/>
      <c r="AY11" s="109"/>
      <c r="AZ11" s="109"/>
      <c r="BA11" s="58"/>
      <c r="BB11" s="58"/>
      <c r="BC11" s="109"/>
      <c r="BD11" s="269"/>
      <c r="BF11" s="270"/>
      <c r="BG11" s="109"/>
      <c r="BH11" s="109"/>
      <c r="BI11" s="58"/>
      <c r="BJ11" s="58"/>
      <c r="BK11" s="61"/>
      <c r="BL11" s="269"/>
    </row>
    <row r="12" ht="22.5" customHeight="1">
      <c r="A12" s="368"/>
      <c r="B12" s="270">
        <v>46175.0</v>
      </c>
      <c r="C12" s="294" t="s">
        <v>3751</v>
      </c>
      <c r="D12" s="294" t="s">
        <v>3752</v>
      </c>
      <c r="E12" s="391" t="s">
        <v>22</v>
      </c>
      <c r="F12" s="58" t="s">
        <v>12</v>
      </c>
      <c r="G12" s="61"/>
      <c r="H12" s="269" t="b">
        <v>1</v>
      </c>
      <c r="J12" s="401">
        <v>46174.0</v>
      </c>
      <c r="K12" s="469" t="s">
        <v>3753</v>
      </c>
      <c r="L12" s="273" t="s">
        <v>3754</v>
      </c>
      <c r="M12" s="274" t="s">
        <v>27</v>
      </c>
      <c r="N12" s="274" t="s">
        <v>2337</v>
      </c>
      <c r="O12" s="109" t="s">
        <v>3746</v>
      </c>
      <c r="P12" s="269" t="b">
        <v>1</v>
      </c>
      <c r="R12" s="270">
        <v>46182.0</v>
      </c>
      <c r="S12" s="294" t="s">
        <v>3755</v>
      </c>
      <c r="T12" s="411" t="s">
        <v>3756</v>
      </c>
      <c r="U12" s="391" t="s">
        <v>22</v>
      </c>
      <c r="V12" s="58" t="s">
        <v>12</v>
      </c>
      <c r="W12" s="61"/>
      <c r="X12" s="269" t="b">
        <v>1</v>
      </c>
      <c r="Z12" s="270">
        <v>46182.0</v>
      </c>
      <c r="AA12" s="109" t="s">
        <v>3757</v>
      </c>
      <c r="AB12" s="109" t="s">
        <v>3758</v>
      </c>
      <c r="AC12" s="58" t="s">
        <v>30</v>
      </c>
      <c r="AD12" s="58" t="s">
        <v>28</v>
      </c>
      <c r="AE12" s="109"/>
      <c r="AF12" s="269"/>
      <c r="AH12" s="270"/>
      <c r="AI12" s="109"/>
      <c r="AJ12" s="373"/>
      <c r="AK12" s="58"/>
      <c r="AL12" s="58"/>
      <c r="AM12" s="61"/>
      <c r="AN12" s="269"/>
      <c r="AP12" s="449"/>
      <c r="AQ12" s="453"/>
      <c r="AR12" s="453"/>
      <c r="AS12" s="468"/>
      <c r="AT12" s="454"/>
      <c r="AU12" s="109"/>
      <c r="AV12" s="298"/>
      <c r="AX12" s="379"/>
      <c r="AY12" s="109"/>
      <c r="AZ12" s="109"/>
      <c r="BA12" s="58"/>
      <c r="BB12" s="58"/>
      <c r="BC12" s="61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>
        <v>46175.0</v>
      </c>
      <c r="C13" s="273" t="s">
        <v>3759</v>
      </c>
      <c r="D13" s="273" t="s">
        <v>3760</v>
      </c>
      <c r="E13" s="402" t="s">
        <v>22</v>
      </c>
      <c r="F13" s="58" t="s">
        <v>12</v>
      </c>
      <c r="G13" s="61"/>
      <c r="H13" s="269" t="b">
        <v>1</v>
      </c>
      <c r="J13" s="403">
        <v>46174.0</v>
      </c>
      <c r="K13" s="294" t="s">
        <v>3761</v>
      </c>
      <c r="L13" s="294" t="s">
        <v>3762</v>
      </c>
      <c r="M13" s="295" t="s">
        <v>27</v>
      </c>
      <c r="N13" s="295" t="s">
        <v>2337</v>
      </c>
      <c r="O13" s="61"/>
      <c r="P13" s="269" t="b">
        <v>1</v>
      </c>
      <c r="R13" s="270">
        <v>46182.0</v>
      </c>
      <c r="S13" s="273" t="s">
        <v>3763</v>
      </c>
      <c r="T13" s="413" t="s">
        <v>3764</v>
      </c>
      <c r="U13" s="402" t="s">
        <v>32</v>
      </c>
      <c r="V13" s="58" t="s">
        <v>12</v>
      </c>
      <c r="W13" s="61"/>
      <c r="X13" s="269" t="b">
        <v>1</v>
      </c>
      <c r="Z13" s="270">
        <v>46182.0</v>
      </c>
      <c r="AA13" s="109" t="s">
        <v>3765</v>
      </c>
      <c r="AB13" s="109" t="s">
        <v>3766</v>
      </c>
      <c r="AC13" s="58" t="s">
        <v>25</v>
      </c>
      <c r="AD13" s="58" t="s">
        <v>28</v>
      </c>
      <c r="AE13" s="109"/>
      <c r="AF13" s="298"/>
      <c r="AH13" s="270"/>
      <c r="AI13" s="109"/>
      <c r="AJ13" s="373"/>
      <c r="AK13" s="58"/>
      <c r="AL13" s="58"/>
      <c r="AM13" s="61"/>
      <c r="AN13" s="269"/>
      <c r="AP13" s="270"/>
      <c r="AQ13" s="109"/>
      <c r="AR13" s="109"/>
      <c r="AS13" s="58"/>
      <c r="AT13" s="58"/>
      <c r="AU13" s="61"/>
      <c r="AV13" s="269"/>
      <c r="AX13" s="379"/>
      <c r="AY13" s="109"/>
      <c r="AZ13" s="109"/>
      <c r="BA13" s="344"/>
      <c r="BB13" s="58"/>
      <c r="BC13" s="109"/>
      <c r="BD13" s="298"/>
      <c r="BF13" s="470"/>
      <c r="BG13" s="453"/>
      <c r="BH13" s="453"/>
      <c r="BI13" s="471"/>
      <c r="BJ13" s="455"/>
      <c r="BK13" s="61"/>
      <c r="BL13" s="269"/>
    </row>
    <row r="14" ht="22.5" customHeight="1">
      <c r="A14" s="368"/>
      <c r="B14" s="270">
        <v>46175.0</v>
      </c>
      <c r="C14" s="312" t="s">
        <v>3767</v>
      </c>
      <c r="D14" s="472" t="s">
        <v>3768</v>
      </c>
      <c r="E14" s="58" t="s">
        <v>10</v>
      </c>
      <c r="F14" s="58" t="s">
        <v>2349</v>
      </c>
      <c r="G14" s="61"/>
      <c r="H14" s="269" t="b">
        <v>1</v>
      </c>
      <c r="J14" s="401">
        <v>46174.0</v>
      </c>
      <c r="K14" s="273" t="s">
        <v>3769</v>
      </c>
      <c r="L14" s="273" t="s">
        <v>3770</v>
      </c>
      <c r="M14" s="274" t="s">
        <v>11</v>
      </c>
      <c r="N14" s="274" t="s">
        <v>2337</v>
      </c>
      <c r="O14" s="61"/>
      <c r="P14" s="269" t="b">
        <v>1</v>
      </c>
      <c r="R14" s="270">
        <v>46182.0</v>
      </c>
      <c r="S14" s="294" t="s">
        <v>3771</v>
      </c>
      <c r="T14" s="411" t="s">
        <v>3772</v>
      </c>
      <c r="U14" s="391" t="s">
        <v>10</v>
      </c>
      <c r="V14" s="58" t="s">
        <v>12</v>
      </c>
      <c r="W14" s="109"/>
      <c r="X14" s="269" t="b">
        <v>1</v>
      </c>
      <c r="Z14" s="270">
        <v>46182.0</v>
      </c>
      <c r="AA14" s="109" t="s">
        <v>3773</v>
      </c>
      <c r="AB14" s="109" t="s">
        <v>3774</v>
      </c>
      <c r="AC14" s="58" t="s">
        <v>23</v>
      </c>
      <c r="AD14" s="58" t="s">
        <v>28</v>
      </c>
      <c r="AE14" s="109"/>
      <c r="AF14" s="298"/>
      <c r="AH14" s="270"/>
      <c r="AI14" s="109"/>
      <c r="AJ14" s="373"/>
      <c r="AK14" s="58"/>
      <c r="AL14" s="58"/>
      <c r="AM14" s="61"/>
      <c r="AN14" s="269"/>
      <c r="AP14" s="270"/>
      <c r="AQ14" s="109"/>
      <c r="AR14" s="109"/>
      <c r="AS14" s="58"/>
      <c r="AT14" s="58"/>
      <c r="AU14" s="61"/>
      <c r="AV14" s="269"/>
      <c r="AX14" s="270"/>
      <c r="AY14" s="384"/>
      <c r="AZ14" s="463"/>
      <c r="BA14" s="58"/>
      <c r="BB14" s="58"/>
      <c r="BC14" s="61"/>
      <c r="BD14" s="269"/>
      <c r="BF14" s="473"/>
      <c r="BG14" s="450"/>
      <c r="BH14" s="450"/>
      <c r="BI14" s="452"/>
      <c r="BJ14" s="452"/>
      <c r="BK14" s="61"/>
      <c r="BL14" s="269"/>
    </row>
    <row r="15" ht="22.5" customHeight="1">
      <c r="A15" s="368"/>
      <c r="B15" s="270">
        <v>46175.0</v>
      </c>
      <c r="C15" s="294" t="s">
        <v>3775</v>
      </c>
      <c r="D15" s="294" t="s">
        <v>3776</v>
      </c>
      <c r="E15" s="391" t="s">
        <v>22</v>
      </c>
      <c r="F15" s="391" t="s">
        <v>2344</v>
      </c>
      <c r="G15" s="61"/>
      <c r="H15" s="269" t="b">
        <v>1</v>
      </c>
      <c r="J15" s="403">
        <v>46174.0</v>
      </c>
      <c r="K15" s="294" t="s">
        <v>3777</v>
      </c>
      <c r="L15" s="294" t="s">
        <v>3778</v>
      </c>
      <c r="M15" s="295" t="s">
        <v>11</v>
      </c>
      <c r="N15" s="295" t="s">
        <v>2337</v>
      </c>
      <c r="O15" s="61"/>
      <c r="P15" s="269" t="b">
        <v>1</v>
      </c>
      <c r="R15" s="270">
        <v>46182.0</v>
      </c>
      <c r="S15" s="474" t="s">
        <v>3779</v>
      </c>
      <c r="T15" s="273" t="s">
        <v>3780</v>
      </c>
      <c r="U15" s="402" t="s">
        <v>24</v>
      </c>
      <c r="V15" s="402" t="s">
        <v>2344</v>
      </c>
      <c r="W15" s="61"/>
      <c r="X15" s="269"/>
      <c r="Z15" s="270">
        <v>46182.0</v>
      </c>
      <c r="AA15" s="384" t="s">
        <v>3781</v>
      </c>
      <c r="AB15" s="109" t="s">
        <v>3782</v>
      </c>
      <c r="AC15" s="58" t="s">
        <v>27</v>
      </c>
      <c r="AD15" s="58" t="s">
        <v>28</v>
      </c>
      <c r="AE15" s="109"/>
      <c r="AF15" s="298"/>
      <c r="AH15" s="270"/>
      <c r="AI15" s="109"/>
      <c r="AJ15" s="373"/>
      <c r="AK15" s="344"/>
      <c r="AL15" s="58"/>
      <c r="AM15" s="109"/>
      <c r="AN15" s="298"/>
      <c r="AP15" s="270"/>
      <c r="AQ15" s="109"/>
      <c r="AR15" s="109"/>
      <c r="AS15" s="58"/>
      <c r="AT15" s="58"/>
      <c r="AU15" s="109"/>
      <c r="AV15" s="269"/>
      <c r="AX15" s="270"/>
      <c r="AY15" s="384"/>
      <c r="AZ15" s="439"/>
      <c r="BA15" s="58"/>
      <c r="BB15" s="58"/>
      <c r="BC15" s="61"/>
      <c r="BD15" s="269"/>
      <c r="BF15" s="470"/>
      <c r="BG15" s="453"/>
      <c r="BH15" s="453"/>
      <c r="BI15" s="455"/>
      <c r="BJ15" s="455"/>
      <c r="BK15" s="109"/>
      <c r="BL15" s="269"/>
    </row>
    <row r="16" ht="22.5" customHeight="1">
      <c r="A16" s="368"/>
      <c r="B16" s="270">
        <v>46175.0</v>
      </c>
      <c r="C16" s="273" t="s">
        <v>3783</v>
      </c>
      <c r="D16" s="273" t="s">
        <v>3784</v>
      </c>
      <c r="E16" s="402"/>
      <c r="F16" s="402" t="s">
        <v>2344</v>
      </c>
      <c r="G16" s="427" t="s">
        <v>2432</v>
      </c>
      <c r="H16" s="269"/>
      <c r="J16" s="401">
        <v>46174.0</v>
      </c>
      <c r="K16" s="273" t="s">
        <v>3785</v>
      </c>
      <c r="L16" s="273" t="s">
        <v>3786</v>
      </c>
      <c r="M16" s="274" t="s">
        <v>23</v>
      </c>
      <c r="N16" s="274" t="s">
        <v>2337</v>
      </c>
      <c r="O16" s="61"/>
      <c r="P16" s="269" t="b">
        <v>1</v>
      </c>
      <c r="R16" s="270">
        <v>46182.0</v>
      </c>
      <c r="S16" s="474" t="s">
        <v>3787</v>
      </c>
      <c r="T16" s="294" t="s">
        <v>3788</v>
      </c>
      <c r="U16" s="391" t="s">
        <v>13</v>
      </c>
      <c r="V16" s="391" t="s">
        <v>2344</v>
      </c>
      <c r="W16" s="61"/>
      <c r="X16" s="269"/>
      <c r="Z16" s="270">
        <v>46182.0</v>
      </c>
      <c r="AA16" s="109" t="s">
        <v>3789</v>
      </c>
      <c r="AB16" s="109" t="s">
        <v>3790</v>
      </c>
      <c r="AC16" s="58" t="s">
        <v>11</v>
      </c>
      <c r="AD16" s="58" t="s">
        <v>20</v>
      </c>
      <c r="AE16" s="61"/>
      <c r="AF16" s="269" t="b">
        <v>1</v>
      </c>
      <c r="AH16" s="270"/>
      <c r="AI16" s="384"/>
      <c r="AJ16" s="373"/>
      <c r="AK16" s="58"/>
      <c r="AL16" s="58"/>
      <c r="AM16" s="61"/>
      <c r="AN16" s="269"/>
      <c r="AP16" s="270"/>
      <c r="AQ16" s="109"/>
      <c r="AR16" s="109"/>
      <c r="AS16" s="58"/>
      <c r="AT16" s="58"/>
      <c r="AU16" s="61"/>
      <c r="AV16" s="269"/>
      <c r="AX16" s="270"/>
      <c r="AY16" s="384"/>
      <c r="AZ16" s="463"/>
      <c r="BA16" s="58"/>
      <c r="BB16" s="58"/>
      <c r="BC16" s="61"/>
      <c r="BD16" s="269"/>
      <c r="BF16" s="473"/>
      <c r="BG16" s="450"/>
      <c r="BH16" s="450"/>
      <c r="BI16" s="452"/>
      <c r="BJ16" s="452"/>
      <c r="BK16" s="61"/>
      <c r="BL16" s="269"/>
    </row>
    <row r="17" ht="22.5" customHeight="1">
      <c r="A17" s="368"/>
      <c r="B17" s="270">
        <v>46175.0</v>
      </c>
      <c r="C17" s="273" t="s">
        <v>3791</v>
      </c>
      <c r="D17" s="273" t="s">
        <v>3792</v>
      </c>
      <c r="E17" s="402"/>
      <c r="F17" s="274" t="s">
        <v>2344</v>
      </c>
      <c r="G17" s="427" t="s">
        <v>2432</v>
      </c>
      <c r="H17" s="269"/>
      <c r="J17" s="380">
        <v>46174.0</v>
      </c>
      <c r="K17" s="294" t="s">
        <v>3793</v>
      </c>
      <c r="L17" s="294" t="s">
        <v>3794</v>
      </c>
      <c r="M17" s="381" t="s">
        <v>11</v>
      </c>
      <c r="N17" s="404" t="s">
        <v>2338</v>
      </c>
      <c r="O17" s="61"/>
      <c r="P17" s="269" t="b">
        <v>1</v>
      </c>
      <c r="R17" s="270">
        <v>46182.0</v>
      </c>
      <c r="S17" s="474" t="s">
        <v>3795</v>
      </c>
      <c r="T17" s="294" t="s">
        <v>3796</v>
      </c>
      <c r="U17" s="391" t="s">
        <v>24</v>
      </c>
      <c r="V17" s="391" t="s">
        <v>2344</v>
      </c>
      <c r="W17" s="61"/>
      <c r="X17" s="269"/>
      <c r="Z17" s="270">
        <v>46182.0</v>
      </c>
      <c r="AA17" s="109" t="s">
        <v>725</v>
      </c>
      <c r="AB17" s="109" t="s">
        <v>726</v>
      </c>
      <c r="AC17" s="58" t="s">
        <v>18</v>
      </c>
      <c r="AD17" s="58" t="s">
        <v>20</v>
      </c>
      <c r="AE17" s="109"/>
      <c r="AF17" s="269" t="b">
        <v>1</v>
      </c>
      <c r="AH17" s="270"/>
      <c r="AI17" s="384"/>
      <c r="AJ17" s="373"/>
      <c r="AK17" s="58"/>
      <c r="AL17" s="58"/>
      <c r="AM17" s="61"/>
      <c r="AN17" s="269"/>
      <c r="AP17" s="270"/>
      <c r="AQ17" s="109"/>
      <c r="AR17" s="109"/>
      <c r="AS17" s="58"/>
      <c r="AT17" s="58"/>
      <c r="AU17" s="61"/>
      <c r="AV17" s="269"/>
      <c r="AX17" s="270"/>
      <c r="AY17" s="384"/>
      <c r="AZ17" s="463"/>
      <c r="BA17" s="58"/>
      <c r="BB17" s="58"/>
      <c r="BC17" s="61"/>
      <c r="BD17" s="269"/>
      <c r="BF17" s="449"/>
      <c r="BG17" s="450"/>
      <c r="BH17" s="450"/>
      <c r="BI17" s="452"/>
      <c r="BJ17" s="475"/>
      <c r="BK17" s="61"/>
      <c r="BL17" s="269"/>
    </row>
    <row r="18" ht="22.5" customHeight="1">
      <c r="A18" s="368"/>
      <c r="B18" s="270">
        <v>46175.0</v>
      </c>
      <c r="C18" s="273" t="s">
        <v>3797</v>
      </c>
      <c r="D18" s="273" t="s">
        <v>3798</v>
      </c>
      <c r="E18" s="402" t="s">
        <v>22</v>
      </c>
      <c r="F18" s="402" t="s">
        <v>2344</v>
      </c>
      <c r="G18" s="61"/>
      <c r="H18" s="269" t="b">
        <v>1</v>
      </c>
      <c r="J18" s="382">
        <v>46174.0</v>
      </c>
      <c r="K18" s="273" t="s">
        <v>3799</v>
      </c>
      <c r="L18" s="273" t="s">
        <v>3800</v>
      </c>
      <c r="M18" s="399" t="s">
        <v>11</v>
      </c>
      <c r="N18" s="410" t="s">
        <v>2338</v>
      </c>
      <c r="O18" s="109" t="s">
        <v>3801</v>
      </c>
      <c r="P18" s="298"/>
      <c r="R18" s="270">
        <v>46182.0</v>
      </c>
      <c r="S18" s="474" t="s">
        <v>3802</v>
      </c>
      <c r="T18" s="273" t="s">
        <v>2186</v>
      </c>
      <c r="U18" s="402"/>
      <c r="V18" s="402" t="s">
        <v>2344</v>
      </c>
      <c r="W18" s="109" t="s">
        <v>3803</v>
      </c>
      <c r="X18" s="269"/>
      <c r="Z18" s="270">
        <v>46182.0</v>
      </c>
      <c r="AA18" s="109" t="s">
        <v>3804</v>
      </c>
      <c r="AB18" s="109" t="s">
        <v>3805</v>
      </c>
      <c r="AC18" s="58" t="s">
        <v>11</v>
      </c>
      <c r="AD18" s="58" t="s">
        <v>20</v>
      </c>
      <c r="AE18" s="109" t="s">
        <v>3806</v>
      </c>
      <c r="AF18" s="269" t="b">
        <v>1</v>
      </c>
      <c r="AH18" s="270"/>
      <c r="AI18" s="109"/>
      <c r="AJ18" s="373"/>
      <c r="AK18" s="344"/>
      <c r="AL18" s="58"/>
      <c r="AM18" s="109"/>
      <c r="AN18" s="298"/>
      <c r="AP18" s="270"/>
      <c r="AQ18" s="109"/>
      <c r="AR18" s="109"/>
      <c r="AS18" s="58"/>
      <c r="AT18" s="58"/>
      <c r="AU18" s="61"/>
      <c r="AV18" s="269"/>
      <c r="AX18" s="270"/>
      <c r="AY18" s="384"/>
      <c r="AZ18" s="463"/>
      <c r="BA18" s="58"/>
      <c r="BB18" s="58"/>
      <c r="BC18" s="61"/>
      <c r="BD18" s="269"/>
      <c r="BF18" s="449"/>
      <c r="BG18" s="453"/>
      <c r="BH18" s="453"/>
      <c r="BI18" s="454"/>
      <c r="BJ18" s="455"/>
      <c r="BK18" s="61"/>
      <c r="BL18" s="269"/>
    </row>
    <row r="19" ht="22.5" customHeight="1">
      <c r="A19" s="368"/>
      <c r="B19" s="270">
        <v>46175.0</v>
      </c>
      <c r="C19" s="294" t="s">
        <v>3807</v>
      </c>
      <c r="D19" s="294" t="s">
        <v>3808</v>
      </c>
      <c r="E19" s="391" t="s">
        <v>24</v>
      </c>
      <c r="F19" s="295" t="s">
        <v>2344</v>
      </c>
      <c r="G19" s="61"/>
      <c r="H19" s="269" t="b">
        <v>1</v>
      </c>
      <c r="J19" s="380">
        <v>46174.0</v>
      </c>
      <c r="K19" s="417" t="s">
        <v>3809</v>
      </c>
      <c r="L19" s="294" t="s">
        <v>3810</v>
      </c>
      <c r="M19" s="441" t="s">
        <v>23</v>
      </c>
      <c r="N19" s="404" t="s">
        <v>2338</v>
      </c>
      <c r="O19" s="109" t="s">
        <v>3746</v>
      </c>
      <c r="P19" s="269" t="b">
        <v>1</v>
      </c>
      <c r="R19" s="270">
        <v>46182.0</v>
      </c>
      <c r="S19" s="474" t="s">
        <v>3811</v>
      </c>
      <c r="T19" s="273" t="s">
        <v>3812</v>
      </c>
      <c r="U19" s="402" t="s">
        <v>44</v>
      </c>
      <c r="V19" s="402" t="s">
        <v>2344</v>
      </c>
      <c r="W19" s="109"/>
      <c r="X19" s="269"/>
      <c r="Z19" s="270">
        <v>46182.0</v>
      </c>
      <c r="AA19" s="109" t="s">
        <v>3813</v>
      </c>
      <c r="AB19" s="109" t="s">
        <v>3814</v>
      </c>
      <c r="AC19" s="58" t="s">
        <v>18</v>
      </c>
      <c r="AD19" s="58" t="s">
        <v>20</v>
      </c>
      <c r="AE19" s="61"/>
      <c r="AF19" s="269" t="b">
        <v>1</v>
      </c>
      <c r="AH19" s="270"/>
      <c r="AI19" s="384"/>
      <c r="AJ19" s="373"/>
      <c r="AK19" s="81"/>
      <c r="AL19" s="58"/>
      <c r="AM19" s="61"/>
      <c r="AN19" s="269"/>
      <c r="AP19" s="470"/>
      <c r="AQ19" s="453"/>
      <c r="AR19" s="453"/>
      <c r="AS19" s="471"/>
      <c r="AT19" s="455"/>
      <c r="AU19" s="476"/>
      <c r="AV19" s="269"/>
      <c r="AX19" s="270"/>
      <c r="AY19" s="384"/>
      <c r="AZ19" s="463"/>
      <c r="BA19" s="58"/>
      <c r="BB19" s="58"/>
      <c r="BC19" s="61"/>
      <c r="BD19" s="269"/>
      <c r="BF19" s="449"/>
      <c r="BG19" s="453"/>
      <c r="BH19" s="453"/>
      <c r="BI19" s="455"/>
      <c r="BJ19" s="455"/>
      <c r="BK19" s="109"/>
      <c r="BL19" s="298"/>
    </row>
    <row r="20" ht="22.5" customHeight="1">
      <c r="A20" s="368"/>
      <c r="B20" s="270">
        <v>46175.0</v>
      </c>
      <c r="C20" s="273" t="s">
        <v>3815</v>
      </c>
      <c r="D20" s="273" t="s">
        <v>3816</v>
      </c>
      <c r="E20" s="402"/>
      <c r="F20" s="274" t="s">
        <v>2344</v>
      </c>
      <c r="G20" s="109" t="s">
        <v>3817</v>
      </c>
      <c r="H20" s="269"/>
      <c r="J20" s="382">
        <v>46174.0</v>
      </c>
      <c r="K20" s="273" t="s">
        <v>3818</v>
      </c>
      <c r="L20" s="273" t="s">
        <v>3819</v>
      </c>
      <c r="M20" s="399" t="s">
        <v>23</v>
      </c>
      <c r="N20" s="274" t="s">
        <v>2338</v>
      </c>
      <c r="O20" s="61"/>
      <c r="P20" s="269" t="b">
        <v>1</v>
      </c>
      <c r="R20" s="270">
        <v>46183.0</v>
      </c>
      <c r="S20" s="273" t="s">
        <v>3820</v>
      </c>
      <c r="T20" s="413" t="s">
        <v>3821</v>
      </c>
      <c r="U20" s="402" t="s">
        <v>13</v>
      </c>
      <c r="V20" s="58" t="s">
        <v>12</v>
      </c>
      <c r="W20" s="61"/>
      <c r="X20" s="269"/>
      <c r="Z20" s="270">
        <v>46182.0</v>
      </c>
      <c r="AA20" s="109" t="s">
        <v>3822</v>
      </c>
      <c r="AB20" s="407" t="s">
        <v>3823</v>
      </c>
      <c r="AC20" s="58" t="s">
        <v>11</v>
      </c>
      <c r="AD20" s="58" t="s">
        <v>20</v>
      </c>
      <c r="AE20" s="109" t="s">
        <v>3806</v>
      </c>
      <c r="AF20" s="269" t="b">
        <v>1</v>
      </c>
      <c r="AH20" s="270"/>
      <c r="AI20" s="384"/>
      <c r="AJ20" s="373"/>
      <c r="AK20" s="58"/>
      <c r="AL20" s="58"/>
      <c r="AM20" s="61"/>
      <c r="AN20" s="269"/>
      <c r="AP20" s="473"/>
      <c r="AQ20" s="450"/>
      <c r="AR20" s="450"/>
      <c r="AS20" s="477"/>
      <c r="AT20" s="452"/>
      <c r="AU20" s="478"/>
      <c r="AV20" s="269"/>
      <c r="AX20" s="270"/>
      <c r="AY20" s="384"/>
      <c r="AZ20" s="463"/>
      <c r="BA20" s="58"/>
      <c r="BB20" s="58"/>
      <c r="BC20" s="61"/>
      <c r="BD20" s="269"/>
      <c r="BF20" s="449"/>
      <c r="BG20" s="450"/>
      <c r="BH20" s="450"/>
      <c r="BI20" s="452"/>
      <c r="BJ20" s="452"/>
      <c r="BK20" s="109"/>
      <c r="BL20" s="298"/>
    </row>
    <row r="21" ht="22.5" customHeight="1">
      <c r="A21" s="368"/>
      <c r="B21" s="270">
        <v>46175.0</v>
      </c>
      <c r="C21" s="430" t="s">
        <v>3824</v>
      </c>
      <c r="D21" s="430" t="s">
        <v>3825</v>
      </c>
      <c r="E21" s="431" t="s">
        <v>22</v>
      </c>
      <c r="F21" s="58" t="s">
        <v>12</v>
      </c>
      <c r="G21" s="61"/>
      <c r="H21" s="269" t="b">
        <v>1</v>
      </c>
      <c r="J21" s="380">
        <v>46174.0</v>
      </c>
      <c r="K21" s="294" t="s">
        <v>3826</v>
      </c>
      <c r="L21" s="294" t="s">
        <v>3827</v>
      </c>
      <c r="M21" s="441" t="s">
        <v>23</v>
      </c>
      <c r="N21" s="406" t="s">
        <v>2338</v>
      </c>
      <c r="O21" s="61"/>
      <c r="P21" s="269" t="b">
        <v>1</v>
      </c>
      <c r="R21" s="270">
        <v>46183.0</v>
      </c>
      <c r="S21" s="294" t="s">
        <v>3828</v>
      </c>
      <c r="T21" s="411" t="s">
        <v>3829</v>
      </c>
      <c r="U21" s="391" t="s">
        <v>10</v>
      </c>
      <c r="V21" s="58" t="s">
        <v>12</v>
      </c>
      <c r="W21" s="109"/>
      <c r="X21" s="269"/>
      <c r="Z21" s="270">
        <v>46182.0</v>
      </c>
      <c r="AA21" s="109" t="s">
        <v>3830</v>
      </c>
      <c r="AB21" s="109" t="s">
        <v>3831</v>
      </c>
      <c r="AC21" s="58" t="s">
        <v>11</v>
      </c>
      <c r="AD21" s="58" t="s">
        <v>20</v>
      </c>
      <c r="AE21" s="109"/>
      <c r="AF21" s="298"/>
      <c r="AH21" s="270"/>
      <c r="AI21" s="109"/>
      <c r="AJ21" s="373"/>
      <c r="AK21" s="58"/>
      <c r="AL21" s="58"/>
      <c r="AM21" s="61"/>
      <c r="AN21" s="269"/>
      <c r="AP21" s="470"/>
      <c r="AQ21" s="453"/>
      <c r="AR21" s="453"/>
      <c r="AS21" s="471"/>
      <c r="AT21" s="455"/>
      <c r="AU21" s="476"/>
      <c r="AV21" s="269"/>
      <c r="AX21" s="270"/>
      <c r="AY21" s="384"/>
      <c r="AZ21" s="479"/>
      <c r="BA21" s="58"/>
      <c r="BB21" s="58"/>
      <c r="BC21" s="61"/>
      <c r="BD21" s="269"/>
      <c r="BF21" s="470"/>
      <c r="BG21" s="453"/>
      <c r="BH21" s="453"/>
      <c r="BI21" s="455"/>
      <c r="BJ21" s="455"/>
      <c r="BK21" s="61"/>
      <c r="BL21" s="298"/>
    </row>
    <row r="22" ht="22.5" customHeight="1">
      <c r="A22" s="368"/>
      <c r="B22" s="270">
        <v>46176.0</v>
      </c>
      <c r="C22" s="312" t="s">
        <v>3832</v>
      </c>
      <c r="D22" s="480" t="s">
        <v>3833</v>
      </c>
      <c r="E22" s="58" t="s">
        <v>22</v>
      </c>
      <c r="F22" s="58" t="s">
        <v>2349</v>
      </c>
      <c r="G22" s="61"/>
      <c r="H22" s="269" t="b">
        <v>1</v>
      </c>
      <c r="J22" s="382">
        <v>46174.0</v>
      </c>
      <c r="K22" s="273" t="s">
        <v>3834</v>
      </c>
      <c r="L22" s="273" t="s">
        <v>3835</v>
      </c>
      <c r="M22" s="274" t="s">
        <v>23</v>
      </c>
      <c r="N22" s="274" t="s">
        <v>2338</v>
      </c>
      <c r="O22" s="61"/>
      <c r="P22" s="269" t="b">
        <v>1</v>
      </c>
      <c r="R22" s="270">
        <v>46183.0</v>
      </c>
      <c r="S22" s="273" t="s">
        <v>3836</v>
      </c>
      <c r="T22" s="413" t="s">
        <v>3837</v>
      </c>
      <c r="U22" s="402" t="s">
        <v>32</v>
      </c>
      <c r="V22" s="58" t="s">
        <v>12</v>
      </c>
      <c r="W22" s="61"/>
      <c r="X22" s="269"/>
      <c r="Z22" s="270">
        <v>46182.0</v>
      </c>
      <c r="AA22" s="109" t="s">
        <v>3838</v>
      </c>
      <c r="AB22" s="109" t="s">
        <v>3839</v>
      </c>
      <c r="AC22" s="58" t="s">
        <v>11</v>
      </c>
      <c r="AD22" s="58" t="s">
        <v>20</v>
      </c>
      <c r="AE22" s="61"/>
      <c r="AF22" s="269" t="b">
        <v>1</v>
      </c>
      <c r="AH22" s="270"/>
      <c r="AI22" s="109"/>
      <c r="AJ22" s="373"/>
      <c r="AK22" s="58"/>
      <c r="AL22" s="58"/>
      <c r="AM22" s="61"/>
      <c r="AN22" s="269"/>
      <c r="AP22" s="473"/>
      <c r="AQ22" s="450"/>
      <c r="AR22" s="450"/>
      <c r="AS22" s="477"/>
      <c r="AT22" s="452"/>
      <c r="AU22" s="478"/>
      <c r="AV22" s="269"/>
      <c r="AX22" s="270"/>
      <c r="AY22" s="109"/>
      <c r="AZ22" s="373"/>
      <c r="BA22" s="58"/>
      <c r="BB22" s="58"/>
      <c r="BC22" s="61"/>
      <c r="BD22" s="269"/>
      <c r="BF22" s="270"/>
      <c r="BG22" s="109"/>
      <c r="BH22" s="109"/>
      <c r="BI22" s="58"/>
      <c r="BJ22" s="58"/>
      <c r="BK22" s="61"/>
      <c r="BL22" s="269"/>
    </row>
    <row r="23" ht="22.5" customHeight="1">
      <c r="A23" s="368"/>
      <c r="B23" s="270">
        <v>46176.0</v>
      </c>
      <c r="C23" s="405" t="s">
        <v>3840</v>
      </c>
      <c r="D23" s="405" t="s">
        <v>3841</v>
      </c>
      <c r="E23" s="481" t="s">
        <v>22</v>
      </c>
      <c r="F23" s="58" t="s">
        <v>12</v>
      </c>
      <c r="G23" s="61"/>
      <c r="H23" s="269" t="b">
        <v>1</v>
      </c>
      <c r="J23" s="403">
        <v>46175.0</v>
      </c>
      <c r="K23" s="294" t="s">
        <v>3842</v>
      </c>
      <c r="L23" s="294" t="s">
        <v>3843</v>
      </c>
      <c r="M23" s="391" t="s">
        <v>23</v>
      </c>
      <c r="N23" s="391" t="s">
        <v>2337</v>
      </c>
      <c r="O23" s="61"/>
      <c r="P23" s="269" t="b">
        <v>1</v>
      </c>
      <c r="R23" s="270">
        <v>46183.0</v>
      </c>
      <c r="S23" s="294" t="s">
        <v>3844</v>
      </c>
      <c r="T23" s="411" t="s">
        <v>3845</v>
      </c>
      <c r="U23" s="391" t="s">
        <v>24</v>
      </c>
      <c r="V23" s="58" t="s">
        <v>12</v>
      </c>
      <c r="W23" s="61"/>
      <c r="X23" s="269"/>
      <c r="Z23" s="270">
        <v>46182.0</v>
      </c>
      <c r="AA23" s="109" t="s">
        <v>3846</v>
      </c>
      <c r="AB23" s="109" t="s">
        <v>3847</v>
      </c>
      <c r="AC23" s="58" t="s">
        <v>21</v>
      </c>
      <c r="AD23" s="58" t="s">
        <v>20</v>
      </c>
      <c r="AE23" s="61"/>
      <c r="AF23" s="269" t="b">
        <v>1</v>
      </c>
      <c r="AH23" s="270"/>
      <c r="AI23" s="47"/>
      <c r="AJ23" s="373"/>
      <c r="AK23" s="58"/>
      <c r="AL23" s="58"/>
      <c r="AM23" s="61"/>
      <c r="AN23" s="269"/>
      <c r="AP23" s="470"/>
      <c r="AQ23" s="453"/>
      <c r="AR23" s="453"/>
      <c r="AS23" s="471"/>
      <c r="AT23" s="455"/>
      <c r="AU23" s="476"/>
      <c r="AV23" s="269"/>
      <c r="AX23" s="270"/>
      <c r="AY23" s="109"/>
      <c r="AZ23" s="373"/>
      <c r="BA23" s="322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>
        <v>46176.0</v>
      </c>
      <c r="C24" s="109" t="s">
        <v>3848</v>
      </c>
      <c r="D24" s="373" t="s">
        <v>3849</v>
      </c>
      <c r="E24" s="58" t="s">
        <v>32</v>
      </c>
      <c r="F24" s="58" t="s">
        <v>2349</v>
      </c>
      <c r="G24" s="109"/>
      <c r="H24" s="269" t="b">
        <v>1</v>
      </c>
      <c r="J24" s="401">
        <v>46175.0</v>
      </c>
      <c r="K24" s="273" t="s">
        <v>3850</v>
      </c>
      <c r="L24" s="273" t="s">
        <v>3851</v>
      </c>
      <c r="M24" s="402" t="s">
        <v>27</v>
      </c>
      <c r="N24" s="402" t="s">
        <v>2337</v>
      </c>
      <c r="O24" s="109"/>
      <c r="P24" s="269" t="b">
        <v>1</v>
      </c>
      <c r="R24" s="270">
        <v>46183.0</v>
      </c>
      <c r="S24" s="109" t="s">
        <v>3852</v>
      </c>
      <c r="T24" s="109" t="s">
        <v>3853</v>
      </c>
      <c r="U24" s="58"/>
      <c r="V24" s="58" t="s">
        <v>2347</v>
      </c>
      <c r="W24" s="109" t="s">
        <v>3854</v>
      </c>
      <c r="X24" s="269"/>
      <c r="Z24" s="270">
        <v>46182.0</v>
      </c>
      <c r="AA24" s="109" t="s">
        <v>3855</v>
      </c>
      <c r="AB24" s="109" t="s">
        <v>3856</v>
      </c>
      <c r="AC24" s="58" t="s">
        <v>11</v>
      </c>
      <c r="AD24" s="58" t="s">
        <v>20</v>
      </c>
      <c r="AE24" s="61"/>
      <c r="AF24" s="269" t="b">
        <v>1</v>
      </c>
      <c r="AH24" s="270"/>
      <c r="AI24" s="109"/>
      <c r="AJ24" s="373"/>
      <c r="AK24" s="58"/>
      <c r="AL24" s="58"/>
      <c r="AM24" s="61"/>
      <c r="AN24" s="269"/>
      <c r="AP24" s="449"/>
      <c r="AQ24" s="450"/>
      <c r="AR24" s="450"/>
      <c r="AS24" s="468"/>
      <c r="AT24" s="452"/>
      <c r="AU24" s="61"/>
      <c r="AV24" s="269"/>
      <c r="AX24" s="270"/>
      <c r="AY24" s="384"/>
      <c r="AZ24" s="373"/>
      <c r="BA24" s="58"/>
      <c r="BB24" s="322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>
        <v>46176.0</v>
      </c>
      <c r="C25" s="430" t="s">
        <v>3857</v>
      </c>
      <c r="D25" s="430" t="s">
        <v>3858</v>
      </c>
      <c r="E25" s="431" t="s">
        <v>32</v>
      </c>
      <c r="F25" s="58" t="s">
        <v>12</v>
      </c>
      <c r="G25" s="61"/>
      <c r="H25" s="269" t="b">
        <v>1</v>
      </c>
      <c r="J25" s="403">
        <v>46175.0</v>
      </c>
      <c r="K25" s="294" t="s">
        <v>3859</v>
      </c>
      <c r="L25" s="294" t="s">
        <v>3860</v>
      </c>
      <c r="M25" s="391" t="s">
        <v>23</v>
      </c>
      <c r="N25" s="391" t="s">
        <v>2337</v>
      </c>
      <c r="O25" s="61"/>
      <c r="P25" s="269" t="b">
        <v>1</v>
      </c>
      <c r="R25" s="270">
        <v>46183.0</v>
      </c>
      <c r="S25" s="109" t="s">
        <v>3861</v>
      </c>
      <c r="T25" s="109" t="s">
        <v>3862</v>
      </c>
      <c r="U25" s="58" t="s">
        <v>24</v>
      </c>
      <c r="V25" s="58" t="s">
        <v>2347</v>
      </c>
      <c r="W25" s="61"/>
      <c r="X25" s="269"/>
      <c r="Z25" s="270">
        <v>46182.0</v>
      </c>
      <c r="AA25" s="109" t="s">
        <v>3863</v>
      </c>
      <c r="AB25" s="109" t="s">
        <v>3864</v>
      </c>
      <c r="AC25" s="58" t="s">
        <v>21</v>
      </c>
      <c r="AD25" s="58" t="s">
        <v>20</v>
      </c>
      <c r="AE25" s="61"/>
      <c r="AF25" s="269" t="b">
        <v>1</v>
      </c>
      <c r="AH25" s="270"/>
      <c r="AI25" s="109"/>
      <c r="AJ25" s="373"/>
      <c r="AK25" s="58"/>
      <c r="AL25" s="58"/>
      <c r="AM25" s="61"/>
      <c r="AN25" s="269"/>
      <c r="AP25" s="449"/>
      <c r="AQ25" s="453"/>
      <c r="AR25" s="453"/>
      <c r="AS25" s="466"/>
      <c r="AT25" s="452"/>
      <c r="AU25" s="61"/>
      <c r="AV25" s="269"/>
      <c r="AX25" s="270"/>
      <c r="AY25" s="384"/>
      <c r="AZ25" s="373"/>
      <c r="BA25" s="58"/>
      <c r="BB25" s="58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>
        <v>46176.0</v>
      </c>
      <c r="C26" s="294" t="s">
        <v>3865</v>
      </c>
      <c r="D26" s="294" t="s">
        <v>3866</v>
      </c>
      <c r="E26" s="391" t="s">
        <v>32</v>
      </c>
      <c r="F26" s="58" t="s">
        <v>12</v>
      </c>
      <c r="G26" s="61"/>
      <c r="H26" s="269" t="b">
        <v>1</v>
      </c>
      <c r="J26" s="401">
        <v>46175.0</v>
      </c>
      <c r="K26" s="273" t="s">
        <v>3867</v>
      </c>
      <c r="L26" s="273" t="s">
        <v>3868</v>
      </c>
      <c r="M26" s="402" t="s">
        <v>23</v>
      </c>
      <c r="N26" s="402" t="s">
        <v>2337</v>
      </c>
      <c r="O26" s="61"/>
      <c r="P26" s="269" t="b">
        <v>1</v>
      </c>
      <c r="R26" s="270">
        <v>46183.0</v>
      </c>
      <c r="S26" s="109" t="s">
        <v>3869</v>
      </c>
      <c r="T26" s="109" t="s">
        <v>3870</v>
      </c>
      <c r="U26" s="58" t="s">
        <v>24</v>
      </c>
      <c r="V26" s="58" t="s">
        <v>9</v>
      </c>
      <c r="W26" s="61"/>
      <c r="X26" s="269"/>
      <c r="Z26" s="270">
        <v>46182.0</v>
      </c>
      <c r="AA26" s="109" t="s">
        <v>3871</v>
      </c>
      <c r="AB26" s="109" t="s">
        <v>3872</v>
      </c>
      <c r="AC26" s="58" t="s">
        <v>21</v>
      </c>
      <c r="AD26" s="58" t="s">
        <v>20</v>
      </c>
      <c r="AE26" s="109"/>
      <c r="AF26" s="269" t="b">
        <v>1</v>
      </c>
      <c r="AH26" s="270"/>
      <c r="AI26" s="109"/>
      <c r="AJ26" s="373"/>
      <c r="AK26" s="58"/>
      <c r="AL26" s="58"/>
      <c r="AM26" s="61"/>
      <c r="AN26" s="269"/>
      <c r="AP26" s="449"/>
      <c r="AQ26" s="450"/>
      <c r="AR26" s="450"/>
      <c r="AS26" s="468"/>
      <c r="AT26" s="451"/>
      <c r="AU26" s="61"/>
      <c r="AV26" s="269"/>
      <c r="AX26" s="270"/>
      <c r="AY26" s="384"/>
      <c r="AZ26" s="439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>
        <v>46176.0</v>
      </c>
      <c r="C27" s="273" t="s">
        <v>3873</v>
      </c>
      <c r="D27" s="273" t="s">
        <v>3874</v>
      </c>
      <c r="E27" s="402" t="s">
        <v>32</v>
      </c>
      <c r="F27" s="58" t="s">
        <v>12</v>
      </c>
      <c r="G27" s="61"/>
      <c r="H27" s="269" t="b">
        <v>1</v>
      </c>
      <c r="J27" s="403">
        <v>46175.0</v>
      </c>
      <c r="K27" s="294" t="s">
        <v>3875</v>
      </c>
      <c r="L27" s="294" t="s">
        <v>3876</v>
      </c>
      <c r="M27" s="391" t="s">
        <v>23</v>
      </c>
      <c r="N27" s="391" t="s">
        <v>2337</v>
      </c>
      <c r="O27" s="61"/>
      <c r="P27" s="269" t="b">
        <v>1</v>
      </c>
      <c r="R27" s="270">
        <v>46183.0</v>
      </c>
      <c r="S27" s="109" t="s">
        <v>3877</v>
      </c>
      <c r="T27" s="109" t="s">
        <v>3878</v>
      </c>
      <c r="U27" s="322" t="s">
        <v>44</v>
      </c>
      <c r="V27" s="58" t="s">
        <v>9</v>
      </c>
      <c r="W27" s="109"/>
      <c r="X27" s="269"/>
      <c r="Z27" s="270">
        <v>46182.0</v>
      </c>
      <c r="AA27" s="109" t="s">
        <v>3879</v>
      </c>
      <c r="AB27" s="109" t="s">
        <v>3880</v>
      </c>
      <c r="AC27" s="58" t="s">
        <v>21</v>
      </c>
      <c r="AD27" s="58" t="s">
        <v>20</v>
      </c>
      <c r="AE27" s="109" t="s">
        <v>3881</v>
      </c>
      <c r="AF27" s="269"/>
      <c r="AH27" s="270"/>
      <c r="AI27" s="109"/>
      <c r="AJ27" s="373"/>
      <c r="AK27" s="322"/>
      <c r="AL27" s="58"/>
      <c r="AM27" s="61"/>
      <c r="AN27" s="269"/>
      <c r="AP27" s="473"/>
      <c r="AQ27" s="450"/>
      <c r="AR27" s="450"/>
      <c r="AS27" s="477"/>
      <c r="AT27" s="452"/>
      <c r="AU27" s="478"/>
      <c r="AV27" s="269"/>
      <c r="AX27" s="270"/>
      <c r="AY27" s="450"/>
      <c r="AZ27" s="482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>
        <v>46176.0</v>
      </c>
      <c r="C28" s="109" t="s">
        <v>3882</v>
      </c>
      <c r="D28" s="373" t="s">
        <v>3883</v>
      </c>
      <c r="E28" s="58" t="s">
        <v>32</v>
      </c>
      <c r="F28" s="58" t="s">
        <v>9</v>
      </c>
      <c r="G28" s="61"/>
      <c r="H28" s="269" t="b">
        <v>1</v>
      </c>
      <c r="J28" s="401">
        <v>46175.0</v>
      </c>
      <c r="K28" s="273" t="s">
        <v>3884</v>
      </c>
      <c r="L28" s="273" t="s">
        <v>3885</v>
      </c>
      <c r="M28" s="402" t="s">
        <v>23</v>
      </c>
      <c r="N28" s="402" t="s">
        <v>2337</v>
      </c>
      <c r="O28" s="61"/>
      <c r="P28" s="269" t="b">
        <v>1</v>
      </c>
      <c r="R28" s="270">
        <v>46183.0</v>
      </c>
      <c r="S28" s="109" t="s">
        <v>3886</v>
      </c>
      <c r="T28" s="109" t="s">
        <v>3887</v>
      </c>
      <c r="U28" s="58" t="s">
        <v>32</v>
      </c>
      <c r="V28" s="58" t="s">
        <v>9</v>
      </c>
      <c r="W28" s="61"/>
      <c r="X28" s="269"/>
      <c r="Z28" s="270">
        <v>46182.0</v>
      </c>
      <c r="AA28" s="109" t="s">
        <v>3888</v>
      </c>
      <c r="AB28" s="109" t="s">
        <v>3889</v>
      </c>
      <c r="AC28" s="58" t="s">
        <v>21</v>
      </c>
      <c r="AD28" s="58" t="s">
        <v>20</v>
      </c>
      <c r="AE28" s="61"/>
      <c r="AF28" s="269" t="b">
        <v>1</v>
      </c>
      <c r="AH28" s="270"/>
      <c r="AI28" s="109"/>
      <c r="AJ28" s="373"/>
      <c r="AK28" s="412"/>
      <c r="AL28" s="344"/>
      <c r="AM28" s="109"/>
      <c r="AN28" s="298"/>
      <c r="AP28" s="470"/>
      <c r="AQ28" s="453"/>
      <c r="AR28" s="453"/>
      <c r="AS28" s="471"/>
      <c r="AT28" s="455"/>
      <c r="AU28" s="476"/>
      <c r="AV28" s="269"/>
      <c r="AX28" s="270"/>
      <c r="AY28" s="453"/>
      <c r="AZ28" s="483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>
        <v>46176.0</v>
      </c>
      <c r="C29" s="109" t="s">
        <v>3890</v>
      </c>
      <c r="D29" s="373" t="s">
        <v>3891</v>
      </c>
      <c r="E29" s="58" t="s">
        <v>22</v>
      </c>
      <c r="F29" s="58" t="s">
        <v>9</v>
      </c>
      <c r="G29" s="61"/>
      <c r="H29" s="269" t="b">
        <v>1</v>
      </c>
      <c r="J29" s="403">
        <v>46175.0</v>
      </c>
      <c r="K29" s="294" t="s">
        <v>3892</v>
      </c>
      <c r="L29" s="294" t="s">
        <v>3893</v>
      </c>
      <c r="M29" s="391" t="s">
        <v>23</v>
      </c>
      <c r="N29" s="391" t="s">
        <v>2337</v>
      </c>
      <c r="O29" s="61"/>
      <c r="P29" s="269" t="b">
        <v>1</v>
      </c>
      <c r="R29" s="270">
        <v>46183.0</v>
      </c>
      <c r="S29" s="109" t="s">
        <v>3894</v>
      </c>
      <c r="T29" s="109" t="s">
        <v>3895</v>
      </c>
      <c r="U29" s="58" t="s">
        <v>10</v>
      </c>
      <c r="V29" s="58" t="s">
        <v>9</v>
      </c>
      <c r="W29" s="61"/>
      <c r="X29" s="269"/>
      <c r="Z29" s="270">
        <v>46182.0</v>
      </c>
      <c r="AA29" s="109" t="s">
        <v>3896</v>
      </c>
      <c r="AB29" s="109" t="s">
        <v>3897</v>
      </c>
      <c r="AC29" s="58" t="s">
        <v>11</v>
      </c>
      <c r="AD29" s="58" t="s">
        <v>20</v>
      </c>
      <c r="AE29" s="61"/>
      <c r="AF29" s="269" t="b">
        <v>1</v>
      </c>
      <c r="AH29" s="270"/>
      <c r="AI29" s="109"/>
      <c r="AJ29" s="373"/>
      <c r="AK29" s="412"/>
      <c r="AL29" s="344"/>
      <c r="AM29" s="109"/>
      <c r="AN29" s="298"/>
      <c r="AP29" s="473"/>
      <c r="AQ29" s="450"/>
      <c r="AR29" s="450"/>
      <c r="AS29" s="477"/>
      <c r="AT29" s="452"/>
      <c r="AU29" s="478"/>
      <c r="AV29" s="269"/>
      <c r="AX29" s="270"/>
      <c r="AY29" s="450"/>
      <c r="AZ29" s="482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>
        <v>46176.0</v>
      </c>
      <c r="C30" s="109" t="s">
        <v>3898</v>
      </c>
      <c r="D30" s="373" t="s">
        <v>3899</v>
      </c>
      <c r="E30" s="58" t="s">
        <v>32</v>
      </c>
      <c r="F30" s="58" t="s">
        <v>9</v>
      </c>
      <c r="G30" s="109"/>
      <c r="H30" s="269" t="b">
        <v>1</v>
      </c>
      <c r="J30" s="401">
        <v>46175.0</v>
      </c>
      <c r="K30" s="273" t="s">
        <v>3900</v>
      </c>
      <c r="L30" s="273" t="s">
        <v>3901</v>
      </c>
      <c r="M30" s="402" t="s">
        <v>23</v>
      </c>
      <c r="N30" s="402" t="s">
        <v>2337</v>
      </c>
      <c r="O30" s="61"/>
      <c r="P30" s="269" t="b">
        <v>1</v>
      </c>
      <c r="R30" s="270">
        <v>46183.0</v>
      </c>
      <c r="S30" s="109" t="s">
        <v>3902</v>
      </c>
      <c r="T30" s="109" t="s">
        <v>3903</v>
      </c>
      <c r="U30" s="58" t="s">
        <v>24</v>
      </c>
      <c r="V30" s="58" t="s">
        <v>9</v>
      </c>
      <c r="W30" s="61"/>
      <c r="X30" s="269"/>
      <c r="Z30" s="270">
        <v>46182.0</v>
      </c>
      <c r="AA30" s="109" t="s">
        <v>3904</v>
      </c>
      <c r="AB30" s="109" t="s">
        <v>3905</v>
      </c>
      <c r="AC30" s="58" t="s">
        <v>21</v>
      </c>
      <c r="AD30" s="58" t="s">
        <v>20</v>
      </c>
      <c r="AE30" s="109" t="s">
        <v>3906</v>
      </c>
      <c r="AF30" s="269" t="b">
        <v>1</v>
      </c>
      <c r="AH30" s="270"/>
      <c r="AI30" s="384"/>
      <c r="AJ30" s="373"/>
      <c r="AK30" s="58"/>
      <c r="AL30" s="58"/>
      <c r="AM30" s="61"/>
      <c r="AN30" s="269"/>
      <c r="AP30" s="470"/>
      <c r="AQ30" s="453"/>
      <c r="AR30" s="453"/>
      <c r="AS30" s="455"/>
      <c r="AT30" s="455"/>
      <c r="AU30" s="484"/>
      <c r="AV30" s="298"/>
      <c r="AX30" s="270"/>
      <c r="AY30" s="453"/>
      <c r="AZ30" s="483"/>
      <c r="BA30" s="58"/>
      <c r="BB30" s="58"/>
      <c r="BC30" s="61"/>
      <c r="BD30" s="269"/>
      <c r="BF30" s="270"/>
      <c r="BG30" s="109"/>
      <c r="BH30" s="109"/>
      <c r="BI30" s="58"/>
      <c r="BJ30" s="58"/>
      <c r="BK30" s="109"/>
      <c r="BL30" s="269"/>
    </row>
    <row r="31" ht="22.5" customHeight="1">
      <c r="A31" s="368"/>
      <c r="B31" s="270">
        <v>46176.0</v>
      </c>
      <c r="C31" s="109" t="s">
        <v>3907</v>
      </c>
      <c r="D31" s="373" t="s">
        <v>3908</v>
      </c>
      <c r="E31" s="58" t="s">
        <v>19</v>
      </c>
      <c r="F31" s="58" t="s">
        <v>9</v>
      </c>
      <c r="G31" s="61"/>
      <c r="H31" s="269" t="b">
        <v>1</v>
      </c>
      <c r="J31" s="382">
        <v>46175.0</v>
      </c>
      <c r="K31" s="273" t="s">
        <v>3909</v>
      </c>
      <c r="L31" s="273" t="s">
        <v>3910</v>
      </c>
      <c r="M31" s="398" t="s">
        <v>23</v>
      </c>
      <c r="N31" s="431" t="s">
        <v>2338</v>
      </c>
      <c r="O31" s="61"/>
      <c r="P31" s="269" t="b">
        <v>1</v>
      </c>
      <c r="R31" s="270">
        <v>46183.0</v>
      </c>
      <c r="S31" s="109" t="s">
        <v>3911</v>
      </c>
      <c r="T31" s="109" t="s">
        <v>3912</v>
      </c>
      <c r="U31" s="58" t="s">
        <v>16</v>
      </c>
      <c r="V31" s="58" t="s">
        <v>9</v>
      </c>
      <c r="W31" s="61"/>
      <c r="X31" s="269"/>
      <c r="Z31" s="270">
        <v>46182.0</v>
      </c>
      <c r="AA31" s="109" t="s">
        <v>3913</v>
      </c>
      <c r="AB31" s="109" t="s">
        <v>3914</v>
      </c>
      <c r="AC31" s="58" t="s">
        <v>11</v>
      </c>
      <c r="AD31" s="58" t="s">
        <v>20</v>
      </c>
      <c r="AE31" s="61"/>
      <c r="AF31" s="269" t="b">
        <v>1</v>
      </c>
      <c r="AH31" s="473"/>
      <c r="AI31" s="450"/>
      <c r="AJ31" s="450"/>
      <c r="AK31" s="477"/>
      <c r="AL31" s="452"/>
      <c r="AM31" s="61"/>
      <c r="AN31" s="269"/>
      <c r="AP31" s="449"/>
      <c r="AQ31" s="450"/>
      <c r="AR31" s="450"/>
      <c r="AS31" s="468"/>
      <c r="AT31" s="452"/>
      <c r="AU31" s="485"/>
      <c r="AV31" s="269"/>
      <c r="AX31" s="270"/>
      <c r="AY31" s="450"/>
      <c r="AZ31" s="482"/>
      <c r="BA31" s="58"/>
      <c r="BB31" s="58"/>
      <c r="BC31" s="61"/>
      <c r="BD31" s="269"/>
      <c r="BF31" s="270"/>
      <c r="BG31" s="109"/>
      <c r="BH31" s="109"/>
      <c r="BI31" s="58"/>
      <c r="BJ31" s="58"/>
      <c r="BK31" s="61"/>
      <c r="BL31" s="269"/>
    </row>
    <row r="32" ht="22.5" customHeight="1">
      <c r="A32" s="368"/>
      <c r="B32" s="270">
        <v>46176.0</v>
      </c>
      <c r="C32" s="109" t="s">
        <v>3915</v>
      </c>
      <c r="D32" s="373" t="s">
        <v>3916</v>
      </c>
      <c r="E32" s="58"/>
      <c r="F32" s="58" t="s">
        <v>9</v>
      </c>
      <c r="G32" s="427" t="s">
        <v>2432</v>
      </c>
      <c r="H32" s="269"/>
      <c r="J32" s="380">
        <v>46175.0</v>
      </c>
      <c r="K32" s="294" t="s">
        <v>3917</v>
      </c>
      <c r="L32" s="294" t="s">
        <v>3918</v>
      </c>
      <c r="M32" s="396" t="s">
        <v>23</v>
      </c>
      <c r="N32" s="391" t="s">
        <v>2338</v>
      </c>
      <c r="O32" s="61"/>
      <c r="P32" s="269" t="b">
        <v>1</v>
      </c>
      <c r="R32" s="270">
        <v>46183.0</v>
      </c>
      <c r="S32" s="109" t="s">
        <v>3919</v>
      </c>
      <c r="T32" s="109" t="s">
        <v>3920</v>
      </c>
      <c r="U32" s="58" t="s">
        <v>10</v>
      </c>
      <c r="V32" s="58" t="s">
        <v>9</v>
      </c>
      <c r="W32" s="61"/>
      <c r="X32" s="269"/>
      <c r="Z32" s="270">
        <v>46182.0</v>
      </c>
      <c r="AA32" s="486" t="s">
        <v>3921</v>
      </c>
      <c r="AB32" s="460" t="s">
        <v>3922</v>
      </c>
      <c r="AC32" s="461" t="s">
        <v>18</v>
      </c>
      <c r="AD32" s="462" t="s">
        <v>14</v>
      </c>
      <c r="AE32" s="61"/>
      <c r="AF32" s="269" t="b">
        <v>1</v>
      </c>
      <c r="AH32" s="470"/>
      <c r="AI32" s="453"/>
      <c r="AJ32" s="453"/>
      <c r="AK32" s="471"/>
      <c r="AL32" s="455"/>
      <c r="AM32" s="61"/>
      <c r="AN32" s="269"/>
      <c r="AP32" s="449"/>
      <c r="AQ32" s="453"/>
      <c r="AR32" s="453"/>
      <c r="AS32" s="466"/>
      <c r="AT32" s="455"/>
      <c r="AU32" s="459"/>
      <c r="AV32" s="298"/>
      <c r="AX32" s="270"/>
      <c r="AY32" s="453"/>
      <c r="AZ32" s="483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>
        <v>46176.0</v>
      </c>
      <c r="C33" s="109" t="s">
        <v>3923</v>
      </c>
      <c r="D33" s="373" t="s">
        <v>3924</v>
      </c>
      <c r="E33" s="58" t="s">
        <v>19</v>
      </c>
      <c r="F33" s="58" t="s">
        <v>9</v>
      </c>
      <c r="G33" s="109"/>
      <c r="H33" s="269" t="b">
        <v>1</v>
      </c>
      <c r="J33" s="382">
        <v>46175.0</v>
      </c>
      <c r="K33" s="273" t="s">
        <v>3925</v>
      </c>
      <c r="L33" s="273" t="s">
        <v>3926</v>
      </c>
      <c r="M33" s="398"/>
      <c r="N33" s="431" t="s">
        <v>2338</v>
      </c>
      <c r="O33" s="109" t="s">
        <v>3537</v>
      </c>
      <c r="P33" s="269"/>
      <c r="R33" s="270">
        <v>46183.0</v>
      </c>
      <c r="S33" s="109" t="s">
        <v>3927</v>
      </c>
      <c r="T33" s="109" t="s">
        <v>3928</v>
      </c>
      <c r="U33" s="58"/>
      <c r="V33" s="58" t="s">
        <v>9</v>
      </c>
      <c r="W33" s="427" t="s">
        <v>2432</v>
      </c>
      <c r="X33" s="269"/>
      <c r="Z33" s="270">
        <v>46182.0</v>
      </c>
      <c r="AA33" s="486" t="s">
        <v>3929</v>
      </c>
      <c r="AB33" s="486" t="s">
        <v>3930</v>
      </c>
      <c r="AC33" s="487" t="s">
        <v>21</v>
      </c>
      <c r="AD33" s="462" t="s">
        <v>14</v>
      </c>
      <c r="AE33" s="109" t="s">
        <v>982</v>
      </c>
      <c r="AF33" s="269"/>
      <c r="AH33" s="473"/>
      <c r="AI33" s="450"/>
      <c r="AJ33" s="450"/>
      <c r="AK33" s="452"/>
      <c r="AL33" s="452"/>
      <c r="AM33" s="109"/>
      <c r="AN33" s="269"/>
      <c r="AP33" s="449"/>
      <c r="AQ33" s="450"/>
      <c r="AR33" s="450"/>
      <c r="AS33" s="468"/>
      <c r="AT33" s="452"/>
      <c r="AU33" s="488"/>
      <c r="AV33" s="298"/>
      <c r="AX33" s="270"/>
      <c r="AY33" s="450"/>
      <c r="AZ33" s="482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>
        <v>46176.0</v>
      </c>
      <c r="C34" s="109" t="s">
        <v>3931</v>
      </c>
      <c r="D34" s="373" t="s">
        <v>3932</v>
      </c>
      <c r="E34" s="58" t="s">
        <v>22</v>
      </c>
      <c r="F34" s="58" t="s">
        <v>9</v>
      </c>
      <c r="G34" s="61"/>
      <c r="H34" s="269" t="b">
        <v>1</v>
      </c>
      <c r="J34" s="380">
        <v>46175.0</v>
      </c>
      <c r="K34" s="294" t="s">
        <v>3933</v>
      </c>
      <c r="L34" s="294" t="s">
        <v>3934</v>
      </c>
      <c r="M34" s="396" t="s">
        <v>11</v>
      </c>
      <c r="N34" s="391" t="s">
        <v>2338</v>
      </c>
      <c r="O34" s="61"/>
      <c r="P34" s="269" t="b">
        <v>1</v>
      </c>
      <c r="R34" s="270">
        <v>46183.0</v>
      </c>
      <c r="S34" s="109" t="s">
        <v>3935</v>
      </c>
      <c r="T34" s="109" t="s">
        <v>3936</v>
      </c>
      <c r="U34" s="58" t="s">
        <v>24</v>
      </c>
      <c r="V34" s="58" t="s">
        <v>2347</v>
      </c>
      <c r="W34" s="61"/>
      <c r="X34" s="269"/>
      <c r="Z34" s="270">
        <v>46182.0</v>
      </c>
      <c r="AA34" s="109" t="s">
        <v>3937</v>
      </c>
      <c r="AB34" s="109" t="s">
        <v>3938</v>
      </c>
      <c r="AC34" s="58" t="s">
        <v>27</v>
      </c>
      <c r="AD34" s="462" t="s">
        <v>14</v>
      </c>
      <c r="AE34" s="61"/>
      <c r="AF34" s="269" t="b">
        <v>1</v>
      </c>
      <c r="AH34" s="449"/>
      <c r="AI34" s="453"/>
      <c r="AJ34" s="453"/>
      <c r="AK34" s="466"/>
      <c r="AL34" s="455"/>
      <c r="AM34" s="61"/>
      <c r="AN34" s="269"/>
      <c r="AP34" s="270"/>
      <c r="AQ34" s="109"/>
      <c r="AR34" s="109"/>
      <c r="AS34" s="58"/>
      <c r="AT34" s="58"/>
      <c r="AU34" s="61"/>
      <c r="AV34" s="269"/>
      <c r="AX34" s="270"/>
      <c r="AY34" s="453"/>
      <c r="AZ34" s="483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>
        <v>46176.0</v>
      </c>
      <c r="C35" s="109" t="s">
        <v>3939</v>
      </c>
      <c r="D35" s="373" t="s">
        <v>3940</v>
      </c>
      <c r="E35" s="58" t="s">
        <v>24</v>
      </c>
      <c r="F35" s="58" t="s">
        <v>9</v>
      </c>
      <c r="G35" s="61"/>
      <c r="H35" s="269" t="b">
        <v>1</v>
      </c>
      <c r="J35" s="382">
        <v>46175.0</v>
      </c>
      <c r="K35" s="273" t="s">
        <v>3941</v>
      </c>
      <c r="L35" s="273" t="s">
        <v>3942</v>
      </c>
      <c r="M35" s="398"/>
      <c r="N35" s="431" t="s">
        <v>2338</v>
      </c>
      <c r="O35" s="109" t="s">
        <v>3943</v>
      </c>
      <c r="P35" s="269"/>
      <c r="R35" s="270">
        <v>46183.0</v>
      </c>
      <c r="S35" s="273" t="s">
        <v>3944</v>
      </c>
      <c r="T35" s="273" t="s">
        <v>3945</v>
      </c>
      <c r="U35" s="402" t="s">
        <v>32</v>
      </c>
      <c r="V35" s="274" t="s">
        <v>2344</v>
      </c>
      <c r="W35" s="61"/>
      <c r="X35" s="269"/>
      <c r="Z35" s="403">
        <v>46182.0</v>
      </c>
      <c r="AA35" s="294" t="s">
        <v>3946</v>
      </c>
      <c r="AB35" s="294" t="s">
        <v>3947</v>
      </c>
      <c r="AC35" s="391" t="s">
        <v>18</v>
      </c>
      <c r="AD35" s="391" t="s">
        <v>2337</v>
      </c>
      <c r="AE35" s="61"/>
      <c r="AF35" s="269" t="b">
        <v>1</v>
      </c>
      <c r="AH35" s="449"/>
      <c r="AI35" s="450"/>
      <c r="AJ35" s="450"/>
      <c r="AK35" s="468"/>
      <c r="AL35" s="452"/>
      <c r="AM35" s="109"/>
      <c r="AN35" s="269"/>
      <c r="AP35" s="270"/>
      <c r="AQ35" s="109"/>
      <c r="AR35" s="109"/>
      <c r="AS35" s="58"/>
      <c r="AT35" s="58"/>
      <c r="AU35" s="61"/>
      <c r="AV35" s="269"/>
      <c r="AX35" s="270"/>
      <c r="AY35" s="450"/>
      <c r="AZ35" s="482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>
        <v>46177.0</v>
      </c>
      <c r="C36" s="294" t="s">
        <v>3948</v>
      </c>
      <c r="D36" s="294" t="s">
        <v>3949</v>
      </c>
      <c r="E36" s="391" t="s">
        <v>19</v>
      </c>
      <c r="F36" s="58" t="s">
        <v>12</v>
      </c>
      <c r="G36" s="61"/>
      <c r="H36" s="269" t="b">
        <v>1</v>
      </c>
      <c r="J36" s="380">
        <v>46175.0</v>
      </c>
      <c r="K36" s="294" t="s">
        <v>3950</v>
      </c>
      <c r="L36" s="294" t="s">
        <v>3951</v>
      </c>
      <c r="M36" s="396"/>
      <c r="N36" s="391" t="s">
        <v>2338</v>
      </c>
      <c r="O36" s="109" t="s">
        <v>3952</v>
      </c>
      <c r="P36" s="269"/>
      <c r="R36" s="270">
        <v>46183.0</v>
      </c>
      <c r="S36" s="294" t="s">
        <v>3953</v>
      </c>
      <c r="T36" s="294" t="s">
        <v>3954</v>
      </c>
      <c r="U36" s="391"/>
      <c r="V36" s="295" t="s">
        <v>2344</v>
      </c>
      <c r="W36" s="109" t="s">
        <v>3955</v>
      </c>
      <c r="X36" s="269"/>
      <c r="Z36" s="401">
        <v>46182.0</v>
      </c>
      <c r="AA36" s="273" t="s">
        <v>3956</v>
      </c>
      <c r="AB36" s="273" t="s">
        <v>3957</v>
      </c>
      <c r="AC36" s="402" t="s">
        <v>23</v>
      </c>
      <c r="AD36" s="402" t="s">
        <v>2337</v>
      </c>
      <c r="AE36" s="61"/>
      <c r="AF36" s="269" t="b">
        <v>1</v>
      </c>
      <c r="AH36" s="270"/>
      <c r="AI36" s="109"/>
      <c r="AJ36" s="373"/>
      <c r="AK36" s="58"/>
      <c r="AL36" s="58"/>
      <c r="AM36" s="61"/>
      <c r="AN36" s="269"/>
      <c r="AP36" s="270"/>
      <c r="AQ36" s="109"/>
      <c r="AR36" s="109"/>
      <c r="AS36" s="58"/>
      <c r="AT36" s="58"/>
      <c r="AU36" s="61"/>
      <c r="AV36" s="269"/>
      <c r="AX36" s="270"/>
      <c r="AY36" s="453"/>
      <c r="AZ36" s="483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>
        <v>46177.0</v>
      </c>
      <c r="C37" s="430" t="s">
        <v>3958</v>
      </c>
      <c r="D37" s="430" t="s">
        <v>3959</v>
      </c>
      <c r="E37" s="431" t="s">
        <v>22</v>
      </c>
      <c r="F37" s="58" t="s">
        <v>12</v>
      </c>
      <c r="G37" s="109"/>
      <c r="H37" s="269" t="b">
        <v>1</v>
      </c>
      <c r="J37" s="270">
        <v>46175.0</v>
      </c>
      <c r="K37" s="109" t="s">
        <v>3960</v>
      </c>
      <c r="L37" s="109" t="s">
        <v>3961</v>
      </c>
      <c r="M37" s="58" t="s">
        <v>11</v>
      </c>
      <c r="N37" s="58" t="s">
        <v>20</v>
      </c>
      <c r="O37" s="61"/>
      <c r="P37" s="269" t="b">
        <v>1</v>
      </c>
      <c r="R37" s="270">
        <v>46183.0</v>
      </c>
      <c r="S37" s="294" t="s">
        <v>3962</v>
      </c>
      <c r="T37" s="294" t="s">
        <v>3963</v>
      </c>
      <c r="U37" s="391" t="s">
        <v>16</v>
      </c>
      <c r="V37" s="295" t="s">
        <v>2344</v>
      </c>
      <c r="W37" s="61"/>
      <c r="X37" s="269"/>
      <c r="Z37" s="403">
        <v>46182.0</v>
      </c>
      <c r="AA37" s="294" t="s">
        <v>3964</v>
      </c>
      <c r="AB37" s="294" t="s">
        <v>3965</v>
      </c>
      <c r="AC37" s="391" t="s">
        <v>18</v>
      </c>
      <c r="AD37" s="391" t="s">
        <v>2337</v>
      </c>
      <c r="AE37" s="61"/>
      <c r="AF37" s="269" t="b">
        <v>1</v>
      </c>
      <c r="AH37" s="270"/>
      <c r="AI37" s="109"/>
      <c r="AJ37" s="373"/>
      <c r="AK37" s="58"/>
      <c r="AL37" s="58"/>
      <c r="AM37" s="61"/>
      <c r="AN37" s="269"/>
      <c r="AP37" s="270"/>
      <c r="AQ37" s="109"/>
      <c r="AR37" s="109"/>
      <c r="AS37" s="58"/>
      <c r="AT37" s="58"/>
      <c r="AU37" s="61"/>
      <c r="AV37" s="269"/>
      <c r="AX37" s="270"/>
      <c r="AY37" s="450"/>
      <c r="AZ37" s="482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98"/>
    </row>
    <row r="38" ht="22.5" customHeight="1">
      <c r="A38" s="368"/>
      <c r="B38" s="270">
        <v>46177.0</v>
      </c>
      <c r="C38" s="109" t="s">
        <v>3966</v>
      </c>
      <c r="D38" s="373" t="s">
        <v>3967</v>
      </c>
      <c r="E38" s="58" t="s">
        <v>22</v>
      </c>
      <c r="F38" s="58" t="s">
        <v>9</v>
      </c>
      <c r="G38" s="61"/>
      <c r="H38" s="269" t="b">
        <v>1</v>
      </c>
      <c r="J38" s="270">
        <v>46175.0</v>
      </c>
      <c r="K38" s="109" t="s">
        <v>3968</v>
      </c>
      <c r="L38" s="109" t="s">
        <v>3969</v>
      </c>
      <c r="M38" s="58" t="s">
        <v>11</v>
      </c>
      <c r="N38" s="58" t="s">
        <v>20</v>
      </c>
      <c r="O38" s="61"/>
      <c r="P38" s="269" t="b">
        <v>1</v>
      </c>
      <c r="R38" s="270">
        <v>46183.0</v>
      </c>
      <c r="S38" s="312" t="s">
        <v>3970</v>
      </c>
      <c r="T38" s="109" t="s">
        <v>3971</v>
      </c>
      <c r="U38" s="58" t="s">
        <v>10</v>
      </c>
      <c r="V38" s="58" t="s">
        <v>2347</v>
      </c>
      <c r="W38" s="109" t="s">
        <v>3972</v>
      </c>
      <c r="X38" s="269" t="b">
        <v>1</v>
      </c>
      <c r="Z38" s="401">
        <v>46182.0</v>
      </c>
      <c r="AA38" s="273" t="s">
        <v>3973</v>
      </c>
      <c r="AB38" s="273" t="s">
        <v>3974</v>
      </c>
      <c r="AC38" s="402" t="s">
        <v>30</v>
      </c>
      <c r="AD38" s="402" t="s">
        <v>2337</v>
      </c>
      <c r="AE38" s="61"/>
      <c r="AF38" s="269" t="b">
        <v>1</v>
      </c>
      <c r="AH38" s="270"/>
      <c r="AI38" s="109"/>
      <c r="AJ38" s="373"/>
      <c r="AK38" s="58"/>
      <c r="AL38" s="58"/>
      <c r="AM38" s="61"/>
      <c r="AN38" s="269"/>
      <c r="AP38" s="270"/>
      <c r="AQ38" s="109"/>
      <c r="AR38" s="109"/>
      <c r="AS38" s="58"/>
      <c r="AT38" s="58"/>
      <c r="AU38" s="61"/>
      <c r="AV38" s="269"/>
      <c r="AX38" s="270"/>
      <c r="AY38" s="453"/>
      <c r="AZ38" s="483"/>
      <c r="BA38" s="58"/>
      <c r="BB38" s="58"/>
      <c r="BC38" s="61"/>
      <c r="BD38" s="269"/>
      <c r="BF38" s="449"/>
      <c r="BG38" s="450"/>
      <c r="BH38" s="450"/>
      <c r="BI38" s="451"/>
      <c r="BJ38" s="475"/>
      <c r="BK38" s="61"/>
      <c r="BL38" s="298"/>
    </row>
    <row r="39" ht="22.5" customHeight="1">
      <c r="A39" s="368"/>
      <c r="B39" s="270">
        <v>46177.0</v>
      </c>
      <c r="C39" s="273" t="s">
        <v>3975</v>
      </c>
      <c r="D39" s="273" t="s">
        <v>3976</v>
      </c>
      <c r="E39" s="402" t="s">
        <v>22</v>
      </c>
      <c r="F39" s="58" t="s">
        <v>12</v>
      </c>
      <c r="G39" s="61"/>
      <c r="H39" s="269" t="b">
        <v>1</v>
      </c>
      <c r="J39" s="270">
        <v>46175.0</v>
      </c>
      <c r="K39" s="109" t="s">
        <v>3977</v>
      </c>
      <c r="L39" s="109" t="s">
        <v>3978</v>
      </c>
      <c r="M39" s="58" t="s">
        <v>11</v>
      </c>
      <c r="N39" s="58" t="s">
        <v>20</v>
      </c>
      <c r="O39" s="61"/>
      <c r="P39" s="269"/>
      <c r="R39" s="270">
        <v>46183.0</v>
      </c>
      <c r="S39" s="273" t="s">
        <v>3979</v>
      </c>
      <c r="T39" s="273" t="s">
        <v>3980</v>
      </c>
      <c r="U39" s="402" t="s">
        <v>16</v>
      </c>
      <c r="V39" s="274" t="s">
        <v>2344</v>
      </c>
      <c r="W39" s="61"/>
      <c r="X39" s="269"/>
      <c r="Z39" s="403">
        <v>46182.0</v>
      </c>
      <c r="AA39" s="294" t="s">
        <v>3981</v>
      </c>
      <c r="AB39" s="294" t="s">
        <v>3982</v>
      </c>
      <c r="AC39" s="391" t="s">
        <v>30</v>
      </c>
      <c r="AD39" s="391" t="s">
        <v>2337</v>
      </c>
      <c r="AE39" s="109"/>
      <c r="AF39" s="269" t="b">
        <v>1</v>
      </c>
      <c r="AH39" s="270"/>
      <c r="AI39" s="109"/>
      <c r="AJ39" s="373"/>
      <c r="AK39" s="58"/>
      <c r="AL39" s="58"/>
      <c r="AM39" s="61"/>
      <c r="AN39" s="269"/>
      <c r="AP39" s="270"/>
      <c r="AQ39" s="109"/>
      <c r="AR39" s="109"/>
      <c r="AS39" s="58"/>
      <c r="AT39" s="58"/>
      <c r="AU39" s="61"/>
      <c r="AV39" s="269"/>
      <c r="AX39" s="270"/>
      <c r="AY39" s="450"/>
      <c r="AZ39" s="482"/>
      <c r="BA39" s="58"/>
      <c r="BB39" s="58"/>
      <c r="BC39" s="61"/>
      <c r="BD39" s="269"/>
      <c r="BF39" s="449"/>
      <c r="BG39" s="453"/>
      <c r="BH39" s="453"/>
      <c r="BI39" s="454"/>
      <c r="BJ39" s="455"/>
      <c r="BK39" s="61"/>
      <c r="BL39" s="298"/>
    </row>
    <row r="40" ht="22.5" customHeight="1">
      <c r="A40" s="368"/>
      <c r="B40" s="270">
        <v>46177.0</v>
      </c>
      <c r="C40" s="405" t="s">
        <v>3983</v>
      </c>
      <c r="D40" s="405" t="s">
        <v>3984</v>
      </c>
      <c r="E40" s="481" t="s">
        <v>19</v>
      </c>
      <c r="F40" s="58" t="s">
        <v>12</v>
      </c>
      <c r="G40" s="109"/>
      <c r="H40" s="269" t="b">
        <v>1</v>
      </c>
      <c r="J40" s="270">
        <v>46175.0</v>
      </c>
      <c r="K40" s="109" t="s">
        <v>3985</v>
      </c>
      <c r="L40" s="109" t="s">
        <v>3986</v>
      </c>
      <c r="M40" s="58" t="s">
        <v>11</v>
      </c>
      <c r="N40" s="58" t="s">
        <v>20</v>
      </c>
      <c r="O40" s="61"/>
      <c r="P40" s="269" t="b">
        <v>1</v>
      </c>
      <c r="R40" s="270">
        <v>46183.0</v>
      </c>
      <c r="S40" s="273" t="s">
        <v>3987</v>
      </c>
      <c r="T40" s="273" t="s">
        <v>3988</v>
      </c>
      <c r="U40" s="489" t="s">
        <v>44</v>
      </c>
      <c r="V40" s="274" t="s">
        <v>2344</v>
      </c>
      <c r="W40" s="109"/>
      <c r="X40" s="269"/>
      <c r="Z40" s="401">
        <v>46182.0</v>
      </c>
      <c r="AA40" s="273" t="s">
        <v>3989</v>
      </c>
      <c r="AB40" s="273" t="s">
        <v>3990</v>
      </c>
      <c r="AC40" s="402" t="s">
        <v>27</v>
      </c>
      <c r="AD40" s="402" t="s">
        <v>2337</v>
      </c>
      <c r="AE40" s="61"/>
      <c r="AF40" s="269" t="b">
        <v>1</v>
      </c>
      <c r="AH40" s="270"/>
      <c r="AI40" s="109"/>
      <c r="AJ40" s="373"/>
      <c r="AK40" s="58"/>
      <c r="AL40" s="58"/>
      <c r="AM40" s="61"/>
      <c r="AN40" s="269"/>
      <c r="AP40" s="270"/>
      <c r="AQ40" s="109"/>
      <c r="AR40" s="109"/>
      <c r="AS40" s="58"/>
      <c r="AT40" s="58"/>
      <c r="AU40" s="61"/>
      <c r="AV40" s="269"/>
      <c r="AX40" s="270"/>
      <c r="AY40" s="453"/>
      <c r="AZ40" s="483"/>
      <c r="BA40" s="58"/>
      <c r="BB40" s="58"/>
      <c r="BC40" s="61"/>
      <c r="BD40" s="269"/>
      <c r="BF40" s="449"/>
      <c r="BG40" s="450"/>
      <c r="BH40" s="450"/>
      <c r="BI40" s="451"/>
      <c r="BJ40" s="455"/>
      <c r="BK40" s="61"/>
      <c r="BL40" s="298"/>
    </row>
    <row r="41" ht="22.5" customHeight="1">
      <c r="A41" s="368"/>
      <c r="B41" s="270">
        <v>46177.0</v>
      </c>
      <c r="C41" s="109" t="s">
        <v>3991</v>
      </c>
      <c r="D41" s="373" t="s">
        <v>3992</v>
      </c>
      <c r="E41" s="58" t="s">
        <v>22</v>
      </c>
      <c r="F41" s="58" t="s">
        <v>9</v>
      </c>
      <c r="G41" s="61"/>
      <c r="H41" s="269" t="b">
        <v>1</v>
      </c>
      <c r="J41" s="270">
        <v>46175.0</v>
      </c>
      <c r="K41" s="109" t="s">
        <v>3993</v>
      </c>
      <c r="L41" s="109" t="s">
        <v>3994</v>
      </c>
      <c r="M41" s="58" t="s">
        <v>11</v>
      </c>
      <c r="N41" s="58" t="s">
        <v>20</v>
      </c>
      <c r="O41" s="109" t="s">
        <v>3995</v>
      </c>
      <c r="P41" s="269"/>
      <c r="R41" s="270">
        <v>46183.0</v>
      </c>
      <c r="S41" s="294" t="s">
        <v>3996</v>
      </c>
      <c r="T41" s="294" t="s">
        <v>3997</v>
      </c>
      <c r="U41" s="295" t="s">
        <v>19</v>
      </c>
      <c r="V41" s="295" t="s">
        <v>2344</v>
      </c>
      <c r="W41" s="109"/>
      <c r="X41" s="298"/>
      <c r="Z41" s="403">
        <v>46182.0</v>
      </c>
      <c r="AA41" s="294" t="s">
        <v>3998</v>
      </c>
      <c r="AB41" s="294" t="s">
        <v>3999</v>
      </c>
      <c r="AC41" s="391" t="s">
        <v>23</v>
      </c>
      <c r="AD41" s="391" t="s">
        <v>2337</v>
      </c>
      <c r="AE41" s="61"/>
      <c r="AF41" s="269" t="b">
        <v>1</v>
      </c>
      <c r="AH41" s="270"/>
      <c r="AI41" s="109"/>
      <c r="AJ41" s="373"/>
      <c r="AK41" s="58"/>
      <c r="AL41" s="58"/>
      <c r="AM41" s="61"/>
      <c r="AN41" s="269"/>
      <c r="AP41" s="270"/>
      <c r="AQ41" s="109"/>
      <c r="AR41" s="109"/>
      <c r="AS41" s="58"/>
      <c r="AT41" s="58"/>
      <c r="AU41" s="61"/>
      <c r="AV41" s="269"/>
      <c r="AX41" s="270"/>
      <c r="AY41" s="450"/>
      <c r="AZ41" s="482"/>
      <c r="BA41" s="58"/>
      <c r="BB41" s="58"/>
      <c r="BC41" s="61"/>
      <c r="BD41" s="269"/>
      <c r="BF41" s="449"/>
      <c r="BG41" s="453"/>
      <c r="BH41" s="453"/>
      <c r="BI41" s="454"/>
      <c r="BJ41" s="452"/>
      <c r="BK41" s="61"/>
      <c r="BL41" s="298"/>
    </row>
    <row r="42" ht="22.5" customHeight="1">
      <c r="A42" s="368"/>
      <c r="B42" s="270">
        <v>46177.0</v>
      </c>
      <c r="C42" s="109" t="s">
        <v>4000</v>
      </c>
      <c r="D42" s="373" t="s">
        <v>4001</v>
      </c>
      <c r="E42" s="58" t="s">
        <v>22</v>
      </c>
      <c r="F42" s="58" t="s">
        <v>9</v>
      </c>
      <c r="G42" s="109"/>
      <c r="H42" s="269" t="b">
        <v>1</v>
      </c>
      <c r="J42" s="270">
        <v>46175.0</v>
      </c>
      <c r="K42" s="109" t="s">
        <v>4002</v>
      </c>
      <c r="L42" s="109" t="s">
        <v>4003</v>
      </c>
      <c r="M42" s="58" t="s">
        <v>11</v>
      </c>
      <c r="N42" s="58" t="s">
        <v>20</v>
      </c>
      <c r="O42" s="61"/>
      <c r="P42" s="269" t="b">
        <v>1</v>
      </c>
      <c r="R42" s="270">
        <v>46183.0</v>
      </c>
      <c r="S42" s="294" t="s">
        <v>4004</v>
      </c>
      <c r="T42" s="294" t="s">
        <v>4005</v>
      </c>
      <c r="U42" s="391" t="s">
        <v>16</v>
      </c>
      <c r="V42" s="295" t="s">
        <v>2344</v>
      </c>
      <c r="W42" s="61"/>
      <c r="X42" s="269"/>
      <c r="Z42" s="401">
        <v>46182.0</v>
      </c>
      <c r="AA42" s="273" t="s">
        <v>4006</v>
      </c>
      <c r="AB42" s="273" t="s">
        <v>4007</v>
      </c>
      <c r="AC42" s="402" t="s">
        <v>27</v>
      </c>
      <c r="AD42" s="402" t="s">
        <v>2337</v>
      </c>
      <c r="AE42" s="61"/>
      <c r="AF42" s="269" t="b">
        <v>1</v>
      </c>
      <c r="AH42" s="270"/>
      <c r="AI42" s="109"/>
      <c r="AJ42" s="373"/>
      <c r="AK42" s="58"/>
      <c r="AL42" s="58"/>
      <c r="AM42" s="61"/>
      <c r="AN42" s="269"/>
      <c r="AP42" s="270"/>
      <c r="AQ42" s="109"/>
      <c r="AR42" s="109"/>
      <c r="AS42" s="58"/>
      <c r="AT42" s="58"/>
      <c r="AU42" s="61"/>
      <c r="AV42" s="269"/>
      <c r="AX42" s="270"/>
      <c r="AY42" s="453"/>
      <c r="AZ42" s="483"/>
      <c r="BA42" s="58"/>
      <c r="BB42" s="58"/>
      <c r="BC42" s="61"/>
      <c r="BD42" s="269"/>
      <c r="BF42" s="473"/>
      <c r="BG42" s="450"/>
      <c r="BH42" s="450"/>
      <c r="BI42" s="452"/>
      <c r="BJ42" s="452"/>
      <c r="BK42" s="61"/>
      <c r="BL42" s="298"/>
    </row>
    <row r="43" ht="22.5" customHeight="1">
      <c r="A43" s="368"/>
      <c r="B43" s="270">
        <v>46177.0</v>
      </c>
      <c r="C43" s="312" t="s">
        <v>4008</v>
      </c>
      <c r="D43" s="490" t="s">
        <v>4009</v>
      </c>
      <c r="E43" s="58" t="s">
        <v>32</v>
      </c>
      <c r="F43" s="58" t="s">
        <v>2349</v>
      </c>
      <c r="G43" s="61"/>
      <c r="H43" s="269" t="b">
        <v>1</v>
      </c>
      <c r="J43" s="270">
        <v>46175.0</v>
      </c>
      <c r="K43" s="109" t="s">
        <v>4010</v>
      </c>
      <c r="L43" s="109" t="s">
        <v>4011</v>
      </c>
      <c r="M43" s="58" t="s">
        <v>23</v>
      </c>
      <c r="N43" s="58" t="s">
        <v>20</v>
      </c>
      <c r="O43" s="61"/>
      <c r="P43" s="269" t="b">
        <v>1</v>
      </c>
      <c r="R43" s="270">
        <v>46184.0</v>
      </c>
      <c r="S43" s="384" t="s">
        <v>4012</v>
      </c>
      <c r="T43" s="109" t="s">
        <v>4013</v>
      </c>
      <c r="U43" s="58" t="s">
        <v>16</v>
      </c>
      <c r="V43" s="58" t="s">
        <v>9</v>
      </c>
      <c r="W43" s="61"/>
      <c r="X43" s="269"/>
      <c r="Z43" s="401">
        <v>46183.0</v>
      </c>
      <c r="AA43" s="109" t="s">
        <v>4014</v>
      </c>
      <c r="AB43" s="109" t="s">
        <v>4015</v>
      </c>
      <c r="AC43" s="58" t="s">
        <v>25</v>
      </c>
      <c r="AD43" s="58" t="s">
        <v>14</v>
      </c>
      <c r="AE43" s="109"/>
      <c r="AF43" s="269" t="b">
        <v>1</v>
      </c>
      <c r="AH43" s="270"/>
      <c r="AI43" s="109"/>
      <c r="AJ43" s="373"/>
      <c r="AK43" s="58"/>
      <c r="AL43" s="58"/>
      <c r="AM43" s="61"/>
      <c r="AN43" s="269"/>
      <c r="AP43" s="270"/>
      <c r="AQ43" s="109"/>
      <c r="AR43" s="109"/>
      <c r="AS43" s="58"/>
      <c r="AT43" s="58"/>
      <c r="AU43" s="61"/>
      <c r="AV43" s="269"/>
      <c r="AX43" s="270"/>
      <c r="AY43" s="384"/>
      <c r="AZ43" s="373"/>
      <c r="BA43" s="58"/>
      <c r="BB43" s="58"/>
      <c r="BC43" s="61"/>
      <c r="BD43" s="269"/>
      <c r="BF43" s="470"/>
      <c r="BG43" s="453"/>
      <c r="BH43" s="453"/>
      <c r="BI43" s="455"/>
      <c r="BJ43" s="455"/>
      <c r="BK43" s="61"/>
      <c r="BL43" s="298"/>
    </row>
    <row r="44" ht="22.5" customHeight="1">
      <c r="A44" s="368"/>
      <c r="B44" s="270">
        <v>46177.0</v>
      </c>
      <c r="C44" s="109" t="s">
        <v>4016</v>
      </c>
      <c r="D44" s="373" t="s">
        <v>4017</v>
      </c>
      <c r="E44" s="58" t="s">
        <v>24</v>
      </c>
      <c r="F44" s="58" t="s">
        <v>9</v>
      </c>
      <c r="G44" s="61"/>
      <c r="H44" s="269" t="b">
        <v>1</v>
      </c>
      <c r="J44" s="270">
        <v>46175.0</v>
      </c>
      <c r="K44" s="109" t="s">
        <v>4018</v>
      </c>
      <c r="L44" s="109" t="s">
        <v>4019</v>
      </c>
      <c r="M44" s="58" t="s">
        <v>23</v>
      </c>
      <c r="N44" s="58" t="s">
        <v>20</v>
      </c>
      <c r="O44" s="61"/>
      <c r="P44" s="269" t="b">
        <v>1</v>
      </c>
      <c r="R44" s="270">
        <v>46184.0</v>
      </c>
      <c r="S44" s="109" t="s">
        <v>4020</v>
      </c>
      <c r="T44" s="109" t="s">
        <v>4021</v>
      </c>
      <c r="U44" s="58" t="s">
        <v>22</v>
      </c>
      <c r="V44" s="58" t="s">
        <v>9</v>
      </c>
      <c r="W44" s="61"/>
      <c r="X44" s="269"/>
      <c r="Z44" s="270">
        <v>46183.0</v>
      </c>
      <c r="AA44" s="109" t="s">
        <v>4022</v>
      </c>
      <c r="AB44" s="109" t="s">
        <v>4023</v>
      </c>
      <c r="AC44" s="58" t="s">
        <v>11</v>
      </c>
      <c r="AD44" s="58" t="s">
        <v>20</v>
      </c>
      <c r="AE44" s="109"/>
      <c r="AF44" s="269" t="b">
        <v>1</v>
      </c>
      <c r="AH44" s="270"/>
      <c r="AI44" s="109"/>
      <c r="AJ44" s="373"/>
      <c r="AK44" s="58"/>
      <c r="AL44" s="58"/>
      <c r="AM44" s="61"/>
      <c r="AN44" s="269"/>
      <c r="AP44" s="270"/>
      <c r="AQ44" s="109"/>
      <c r="AR44" s="109"/>
      <c r="AS44" s="58"/>
      <c r="AT44" s="58"/>
      <c r="AU44" s="61"/>
      <c r="AV44" s="269"/>
      <c r="AX44" s="270"/>
      <c r="AY44" s="384"/>
      <c r="AZ44" s="373"/>
      <c r="BA44" s="58"/>
      <c r="BB44" s="58"/>
      <c r="BC44" s="61"/>
      <c r="BD44" s="269"/>
      <c r="BF44" s="473"/>
      <c r="BG44" s="450"/>
      <c r="BH44" s="450"/>
      <c r="BI44" s="452"/>
      <c r="BJ44" s="452"/>
      <c r="BK44" s="61"/>
      <c r="BL44" s="298"/>
    </row>
    <row r="45" ht="22.5" customHeight="1">
      <c r="A45" s="368"/>
      <c r="B45" s="270">
        <v>46177.0</v>
      </c>
      <c r="C45" s="109" t="s">
        <v>4024</v>
      </c>
      <c r="D45" s="373" t="s">
        <v>4025</v>
      </c>
      <c r="E45" s="58" t="s">
        <v>22</v>
      </c>
      <c r="F45" s="58" t="s">
        <v>28</v>
      </c>
      <c r="G45" s="109"/>
      <c r="H45" s="269" t="b">
        <v>1</v>
      </c>
      <c r="J45" s="270">
        <v>46175.0</v>
      </c>
      <c r="K45" s="109" t="s">
        <v>4026</v>
      </c>
      <c r="L45" s="109" t="s">
        <v>4027</v>
      </c>
      <c r="M45" s="58" t="s">
        <v>11</v>
      </c>
      <c r="N45" s="58" t="s">
        <v>20</v>
      </c>
      <c r="O45" s="61"/>
      <c r="P45" s="269" t="b">
        <v>1</v>
      </c>
      <c r="R45" s="270">
        <v>46184.0</v>
      </c>
      <c r="S45" s="109" t="s">
        <v>4028</v>
      </c>
      <c r="T45" s="109" t="s">
        <v>4029</v>
      </c>
      <c r="U45" s="58" t="s">
        <v>44</v>
      </c>
      <c r="V45" s="58" t="s">
        <v>9</v>
      </c>
      <c r="W45" s="61"/>
      <c r="X45" s="269"/>
      <c r="Z45" s="270">
        <v>46183.0</v>
      </c>
      <c r="AA45" s="109" t="s">
        <v>4030</v>
      </c>
      <c r="AB45" s="109" t="s">
        <v>4031</v>
      </c>
      <c r="AC45" s="58" t="s">
        <v>21</v>
      </c>
      <c r="AD45" s="58" t="s">
        <v>20</v>
      </c>
      <c r="AE45" s="61"/>
      <c r="AF45" s="269" t="b">
        <v>1</v>
      </c>
      <c r="AH45" s="270"/>
      <c r="AI45" s="109"/>
      <c r="AJ45" s="373"/>
      <c r="AK45" s="58"/>
      <c r="AL45" s="58"/>
      <c r="AM45" s="61"/>
      <c r="AN45" s="269"/>
      <c r="AP45" s="270"/>
      <c r="AQ45" s="109"/>
      <c r="AR45" s="109"/>
      <c r="AS45" s="58"/>
      <c r="AT45" s="58"/>
      <c r="AU45" s="61"/>
      <c r="AV45" s="269"/>
      <c r="AX45" s="270"/>
      <c r="AY45" s="384"/>
      <c r="AZ45" s="373"/>
      <c r="BA45" s="344"/>
      <c r="BB45" s="344"/>
      <c r="BC45" s="61"/>
      <c r="BD45" s="269"/>
      <c r="BF45" s="470"/>
      <c r="BG45" s="453"/>
      <c r="BH45" s="453"/>
      <c r="BI45" s="455"/>
      <c r="BJ45" s="455"/>
      <c r="BK45" s="61"/>
      <c r="BL45" s="298"/>
    </row>
    <row r="46" ht="22.5" customHeight="1">
      <c r="A46" s="368"/>
      <c r="B46" s="270">
        <v>46177.0</v>
      </c>
      <c r="C46" s="109" t="s">
        <v>4032</v>
      </c>
      <c r="D46" s="373" t="s">
        <v>4033</v>
      </c>
      <c r="E46" s="58" t="s">
        <v>32</v>
      </c>
      <c r="F46" s="58" t="s">
        <v>9</v>
      </c>
      <c r="G46" s="61"/>
      <c r="H46" s="269" t="b">
        <v>1</v>
      </c>
      <c r="J46" s="270">
        <v>46176.0</v>
      </c>
      <c r="K46" s="109" t="s">
        <v>4034</v>
      </c>
      <c r="L46" s="109" t="s">
        <v>4035</v>
      </c>
      <c r="M46" s="58" t="s">
        <v>11</v>
      </c>
      <c r="N46" s="58" t="s">
        <v>20</v>
      </c>
      <c r="O46" s="61"/>
      <c r="P46" s="269" t="b">
        <v>1</v>
      </c>
      <c r="R46" s="270">
        <v>46184.0</v>
      </c>
      <c r="S46" s="109" t="s">
        <v>4036</v>
      </c>
      <c r="T46" s="109" t="s">
        <v>4037</v>
      </c>
      <c r="U46" s="58" t="s">
        <v>13</v>
      </c>
      <c r="V46" s="58" t="s">
        <v>9</v>
      </c>
      <c r="W46" s="61"/>
      <c r="X46" s="269"/>
      <c r="Z46" s="270">
        <v>46183.0</v>
      </c>
      <c r="AA46" s="109" t="s">
        <v>4038</v>
      </c>
      <c r="AB46" s="109" t="s">
        <v>4039</v>
      </c>
      <c r="AC46" s="58" t="s">
        <v>25</v>
      </c>
      <c r="AD46" s="58" t="s">
        <v>20</v>
      </c>
      <c r="AE46" s="61"/>
      <c r="AF46" s="269" t="b">
        <v>1</v>
      </c>
      <c r="AH46" s="270"/>
      <c r="AI46" s="109"/>
      <c r="AJ46" s="373"/>
      <c r="AK46" s="58"/>
      <c r="AL46" s="58"/>
      <c r="AM46" s="61"/>
      <c r="AN46" s="269"/>
      <c r="AP46" s="270"/>
      <c r="AQ46" s="109"/>
      <c r="AR46" s="109"/>
      <c r="AS46" s="58"/>
      <c r="AT46" s="58"/>
      <c r="AU46" s="61"/>
      <c r="AV46" s="269"/>
      <c r="AX46" s="270"/>
      <c r="AY46" s="384"/>
      <c r="AZ46" s="373"/>
      <c r="BA46" s="344"/>
      <c r="BB46" s="344"/>
      <c r="BC46" s="61"/>
      <c r="BD46" s="269"/>
      <c r="BF46" s="473"/>
      <c r="BG46" s="450"/>
      <c r="BH46" s="450"/>
      <c r="BI46" s="452"/>
      <c r="BJ46" s="452"/>
      <c r="BK46" s="61"/>
      <c r="BL46" s="298"/>
    </row>
    <row r="47" ht="22.5" customHeight="1">
      <c r="A47" s="368"/>
      <c r="B47" s="270">
        <v>46177.0</v>
      </c>
      <c r="C47" s="109" t="s">
        <v>4040</v>
      </c>
      <c r="D47" s="373" t="s">
        <v>4041</v>
      </c>
      <c r="E47" s="344" t="s">
        <v>22</v>
      </c>
      <c r="F47" s="344" t="s">
        <v>2344</v>
      </c>
      <c r="G47" s="61"/>
      <c r="H47" s="269" t="b">
        <v>1</v>
      </c>
      <c r="J47" s="270">
        <v>46176.0</v>
      </c>
      <c r="K47" s="109" t="s">
        <v>4042</v>
      </c>
      <c r="L47" s="109" t="s">
        <v>4043</v>
      </c>
      <c r="M47" s="58" t="s">
        <v>11</v>
      </c>
      <c r="N47" s="58" t="s">
        <v>20</v>
      </c>
      <c r="O47" s="61"/>
      <c r="P47" s="269" t="b">
        <v>1</v>
      </c>
      <c r="R47" s="270">
        <v>46184.0</v>
      </c>
      <c r="S47" s="109" t="s">
        <v>4044</v>
      </c>
      <c r="T47" s="109" t="s">
        <v>4045</v>
      </c>
      <c r="U47" s="58" t="s">
        <v>44</v>
      </c>
      <c r="V47" s="58" t="s">
        <v>9</v>
      </c>
      <c r="W47" s="109"/>
      <c r="X47" s="269"/>
      <c r="Z47" s="270">
        <v>46183.0</v>
      </c>
      <c r="AA47" s="109" t="s">
        <v>4046</v>
      </c>
      <c r="AB47" s="109" t="s">
        <v>4047</v>
      </c>
      <c r="AC47" s="58" t="s">
        <v>21</v>
      </c>
      <c r="AD47" s="58" t="s">
        <v>20</v>
      </c>
      <c r="AE47" s="109" t="s">
        <v>3906</v>
      </c>
      <c r="AF47" s="269" t="b">
        <v>1</v>
      </c>
      <c r="AH47" s="270"/>
      <c r="AI47" s="109"/>
      <c r="AJ47" s="373"/>
      <c r="AK47" s="58"/>
      <c r="AL47" s="58"/>
      <c r="AM47" s="61"/>
      <c r="AN47" s="269"/>
      <c r="AP47" s="270"/>
      <c r="AQ47" s="109"/>
      <c r="AR47" s="109"/>
      <c r="AS47" s="58"/>
      <c r="AT47" s="58"/>
      <c r="AU47" s="61"/>
      <c r="AV47" s="269"/>
      <c r="AX47" s="270"/>
      <c r="AY47" s="384"/>
      <c r="AZ47" s="373"/>
      <c r="BA47" s="344"/>
      <c r="BB47" s="344"/>
      <c r="BC47" s="61"/>
      <c r="BD47" s="269"/>
      <c r="BF47" s="470"/>
      <c r="BG47" s="453"/>
      <c r="BH47" s="453"/>
      <c r="BI47" s="455"/>
      <c r="BJ47" s="455"/>
      <c r="BK47" s="61"/>
      <c r="BL47" s="298"/>
    </row>
    <row r="48" ht="22.5" customHeight="1">
      <c r="A48" s="368"/>
      <c r="B48" s="270">
        <v>46177.0</v>
      </c>
      <c r="C48" s="109" t="s">
        <v>4048</v>
      </c>
      <c r="D48" s="373" t="s">
        <v>4049</v>
      </c>
      <c r="E48" s="344" t="s">
        <v>22</v>
      </c>
      <c r="F48" s="344" t="s">
        <v>2344</v>
      </c>
      <c r="G48" s="109"/>
      <c r="H48" s="269" t="b">
        <v>1</v>
      </c>
      <c r="J48" s="270">
        <v>46176.0</v>
      </c>
      <c r="K48" s="109" t="s">
        <v>4050</v>
      </c>
      <c r="L48" s="109" t="s">
        <v>4051</v>
      </c>
      <c r="M48" s="58" t="s">
        <v>11</v>
      </c>
      <c r="N48" s="58" t="s">
        <v>20</v>
      </c>
      <c r="O48" s="61"/>
      <c r="P48" s="269" t="b">
        <v>1</v>
      </c>
      <c r="R48" s="270">
        <v>46184.0</v>
      </c>
      <c r="S48" s="109" t="s">
        <v>4052</v>
      </c>
      <c r="T48" s="109" t="s">
        <v>4053</v>
      </c>
      <c r="U48" s="58" t="s">
        <v>44</v>
      </c>
      <c r="V48" s="58" t="s">
        <v>9</v>
      </c>
      <c r="W48" s="61"/>
      <c r="X48" s="269"/>
      <c r="Z48" s="270">
        <v>46183.0</v>
      </c>
      <c r="AA48" s="109" t="s">
        <v>4054</v>
      </c>
      <c r="AB48" s="109" t="s">
        <v>4055</v>
      </c>
      <c r="AC48" s="58" t="s">
        <v>21</v>
      </c>
      <c r="AD48" s="58" t="s">
        <v>20</v>
      </c>
      <c r="AE48" s="61"/>
      <c r="AF48" s="269" t="b">
        <v>1</v>
      </c>
      <c r="AH48" s="270"/>
      <c r="AI48" s="109"/>
      <c r="AJ48" s="373"/>
      <c r="AK48" s="58"/>
      <c r="AL48" s="58"/>
      <c r="AM48" s="109"/>
      <c r="AN48" s="298"/>
      <c r="AP48" s="270"/>
      <c r="AQ48" s="109"/>
      <c r="AR48" s="109"/>
      <c r="AS48" s="58"/>
      <c r="AT48" s="58"/>
      <c r="AU48" s="61"/>
      <c r="AV48" s="269"/>
      <c r="AX48" s="270"/>
      <c r="AY48" s="384"/>
      <c r="AZ48" s="373"/>
      <c r="BA48" s="344"/>
      <c r="BB48" s="344"/>
      <c r="BC48" s="61"/>
      <c r="BD48" s="269"/>
      <c r="BF48" s="270"/>
      <c r="BG48" s="109"/>
      <c r="BH48" s="109"/>
      <c r="BI48" s="344"/>
      <c r="BJ48" s="344"/>
      <c r="BK48" s="61"/>
      <c r="BL48" s="298"/>
    </row>
    <row r="49" ht="22.5" customHeight="1">
      <c r="A49" s="368"/>
      <c r="B49" s="270">
        <v>46178.0</v>
      </c>
      <c r="C49" s="312" t="s">
        <v>4056</v>
      </c>
      <c r="D49" s="373" t="s">
        <v>4057</v>
      </c>
      <c r="E49" s="58" t="s">
        <v>13</v>
      </c>
      <c r="F49" s="58" t="s">
        <v>9</v>
      </c>
      <c r="G49" s="61"/>
      <c r="H49" s="269" t="b">
        <v>1</v>
      </c>
      <c r="J49" s="270">
        <v>46176.0</v>
      </c>
      <c r="K49" s="109" t="s">
        <v>4058</v>
      </c>
      <c r="L49" s="109" t="s">
        <v>4059</v>
      </c>
      <c r="M49" s="58" t="s">
        <v>11</v>
      </c>
      <c r="N49" s="58" t="s">
        <v>20</v>
      </c>
      <c r="O49" s="61"/>
      <c r="P49" s="269" t="b">
        <v>1</v>
      </c>
      <c r="R49" s="270">
        <v>46184.0</v>
      </c>
      <c r="S49" s="109" t="s">
        <v>4060</v>
      </c>
      <c r="T49" s="109" t="s">
        <v>4061</v>
      </c>
      <c r="U49" s="58" t="s">
        <v>44</v>
      </c>
      <c r="V49" s="58" t="s">
        <v>9</v>
      </c>
      <c r="W49" s="61"/>
      <c r="X49" s="269"/>
      <c r="Z49" s="270">
        <v>46183.0</v>
      </c>
      <c r="AA49" s="109" t="s">
        <v>4062</v>
      </c>
      <c r="AB49" s="109" t="s">
        <v>4063</v>
      </c>
      <c r="AC49" s="58" t="s">
        <v>15</v>
      </c>
      <c r="AD49" s="58" t="s">
        <v>20</v>
      </c>
      <c r="AE49" s="61"/>
      <c r="AF49" s="269" t="b">
        <v>1</v>
      </c>
      <c r="AH49" s="491"/>
      <c r="AI49" s="453"/>
      <c r="AJ49" s="453"/>
      <c r="AK49" s="471"/>
      <c r="AL49" s="455"/>
      <c r="AM49" s="61"/>
      <c r="AN49" s="269"/>
      <c r="AP49" s="449"/>
      <c r="AQ49" s="450"/>
      <c r="AR49" s="460"/>
      <c r="AS49" s="468"/>
      <c r="AT49" s="452"/>
      <c r="AU49" s="61"/>
      <c r="AV49" s="269"/>
      <c r="AX49" s="270"/>
      <c r="AY49" s="384"/>
      <c r="AZ49" s="373"/>
      <c r="BA49" s="58"/>
      <c r="BB49" s="58"/>
      <c r="BC49" s="109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>
        <v>46178.0</v>
      </c>
      <c r="C50" s="109" t="s">
        <v>4064</v>
      </c>
      <c r="D50" s="373" t="s">
        <v>4065</v>
      </c>
      <c r="E50" s="58" t="s">
        <v>16</v>
      </c>
      <c r="F50" s="58" t="s">
        <v>9</v>
      </c>
      <c r="G50" s="61"/>
      <c r="H50" s="269" t="b">
        <v>1</v>
      </c>
      <c r="J50" s="270">
        <v>46176.0</v>
      </c>
      <c r="K50" s="109" t="s">
        <v>4066</v>
      </c>
      <c r="L50" s="109" t="s">
        <v>4067</v>
      </c>
      <c r="M50" s="58" t="s">
        <v>11</v>
      </c>
      <c r="N50" s="58" t="s">
        <v>20</v>
      </c>
      <c r="O50" s="61"/>
      <c r="P50" s="269" t="b">
        <v>1</v>
      </c>
      <c r="R50" s="270">
        <v>46184.0</v>
      </c>
      <c r="S50" s="109" t="s">
        <v>4068</v>
      </c>
      <c r="T50" s="109" t="s">
        <v>4069</v>
      </c>
      <c r="U50" s="58" t="s">
        <v>16</v>
      </c>
      <c r="V50" s="58" t="s">
        <v>9</v>
      </c>
      <c r="W50" s="109"/>
      <c r="X50" s="269"/>
      <c r="Z50" s="270">
        <v>46183.0</v>
      </c>
      <c r="AA50" s="109" t="s">
        <v>4070</v>
      </c>
      <c r="AB50" s="109" t="s">
        <v>4071</v>
      </c>
      <c r="AC50" s="58" t="s">
        <v>15</v>
      </c>
      <c r="AD50" s="58" t="s">
        <v>20</v>
      </c>
      <c r="AE50" s="61"/>
      <c r="AF50" s="269" t="b">
        <v>1</v>
      </c>
      <c r="AH50" s="492"/>
      <c r="AI50" s="450"/>
      <c r="AJ50" s="450"/>
      <c r="AK50" s="477"/>
      <c r="AL50" s="452"/>
      <c r="AM50" s="61"/>
      <c r="AN50" s="269"/>
      <c r="AP50" s="194"/>
      <c r="AQ50" s="61"/>
      <c r="AR50" s="61"/>
      <c r="AS50" s="81"/>
      <c r="AT50" s="81"/>
      <c r="AU50" s="61"/>
      <c r="AV50" s="298"/>
      <c r="AX50" s="270"/>
      <c r="AY50" s="384"/>
      <c r="AZ50" s="373"/>
      <c r="BA50" s="58"/>
      <c r="BB50" s="58"/>
      <c r="BC50" s="109"/>
      <c r="BD50" s="298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>
        <v>46178.0</v>
      </c>
      <c r="C51" s="109" t="s">
        <v>4072</v>
      </c>
      <c r="D51" s="373" t="s">
        <v>4073</v>
      </c>
      <c r="E51" s="58" t="s">
        <v>22</v>
      </c>
      <c r="F51" s="58" t="s">
        <v>9</v>
      </c>
      <c r="G51" s="61"/>
      <c r="H51" s="269" t="b">
        <v>1</v>
      </c>
      <c r="J51" s="270">
        <v>46176.0</v>
      </c>
      <c r="K51" s="109" t="s">
        <v>4074</v>
      </c>
      <c r="L51" s="109" t="s">
        <v>4075</v>
      </c>
      <c r="M51" s="58" t="s">
        <v>11</v>
      </c>
      <c r="N51" s="58" t="s">
        <v>20</v>
      </c>
      <c r="O51" s="61"/>
      <c r="P51" s="269" t="b">
        <v>1</v>
      </c>
      <c r="R51" s="270">
        <v>46184.0</v>
      </c>
      <c r="S51" s="294" t="s">
        <v>4076</v>
      </c>
      <c r="T51" s="294" t="s">
        <v>4077</v>
      </c>
      <c r="U51" s="295" t="s">
        <v>19</v>
      </c>
      <c r="V51" s="58" t="s">
        <v>12</v>
      </c>
      <c r="W51" s="109"/>
      <c r="X51" s="298"/>
      <c r="Z51" s="270">
        <v>46183.0</v>
      </c>
      <c r="AA51" s="109" t="s">
        <v>4078</v>
      </c>
      <c r="AB51" s="109" t="s">
        <v>4079</v>
      </c>
      <c r="AC51" s="58" t="s">
        <v>15</v>
      </c>
      <c r="AD51" s="58" t="s">
        <v>20</v>
      </c>
      <c r="AE51" s="61"/>
      <c r="AF51" s="269"/>
      <c r="AH51" s="491"/>
      <c r="AI51" s="453"/>
      <c r="AJ51" s="453"/>
      <c r="AK51" s="471"/>
      <c r="AL51" s="455"/>
      <c r="AM51" s="61"/>
      <c r="AN51" s="269"/>
      <c r="AP51" s="194"/>
      <c r="AQ51" s="61"/>
      <c r="AR51" s="61"/>
      <c r="AS51" s="81"/>
      <c r="AT51" s="81"/>
      <c r="AU51" s="61"/>
      <c r="AV51" s="298"/>
      <c r="AX51" s="270"/>
      <c r="AY51" s="109"/>
      <c r="AZ51" s="373"/>
      <c r="BA51" s="58"/>
      <c r="BB51" s="58"/>
      <c r="BC51" s="61"/>
      <c r="BD51" s="269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>
        <v>46178.0</v>
      </c>
      <c r="C52" s="109" t="s">
        <v>4080</v>
      </c>
      <c r="D52" s="373" t="s">
        <v>4081</v>
      </c>
      <c r="E52" s="58" t="s">
        <v>10</v>
      </c>
      <c r="F52" s="58" t="s">
        <v>9</v>
      </c>
      <c r="G52" s="109"/>
      <c r="H52" s="269" t="b">
        <v>1</v>
      </c>
      <c r="J52" s="270">
        <v>46176.0</v>
      </c>
      <c r="K52" s="109" t="s">
        <v>4082</v>
      </c>
      <c r="L52" s="109" t="s">
        <v>4083</v>
      </c>
      <c r="M52" s="58" t="s">
        <v>11</v>
      </c>
      <c r="N52" s="58" t="s">
        <v>20</v>
      </c>
      <c r="O52" s="61"/>
      <c r="P52" s="269" t="b">
        <v>1</v>
      </c>
      <c r="R52" s="270">
        <v>46184.0</v>
      </c>
      <c r="S52" s="273" t="s">
        <v>4084</v>
      </c>
      <c r="T52" s="273" t="s">
        <v>4085</v>
      </c>
      <c r="U52" s="402" t="s">
        <v>24</v>
      </c>
      <c r="V52" s="58" t="s">
        <v>12</v>
      </c>
      <c r="W52" s="61"/>
      <c r="X52" s="269"/>
      <c r="Z52" s="380">
        <v>46183.0</v>
      </c>
      <c r="AA52" s="273" t="s">
        <v>4086</v>
      </c>
      <c r="AB52" s="273" t="s">
        <v>4087</v>
      </c>
      <c r="AC52" s="395" t="s">
        <v>18</v>
      </c>
      <c r="AD52" s="58" t="s">
        <v>2338</v>
      </c>
      <c r="AE52" s="61"/>
      <c r="AF52" s="269"/>
      <c r="AH52" s="492"/>
      <c r="AI52" s="450"/>
      <c r="AJ52" s="450"/>
      <c r="AK52" s="477"/>
      <c r="AL52" s="452"/>
      <c r="AM52" s="61"/>
      <c r="AN52" s="269"/>
      <c r="AP52" s="270"/>
      <c r="AQ52" s="109"/>
      <c r="AR52" s="109"/>
      <c r="AS52" s="344"/>
      <c r="AT52" s="344"/>
      <c r="AU52" s="61"/>
      <c r="AV52" s="298"/>
      <c r="AX52" s="270"/>
      <c r="AY52" s="384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>
        <v>46178.0</v>
      </c>
      <c r="C53" s="312" t="s">
        <v>4088</v>
      </c>
      <c r="D53" s="490" t="s">
        <v>4089</v>
      </c>
      <c r="E53" s="58" t="s">
        <v>32</v>
      </c>
      <c r="F53" s="58" t="s">
        <v>2349</v>
      </c>
      <c r="G53" s="427" t="s">
        <v>2432</v>
      </c>
      <c r="H53" s="269"/>
      <c r="J53" s="270">
        <v>46176.0</v>
      </c>
      <c r="K53" s="109" t="s">
        <v>4090</v>
      </c>
      <c r="L53" s="109" t="s">
        <v>4091</v>
      </c>
      <c r="M53" s="58" t="s">
        <v>11</v>
      </c>
      <c r="N53" s="58" t="s">
        <v>20</v>
      </c>
      <c r="O53" s="61"/>
      <c r="P53" s="269" t="b">
        <v>1</v>
      </c>
      <c r="R53" s="270">
        <v>46184.0</v>
      </c>
      <c r="S53" s="294" t="s">
        <v>4092</v>
      </c>
      <c r="T53" s="294" t="s">
        <v>4093</v>
      </c>
      <c r="U53" s="391" t="s">
        <v>32</v>
      </c>
      <c r="V53" s="58" t="s">
        <v>12</v>
      </c>
      <c r="W53" s="61"/>
      <c r="X53" s="269"/>
      <c r="Z53" s="380">
        <v>46183.0</v>
      </c>
      <c r="AA53" s="294" t="s">
        <v>4094</v>
      </c>
      <c r="AB53" s="294" t="s">
        <v>4095</v>
      </c>
      <c r="AC53" s="409" t="s">
        <v>18</v>
      </c>
      <c r="AD53" s="58" t="s">
        <v>2338</v>
      </c>
      <c r="AE53" s="61"/>
      <c r="AF53" s="269"/>
      <c r="AH53" s="491"/>
      <c r="AI53" s="453"/>
      <c r="AJ53" s="453"/>
      <c r="AK53" s="471"/>
      <c r="AL53" s="455"/>
      <c r="AM53" s="61"/>
      <c r="AN53" s="298"/>
      <c r="AP53" s="270"/>
      <c r="AQ53" s="109"/>
      <c r="AR53" s="109"/>
      <c r="AS53" s="344"/>
      <c r="AT53" s="344"/>
      <c r="AU53" s="61"/>
      <c r="AV53" s="298"/>
      <c r="AX53" s="270"/>
      <c r="AY53" s="450"/>
      <c r="AZ53" s="450"/>
      <c r="BA53" s="477"/>
      <c r="BB53" s="452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>
        <v>46178.0</v>
      </c>
      <c r="C54" s="490" t="s">
        <v>4096</v>
      </c>
      <c r="D54" s="392" t="s">
        <v>4097</v>
      </c>
      <c r="E54" s="58" t="s">
        <v>19</v>
      </c>
      <c r="F54" s="58" t="s">
        <v>2349</v>
      </c>
      <c r="G54" s="427" t="s">
        <v>4098</v>
      </c>
      <c r="H54" s="269"/>
      <c r="J54" s="403">
        <v>46176.0</v>
      </c>
      <c r="K54" s="294" t="s">
        <v>4099</v>
      </c>
      <c r="L54" s="294" t="s">
        <v>4100</v>
      </c>
      <c r="M54" s="391" t="s">
        <v>30</v>
      </c>
      <c r="N54" s="391" t="s">
        <v>2337</v>
      </c>
      <c r="O54" s="109"/>
      <c r="P54" s="269" t="b">
        <v>1</v>
      </c>
      <c r="R54" s="270">
        <v>46184.0</v>
      </c>
      <c r="S54" s="273" t="s">
        <v>4101</v>
      </c>
      <c r="T54" s="273" t="s">
        <v>4102</v>
      </c>
      <c r="U54" s="402" t="s">
        <v>10</v>
      </c>
      <c r="V54" s="58" t="s">
        <v>12</v>
      </c>
      <c r="W54" s="61"/>
      <c r="X54" s="269"/>
      <c r="Z54" s="380">
        <v>46183.0</v>
      </c>
      <c r="AA54" s="273" t="s">
        <v>4103</v>
      </c>
      <c r="AB54" s="273" t="s">
        <v>4104</v>
      </c>
      <c r="AC54" s="395" t="s">
        <v>11</v>
      </c>
      <c r="AD54" s="58" t="s">
        <v>2338</v>
      </c>
      <c r="AE54" s="61"/>
      <c r="AF54" s="269"/>
      <c r="AH54" s="449"/>
      <c r="AI54" s="450"/>
      <c r="AJ54" s="450"/>
      <c r="AK54" s="451"/>
      <c r="AL54" s="452"/>
      <c r="AM54" s="493"/>
      <c r="AN54" s="298"/>
      <c r="AP54" s="270"/>
      <c r="AQ54" s="109"/>
      <c r="AR54" s="109"/>
      <c r="AS54" s="344"/>
      <c r="AT54" s="344"/>
      <c r="AU54" s="61"/>
      <c r="AV54" s="298"/>
      <c r="AX54" s="270"/>
      <c r="AY54" s="109"/>
      <c r="AZ54" s="373"/>
      <c r="BA54" s="344"/>
      <c r="BB54" s="344"/>
      <c r="BC54" s="61"/>
      <c r="BD54" s="298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>
        <v>46178.0</v>
      </c>
      <c r="C55" s="494" t="s">
        <v>4105</v>
      </c>
      <c r="D55" s="430" t="s">
        <v>4106</v>
      </c>
      <c r="E55" s="431" t="s">
        <v>19</v>
      </c>
      <c r="F55" s="58" t="s">
        <v>12</v>
      </c>
      <c r="G55" s="109" t="s">
        <v>4107</v>
      </c>
      <c r="H55" s="269" t="b">
        <v>1</v>
      </c>
      <c r="J55" s="401">
        <v>46176.0</v>
      </c>
      <c r="K55" s="273" t="s">
        <v>4108</v>
      </c>
      <c r="L55" s="273" t="s">
        <v>4109</v>
      </c>
      <c r="M55" s="402" t="s">
        <v>21</v>
      </c>
      <c r="N55" s="402" t="s">
        <v>2337</v>
      </c>
      <c r="O55" s="61"/>
      <c r="P55" s="269" t="b">
        <v>1</v>
      </c>
      <c r="R55" s="270">
        <v>46184.0</v>
      </c>
      <c r="S55" s="294" t="s">
        <v>4110</v>
      </c>
      <c r="T55" s="294" t="s">
        <v>4111</v>
      </c>
      <c r="U55" s="391" t="s">
        <v>13</v>
      </c>
      <c r="V55" s="58" t="s">
        <v>12</v>
      </c>
      <c r="W55" s="109"/>
      <c r="X55" s="269"/>
      <c r="Z55" s="380">
        <v>46183.0</v>
      </c>
      <c r="AA55" s="495" t="s">
        <v>4112</v>
      </c>
      <c r="AB55" s="294" t="s">
        <v>4113</v>
      </c>
      <c r="AC55" s="409" t="s">
        <v>11</v>
      </c>
      <c r="AD55" s="58" t="s">
        <v>2338</v>
      </c>
      <c r="AE55" s="61"/>
      <c r="AF55" s="269"/>
      <c r="AH55" s="449"/>
      <c r="AI55" s="453"/>
      <c r="AJ55" s="453"/>
      <c r="AK55" s="466"/>
      <c r="AL55" s="455"/>
      <c r="AM55" s="61"/>
      <c r="AN55" s="269"/>
      <c r="AP55" s="270"/>
      <c r="AQ55" s="109"/>
      <c r="AR55" s="109"/>
      <c r="AS55" s="344"/>
      <c r="AT55" s="344"/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>
        <v>46178.0</v>
      </c>
      <c r="C56" s="109" t="s">
        <v>4114</v>
      </c>
      <c r="D56" s="373" t="s">
        <v>4115</v>
      </c>
      <c r="E56" s="58" t="s">
        <v>22</v>
      </c>
      <c r="F56" s="58" t="s">
        <v>20</v>
      </c>
      <c r="G56" s="61"/>
      <c r="H56" s="269" t="b">
        <v>1</v>
      </c>
      <c r="J56" s="403">
        <v>46176.0</v>
      </c>
      <c r="K56" s="294" t="s">
        <v>4116</v>
      </c>
      <c r="L56" s="294" t="s">
        <v>4117</v>
      </c>
      <c r="M56" s="391" t="s">
        <v>27</v>
      </c>
      <c r="N56" s="391" t="s">
        <v>2337</v>
      </c>
      <c r="O56" s="61"/>
      <c r="P56" s="269" t="b">
        <v>1</v>
      </c>
      <c r="R56" s="270">
        <v>46184.0</v>
      </c>
      <c r="S56" s="430" t="s">
        <v>4118</v>
      </c>
      <c r="T56" s="430" t="s">
        <v>4119</v>
      </c>
      <c r="U56" s="431" t="s">
        <v>13</v>
      </c>
      <c r="V56" s="58" t="s">
        <v>12</v>
      </c>
      <c r="W56" s="109"/>
      <c r="X56" s="269"/>
      <c r="Z56" s="380">
        <v>46183.0</v>
      </c>
      <c r="AA56" s="496" t="s">
        <v>4120</v>
      </c>
      <c r="AB56" s="273" t="s">
        <v>4121</v>
      </c>
      <c r="AC56" s="395" t="s">
        <v>11</v>
      </c>
      <c r="AD56" s="58" t="s">
        <v>2338</v>
      </c>
      <c r="AE56" s="61"/>
      <c r="AF56" s="269"/>
      <c r="AH56" s="449"/>
      <c r="AI56" s="450"/>
      <c r="AJ56" s="450"/>
      <c r="AK56" s="468"/>
      <c r="AL56" s="452"/>
      <c r="AM56" s="61"/>
      <c r="AN56" s="269"/>
      <c r="AP56" s="270"/>
      <c r="AQ56" s="109"/>
      <c r="AR56" s="109"/>
      <c r="AS56" s="344"/>
      <c r="AT56" s="344"/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>
        <v>46178.0</v>
      </c>
      <c r="C57" s="109" t="s">
        <v>4122</v>
      </c>
      <c r="D57" s="373" t="s">
        <v>4123</v>
      </c>
      <c r="E57" s="58" t="s">
        <v>16</v>
      </c>
      <c r="F57" s="58" t="s">
        <v>20</v>
      </c>
      <c r="G57" s="109" t="s">
        <v>4107</v>
      </c>
      <c r="H57" s="269" t="b">
        <v>1</v>
      </c>
      <c r="J57" s="401">
        <v>46176.0</v>
      </c>
      <c r="K57" s="273" t="s">
        <v>4124</v>
      </c>
      <c r="L57" s="273" t="s">
        <v>4125</v>
      </c>
      <c r="M57" s="402" t="s">
        <v>30</v>
      </c>
      <c r="N57" s="402" t="s">
        <v>2337</v>
      </c>
      <c r="O57" s="61"/>
      <c r="P57" s="269" t="b">
        <v>1</v>
      </c>
      <c r="R57" s="270">
        <v>46184.0</v>
      </c>
      <c r="S57" s="294" t="s">
        <v>4126</v>
      </c>
      <c r="T57" s="294" t="s">
        <v>4127</v>
      </c>
      <c r="U57" s="295" t="s">
        <v>22</v>
      </c>
      <c r="V57" s="58" t="s">
        <v>12</v>
      </c>
      <c r="W57" s="493"/>
      <c r="X57" s="298"/>
      <c r="Z57" s="380">
        <v>46183.0</v>
      </c>
      <c r="AA57" s="294" t="s">
        <v>4128</v>
      </c>
      <c r="AB57" s="294" t="s">
        <v>4129</v>
      </c>
      <c r="AC57" s="409" t="s">
        <v>23</v>
      </c>
      <c r="AD57" s="391" t="s">
        <v>2338</v>
      </c>
      <c r="AE57" s="61"/>
      <c r="AF57" s="269"/>
      <c r="AH57" s="449"/>
      <c r="AI57" s="453"/>
      <c r="AJ57" s="453"/>
      <c r="AK57" s="466"/>
      <c r="AL57" s="455"/>
      <c r="AM57" s="61"/>
      <c r="AN57" s="269"/>
      <c r="AP57" s="270"/>
      <c r="AQ57" s="109"/>
      <c r="AR57" s="109"/>
      <c r="AS57" s="344"/>
      <c r="AT57" s="344"/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>
        <v>46178.0</v>
      </c>
      <c r="C58" s="430" t="s">
        <v>4130</v>
      </c>
      <c r="D58" s="430" t="s">
        <v>4131</v>
      </c>
      <c r="E58" s="431" t="s">
        <v>13</v>
      </c>
      <c r="F58" s="58" t="s">
        <v>12</v>
      </c>
      <c r="G58" s="61"/>
      <c r="H58" s="269" t="b">
        <v>1</v>
      </c>
      <c r="J58" s="403">
        <v>46176.0</v>
      </c>
      <c r="K58" s="294" t="s">
        <v>4132</v>
      </c>
      <c r="L58" s="294" t="s">
        <v>4133</v>
      </c>
      <c r="M58" s="391" t="s">
        <v>15</v>
      </c>
      <c r="N58" s="391" t="s">
        <v>2337</v>
      </c>
      <c r="O58" s="61"/>
      <c r="P58" s="269" t="b">
        <v>1</v>
      </c>
      <c r="R58" s="270">
        <v>46184.0</v>
      </c>
      <c r="S58" s="273" t="s">
        <v>4134</v>
      </c>
      <c r="T58" s="273" t="s">
        <v>4135</v>
      </c>
      <c r="U58" s="402" t="s">
        <v>10</v>
      </c>
      <c r="V58" s="58" t="s">
        <v>12</v>
      </c>
      <c r="W58" s="109"/>
      <c r="X58" s="269"/>
      <c r="Z58" s="382">
        <v>46183.0</v>
      </c>
      <c r="AA58" s="496" t="s">
        <v>4136</v>
      </c>
      <c r="AB58" s="273" t="s">
        <v>4137</v>
      </c>
      <c r="AC58" s="395" t="s">
        <v>11</v>
      </c>
      <c r="AD58" s="402" t="s">
        <v>2338</v>
      </c>
      <c r="AE58" s="61"/>
      <c r="AF58" s="269"/>
      <c r="AH58" s="473"/>
      <c r="AI58" s="450"/>
      <c r="AJ58" s="450"/>
      <c r="AK58" s="477"/>
      <c r="AL58" s="452"/>
      <c r="AM58" s="61"/>
      <c r="AN58" s="269"/>
      <c r="AP58" s="270"/>
      <c r="AQ58" s="109"/>
      <c r="AR58" s="109"/>
      <c r="AS58" s="344"/>
      <c r="AT58" s="344"/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>
        <v>46178.0</v>
      </c>
      <c r="C59" s="109" t="s">
        <v>4138</v>
      </c>
      <c r="D59" s="373" t="s">
        <v>4139</v>
      </c>
      <c r="E59" s="58" t="s">
        <v>44</v>
      </c>
      <c r="F59" s="58" t="s">
        <v>9</v>
      </c>
      <c r="G59" s="61"/>
      <c r="H59" s="269" t="b">
        <v>1</v>
      </c>
      <c r="J59" s="380">
        <v>46176.0</v>
      </c>
      <c r="K59" s="294" t="s">
        <v>4140</v>
      </c>
      <c r="L59" s="294" t="s">
        <v>4141</v>
      </c>
      <c r="M59" s="396" t="s">
        <v>23</v>
      </c>
      <c r="N59" s="391" t="s">
        <v>2338</v>
      </c>
      <c r="O59" s="61"/>
      <c r="P59" s="269" t="b">
        <v>1</v>
      </c>
      <c r="R59" s="270"/>
      <c r="S59" s="384"/>
      <c r="T59" s="109"/>
      <c r="U59" s="58"/>
      <c r="V59" s="344"/>
      <c r="W59" s="109"/>
      <c r="X59" s="269"/>
      <c r="Z59" s="380">
        <v>46183.0</v>
      </c>
      <c r="AA59" s="294" t="s">
        <v>4142</v>
      </c>
      <c r="AB59" s="294" t="s">
        <v>4143</v>
      </c>
      <c r="AC59" s="409" t="s">
        <v>15</v>
      </c>
      <c r="AD59" s="391" t="s">
        <v>2338</v>
      </c>
      <c r="AE59" s="61"/>
      <c r="AF59" s="269"/>
      <c r="AH59" s="470"/>
      <c r="AI59" s="453"/>
      <c r="AJ59" s="453"/>
      <c r="AK59" s="471"/>
      <c r="AL59" s="455"/>
      <c r="AM59" s="61"/>
      <c r="AN59" s="269"/>
      <c r="AP59" s="270"/>
      <c r="AQ59" s="109"/>
      <c r="AR59" s="109"/>
      <c r="AS59" s="344"/>
      <c r="AT59" s="344"/>
      <c r="AU59" s="109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>
        <v>46178.0</v>
      </c>
      <c r="C60" s="109" t="s">
        <v>4144</v>
      </c>
      <c r="D60" s="373" t="s">
        <v>4145</v>
      </c>
      <c r="E60" s="58" t="s">
        <v>10</v>
      </c>
      <c r="F60" s="58" t="s">
        <v>9</v>
      </c>
      <c r="G60" s="61"/>
      <c r="H60" s="269" t="b">
        <v>1</v>
      </c>
      <c r="J60" s="382">
        <v>46176.0</v>
      </c>
      <c r="K60" s="273" t="s">
        <v>4146</v>
      </c>
      <c r="L60" s="273" t="s">
        <v>4147</v>
      </c>
      <c r="M60" s="398" t="s">
        <v>27</v>
      </c>
      <c r="N60" s="431" t="s">
        <v>2338</v>
      </c>
      <c r="O60" s="61"/>
      <c r="P60" s="269" t="b">
        <v>1</v>
      </c>
      <c r="R60" s="270"/>
      <c r="S60" s="384"/>
      <c r="T60" s="384"/>
      <c r="U60" s="344"/>
      <c r="V60" s="344"/>
      <c r="W60" s="109"/>
      <c r="X60" s="298"/>
      <c r="Z60" s="382">
        <v>46183.0</v>
      </c>
      <c r="AA60" s="273" t="s">
        <v>4148</v>
      </c>
      <c r="AB60" s="273" t="s">
        <v>4149</v>
      </c>
      <c r="AC60" s="395" t="s">
        <v>25</v>
      </c>
      <c r="AD60" s="431" t="s">
        <v>2338</v>
      </c>
      <c r="AE60" s="61"/>
      <c r="AF60" s="269"/>
      <c r="AH60" s="473"/>
      <c r="AI60" s="450"/>
      <c r="AJ60" s="450"/>
      <c r="AK60" s="477"/>
      <c r="AL60" s="452"/>
      <c r="AM60" s="61"/>
      <c r="AN60" s="269"/>
      <c r="AP60" s="270"/>
      <c r="AQ60" s="109"/>
      <c r="AR60" s="109"/>
      <c r="AS60" s="344"/>
      <c r="AT60" s="344"/>
      <c r="AU60" s="61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>
        <v>46178.0</v>
      </c>
      <c r="C61" s="109" t="s">
        <v>4150</v>
      </c>
      <c r="D61" s="373" t="s">
        <v>4151</v>
      </c>
      <c r="E61" s="58" t="s">
        <v>22</v>
      </c>
      <c r="F61" s="58" t="s">
        <v>28</v>
      </c>
      <c r="G61" s="61"/>
      <c r="H61" s="269" t="b">
        <v>1</v>
      </c>
      <c r="J61" s="380">
        <v>46176.0</v>
      </c>
      <c r="K61" s="294" t="s">
        <v>4152</v>
      </c>
      <c r="L61" s="294" t="s">
        <v>4153</v>
      </c>
      <c r="M61" s="396" t="s">
        <v>18</v>
      </c>
      <c r="N61" s="391" t="s">
        <v>2338</v>
      </c>
      <c r="O61" s="61"/>
      <c r="P61" s="269" t="b">
        <v>1</v>
      </c>
      <c r="R61" s="270"/>
      <c r="S61" s="384"/>
      <c r="T61" s="439"/>
      <c r="U61" s="344"/>
      <c r="V61" s="344"/>
      <c r="W61" s="109"/>
      <c r="X61" s="298"/>
      <c r="Z61" s="380">
        <v>46183.0</v>
      </c>
      <c r="AA61" s="294" t="s">
        <v>4154</v>
      </c>
      <c r="AB61" s="294" t="s">
        <v>4155</v>
      </c>
      <c r="AC61" s="409" t="s">
        <v>30</v>
      </c>
      <c r="AD61" s="391" t="s">
        <v>2338</v>
      </c>
      <c r="AE61" s="61"/>
      <c r="AF61" s="269"/>
      <c r="AH61" s="270"/>
      <c r="AI61" s="109"/>
      <c r="AJ61" s="373"/>
      <c r="AK61" s="58"/>
      <c r="AL61" s="58"/>
      <c r="AM61" s="109"/>
      <c r="AN61" s="298"/>
      <c r="AP61" s="270"/>
      <c r="AQ61" s="109"/>
      <c r="AR61" s="109"/>
      <c r="AS61" s="344"/>
      <c r="AT61" s="344"/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>
        <v>46178.0</v>
      </c>
      <c r="C62" s="109" t="s">
        <v>4156</v>
      </c>
      <c r="D62" s="373" t="s">
        <v>4157</v>
      </c>
      <c r="E62" s="58" t="s">
        <v>10</v>
      </c>
      <c r="F62" s="58" t="s">
        <v>14</v>
      </c>
      <c r="G62" s="109" t="s">
        <v>4158</v>
      </c>
      <c r="H62" s="269"/>
      <c r="J62" s="382">
        <v>46176.0</v>
      </c>
      <c r="K62" s="273" t="s">
        <v>4159</v>
      </c>
      <c r="L62" s="273" t="s">
        <v>4160</v>
      </c>
      <c r="M62" s="398" t="s">
        <v>30</v>
      </c>
      <c r="N62" s="431" t="s">
        <v>2338</v>
      </c>
      <c r="O62" s="61"/>
      <c r="P62" s="269" t="b">
        <v>1</v>
      </c>
      <c r="R62" s="270"/>
      <c r="S62" s="384"/>
      <c r="T62" s="497"/>
      <c r="U62" s="58"/>
      <c r="V62" s="344"/>
      <c r="W62" s="61"/>
      <c r="X62" s="269"/>
      <c r="Z62" s="382">
        <v>46183.0</v>
      </c>
      <c r="AA62" s="273" t="s">
        <v>4161</v>
      </c>
      <c r="AB62" s="273" t="s">
        <v>4162</v>
      </c>
      <c r="AC62" s="395" t="s">
        <v>23</v>
      </c>
      <c r="AD62" s="431" t="s">
        <v>2338</v>
      </c>
      <c r="AE62" s="61"/>
      <c r="AF62" s="269"/>
      <c r="AH62" s="270"/>
      <c r="AI62" s="109"/>
      <c r="AJ62" s="373"/>
      <c r="AK62" s="58"/>
      <c r="AL62" s="58"/>
      <c r="AM62" s="109"/>
      <c r="AN62" s="298"/>
      <c r="AP62" s="270"/>
      <c r="AQ62" s="109"/>
      <c r="AR62" s="109"/>
      <c r="AS62" s="344"/>
      <c r="AT62" s="344"/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>
        <v>46178.0</v>
      </c>
      <c r="C63" s="109" t="s">
        <v>4163</v>
      </c>
      <c r="D63" s="373" t="s">
        <v>4164</v>
      </c>
      <c r="E63" s="58" t="s">
        <v>16</v>
      </c>
      <c r="F63" s="58" t="s">
        <v>14</v>
      </c>
      <c r="G63" s="109"/>
      <c r="H63" s="269" t="b">
        <v>1</v>
      </c>
      <c r="J63" s="380">
        <v>46176.0</v>
      </c>
      <c r="K63" s="294" t="s">
        <v>4165</v>
      </c>
      <c r="L63" s="294" t="s">
        <v>4166</v>
      </c>
      <c r="M63" s="441" t="s">
        <v>30</v>
      </c>
      <c r="N63" s="295" t="s">
        <v>2338</v>
      </c>
      <c r="O63" s="61"/>
      <c r="P63" s="269" t="b">
        <v>1</v>
      </c>
      <c r="R63" s="270"/>
      <c r="S63" s="384"/>
      <c r="T63" s="47"/>
      <c r="U63" s="58"/>
      <c r="V63" s="344"/>
      <c r="W63" s="61"/>
      <c r="X63" s="269"/>
      <c r="Z63" s="380">
        <v>46183.0</v>
      </c>
      <c r="AA63" s="294" t="s">
        <v>4167</v>
      </c>
      <c r="AB63" s="294" t="s">
        <v>4168</v>
      </c>
      <c r="AC63" s="409" t="s">
        <v>27</v>
      </c>
      <c r="AD63" s="391" t="s">
        <v>2338</v>
      </c>
      <c r="AE63" s="61"/>
      <c r="AF63" s="298"/>
      <c r="AH63" s="270"/>
      <c r="AI63" s="109"/>
      <c r="AJ63" s="373"/>
      <c r="AK63" s="344"/>
      <c r="AL63" s="344"/>
      <c r="AM63" s="61"/>
      <c r="AN63" s="298"/>
      <c r="AP63" s="270"/>
      <c r="AQ63" s="109"/>
      <c r="AR63" s="109"/>
      <c r="AS63" s="344"/>
      <c r="AT63" s="344"/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>
        <v>46178.0</v>
      </c>
      <c r="C64" s="109" t="s">
        <v>4169</v>
      </c>
      <c r="D64" s="373" t="s">
        <v>4170</v>
      </c>
      <c r="E64" s="58" t="s">
        <v>24</v>
      </c>
      <c r="F64" s="58" t="s">
        <v>14</v>
      </c>
      <c r="G64" s="109"/>
      <c r="H64" s="269" t="b">
        <v>1</v>
      </c>
      <c r="J64" s="382">
        <v>46176.0</v>
      </c>
      <c r="K64" s="273" t="s">
        <v>4171</v>
      </c>
      <c r="L64" s="273" t="s">
        <v>4172</v>
      </c>
      <c r="M64" s="398"/>
      <c r="N64" s="431" t="s">
        <v>2338</v>
      </c>
      <c r="O64" s="109" t="s">
        <v>4173</v>
      </c>
      <c r="P64" s="269"/>
      <c r="R64" s="270"/>
      <c r="S64" s="109"/>
      <c r="T64" s="47"/>
      <c r="U64" s="58"/>
      <c r="V64" s="344"/>
      <c r="W64" s="61"/>
      <c r="X64" s="269"/>
      <c r="Z64" s="382">
        <v>46183.0</v>
      </c>
      <c r="AA64" s="496" t="s">
        <v>4174</v>
      </c>
      <c r="AB64" s="273" t="s">
        <v>4175</v>
      </c>
      <c r="AC64" s="395" t="s">
        <v>11</v>
      </c>
      <c r="AD64" s="431" t="s">
        <v>2338</v>
      </c>
      <c r="AE64" s="61"/>
      <c r="AF64" s="269"/>
      <c r="AH64" s="270"/>
      <c r="AI64" s="109"/>
      <c r="AJ64" s="373"/>
      <c r="AK64" s="344"/>
      <c r="AL64" s="344"/>
      <c r="AM64" s="61"/>
      <c r="AN64" s="298"/>
      <c r="AP64" s="270"/>
      <c r="AQ64" s="109"/>
      <c r="AR64" s="109"/>
      <c r="AS64" s="344"/>
      <c r="AT64" s="344"/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>
        <v>46178.0</v>
      </c>
      <c r="C65" s="109" t="s">
        <v>4176</v>
      </c>
      <c r="D65" s="373" t="s">
        <v>4177</v>
      </c>
      <c r="E65" s="58" t="s">
        <v>44</v>
      </c>
      <c r="F65" s="58" t="s">
        <v>14</v>
      </c>
      <c r="G65" s="109"/>
      <c r="H65" s="269" t="b">
        <v>1</v>
      </c>
      <c r="J65" s="270">
        <v>46177.0</v>
      </c>
      <c r="K65" s="384" t="s">
        <v>4178</v>
      </c>
      <c r="L65" s="109" t="s">
        <v>4179</v>
      </c>
      <c r="M65" s="58" t="s">
        <v>23</v>
      </c>
      <c r="N65" s="58" t="s">
        <v>28</v>
      </c>
      <c r="O65" s="61"/>
      <c r="P65" s="269" t="b">
        <v>1</v>
      </c>
      <c r="R65" s="270"/>
      <c r="S65" s="109"/>
      <c r="T65" s="47"/>
      <c r="U65" s="58"/>
      <c r="V65" s="344"/>
      <c r="W65" s="61"/>
      <c r="X65" s="269"/>
      <c r="Z65" s="382">
        <v>46183.0</v>
      </c>
      <c r="AA65" s="109" t="s">
        <v>4180</v>
      </c>
      <c r="AB65" s="109" t="s">
        <v>4181</v>
      </c>
      <c r="AC65" s="58" t="s">
        <v>27</v>
      </c>
      <c r="AD65" s="58" t="s">
        <v>14</v>
      </c>
      <c r="AE65" s="61"/>
      <c r="AF65" s="269"/>
      <c r="AH65" s="270"/>
      <c r="AI65" s="109"/>
      <c r="AJ65" s="373"/>
      <c r="AK65" s="344"/>
      <c r="AL65" s="344"/>
      <c r="AM65" s="61"/>
      <c r="AN65" s="298"/>
      <c r="AP65" s="270"/>
      <c r="AQ65" s="109"/>
      <c r="AR65" s="109"/>
      <c r="AS65" s="344"/>
      <c r="AT65" s="344"/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>
        <v>46181.0</v>
      </c>
      <c r="C66" s="109" t="s">
        <v>4182</v>
      </c>
      <c r="D66" s="373" t="s">
        <v>4183</v>
      </c>
      <c r="E66" s="58" t="s">
        <v>22</v>
      </c>
      <c r="F66" s="58" t="s">
        <v>9</v>
      </c>
      <c r="G66" s="61"/>
      <c r="H66" s="269" t="b">
        <v>1</v>
      </c>
      <c r="J66" s="270">
        <v>46177.0</v>
      </c>
      <c r="K66" s="384" t="s">
        <v>4184</v>
      </c>
      <c r="L66" s="109" t="s">
        <v>4185</v>
      </c>
      <c r="M66" s="58" t="s">
        <v>21</v>
      </c>
      <c r="N66" s="58" t="s">
        <v>20</v>
      </c>
      <c r="O66" s="61"/>
      <c r="P66" s="269" t="b">
        <v>1</v>
      </c>
      <c r="R66" s="270"/>
      <c r="S66" s="384"/>
      <c r="T66" s="47"/>
      <c r="U66" s="344"/>
      <c r="V66" s="344"/>
      <c r="W66" s="109"/>
      <c r="X66" s="298"/>
      <c r="Z66" s="382">
        <v>46183.0</v>
      </c>
      <c r="AA66" s="109" t="s">
        <v>4186</v>
      </c>
      <c r="AB66" s="109" t="s">
        <v>4187</v>
      </c>
      <c r="AC66" s="58" t="s">
        <v>27</v>
      </c>
      <c r="AD66" s="58" t="s">
        <v>14</v>
      </c>
      <c r="AE66" s="109"/>
      <c r="AF66" s="298"/>
      <c r="AH66" s="270"/>
      <c r="AI66" s="109"/>
      <c r="AJ66" s="373"/>
      <c r="AK66" s="344"/>
      <c r="AL66" s="344"/>
      <c r="AM66" s="61"/>
      <c r="AN66" s="298"/>
      <c r="AP66" s="270"/>
      <c r="AQ66" s="109"/>
      <c r="AR66" s="109"/>
      <c r="AS66" s="344"/>
      <c r="AT66" s="344"/>
      <c r="AU66" s="109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109"/>
      <c r="BL66" s="298"/>
    </row>
    <row r="67" ht="22.5" customHeight="1">
      <c r="A67" s="368"/>
      <c r="B67" s="270">
        <v>46181.0</v>
      </c>
      <c r="C67" s="109" t="s">
        <v>4188</v>
      </c>
      <c r="D67" s="373" t="s">
        <v>4189</v>
      </c>
      <c r="E67" s="58" t="s">
        <v>10</v>
      </c>
      <c r="F67" s="58" t="s">
        <v>9</v>
      </c>
      <c r="G67" s="109" t="s">
        <v>4190</v>
      </c>
      <c r="H67" s="269" t="b">
        <v>1</v>
      </c>
      <c r="J67" s="270">
        <v>46177.0</v>
      </c>
      <c r="K67" s="109" t="s">
        <v>4191</v>
      </c>
      <c r="L67" s="109" t="s">
        <v>4192</v>
      </c>
      <c r="M67" s="58" t="s">
        <v>11</v>
      </c>
      <c r="N67" s="58" t="s">
        <v>20</v>
      </c>
      <c r="O67" s="61"/>
      <c r="P67" s="269" t="b">
        <v>1</v>
      </c>
      <c r="R67" s="270"/>
      <c r="S67" s="384"/>
      <c r="T67" s="109"/>
      <c r="U67" s="58"/>
      <c r="V67" s="344"/>
      <c r="W67" s="61"/>
      <c r="X67" s="269"/>
      <c r="Z67" s="403">
        <v>46183.0</v>
      </c>
      <c r="AA67" s="294" t="s">
        <v>4193</v>
      </c>
      <c r="AB67" s="294" t="s">
        <v>4194</v>
      </c>
      <c r="AC67" s="391" t="s">
        <v>21</v>
      </c>
      <c r="AD67" s="391" t="s">
        <v>2337</v>
      </c>
      <c r="AE67" s="61"/>
      <c r="AF67" s="269"/>
      <c r="AH67" s="270"/>
      <c r="AI67" s="61"/>
      <c r="AJ67" s="373"/>
      <c r="AK67" s="344"/>
      <c r="AL67" s="344"/>
      <c r="AM67" s="61"/>
      <c r="AN67" s="298"/>
      <c r="AP67" s="270"/>
      <c r="AQ67" s="109"/>
      <c r="AR67" s="109"/>
      <c r="AS67" s="344"/>
      <c r="AT67" s="344"/>
      <c r="AU67" s="61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61"/>
      <c r="BL67" s="298"/>
    </row>
    <row r="68" ht="22.5" customHeight="1">
      <c r="A68" s="368"/>
      <c r="B68" s="270">
        <v>46181.0</v>
      </c>
      <c r="C68" s="109" t="s">
        <v>4195</v>
      </c>
      <c r="D68" s="373" t="s">
        <v>4196</v>
      </c>
      <c r="E68" s="58" t="s">
        <v>24</v>
      </c>
      <c r="F68" s="58" t="s">
        <v>9</v>
      </c>
      <c r="G68" s="109"/>
      <c r="H68" s="269" t="b">
        <v>1</v>
      </c>
      <c r="J68" s="270">
        <v>46177.0</v>
      </c>
      <c r="K68" s="109" t="s">
        <v>4197</v>
      </c>
      <c r="L68" s="109" t="s">
        <v>4198</v>
      </c>
      <c r="M68" s="58" t="s">
        <v>11</v>
      </c>
      <c r="N68" s="58" t="s">
        <v>20</v>
      </c>
      <c r="O68" s="109"/>
      <c r="P68" s="269" t="b">
        <v>1</v>
      </c>
      <c r="R68" s="270"/>
      <c r="S68" s="109"/>
      <c r="T68" s="109"/>
      <c r="U68" s="58"/>
      <c r="V68" s="344"/>
      <c r="W68" s="61"/>
      <c r="X68" s="298"/>
      <c r="Z68" s="401">
        <v>46183.0</v>
      </c>
      <c r="AA68" s="273" t="s">
        <v>4199</v>
      </c>
      <c r="AB68" s="273" t="s">
        <v>4200</v>
      </c>
      <c r="AC68" s="402" t="s">
        <v>15</v>
      </c>
      <c r="AD68" s="402" t="s">
        <v>2337</v>
      </c>
      <c r="AE68" s="109"/>
      <c r="AF68" s="298"/>
      <c r="AH68" s="270"/>
      <c r="AI68" s="109"/>
      <c r="AJ68" s="373"/>
      <c r="AK68" s="344"/>
      <c r="AL68" s="344"/>
      <c r="AM68" s="61"/>
      <c r="AN68" s="298"/>
      <c r="AP68" s="270"/>
      <c r="AQ68" s="109"/>
      <c r="AR68" s="109"/>
      <c r="AS68" s="344"/>
      <c r="AT68" s="344"/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>
        <v>46181.0</v>
      </c>
      <c r="C69" s="109" t="s">
        <v>4201</v>
      </c>
      <c r="D69" s="373" t="s">
        <v>4202</v>
      </c>
      <c r="E69" s="58" t="s">
        <v>10</v>
      </c>
      <c r="F69" s="58" t="s">
        <v>9</v>
      </c>
      <c r="G69" s="109" t="s">
        <v>4203</v>
      </c>
      <c r="H69" s="269"/>
      <c r="J69" s="270">
        <v>46177.0</v>
      </c>
      <c r="K69" s="109" t="s">
        <v>4204</v>
      </c>
      <c r="L69" s="109" t="s">
        <v>4205</v>
      </c>
      <c r="M69" s="58" t="s">
        <v>11</v>
      </c>
      <c r="N69" s="58" t="s">
        <v>20</v>
      </c>
      <c r="O69" s="61"/>
      <c r="P69" s="269" t="b">
        <v>1</v>
      </c>
      <c r="R69" s="270"/>
      <c r="S69" s="109"/>
      <c r="T69" s="109"/>
      <c r="U69" s="58"/>
      <c r="V69" s="344"/>
      <c r="W69" s="61"/>
      <c r="X69" s="298"/>
      <c r="Z69" s="403">
        <v>46183.0</v>
      </c>
      <c r="AA69" s="294" t="s">
        <v>4206</v>
      </c>
      <c r="AB69" s="294" t="s">
        <v>4207</v>
      </c>
      <c r="AC69" s="391" t="s">
        <v>25</v>
      </c>
      <c r="AD69" s="391" t="s">
        <v>2337</v>
      </c>
      <c r="AE69" s="61"/>
      <c r="AF69" s="269"/>
      <c r="AH69" s="270"/>
      <c r="AI69" s="109"/>
      <c r="AJ69" s="373"/>
      <c r="AK69" s="344"/>
      <c r="AL69" s="344"/>
      <c r="AM69" s="61"/>
      <c r="AN69" s="298"/>
      <c r="AP69" s="270"/>
      <c r="AQ69" s="109"/>
      <c r="AR69" s="109"/>
      <c r="AS69" s="344"/>
      <c r="AT69" s="344"/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>
        <v>46181.0</v>
      </c>
      <c r="C70" s="109" t="s">
        <v>4208</v>
      </c>
      <c r="D70" s="373" t="s">
        <v>4209</v>
      </c>
      <c r="E70" s="58" t="s">
        <v>16</v>
      </c>
      <c r="F70" s="58" t="s">
        <v>9</v>
      </c>
      <c r="G70" s="61"/>
      <c r="H70" s="269" t="b">
        <v>1</v>
      </c>
      <c r="J70" s="270">
        <v>46177.0</v>
      </c>
      <c r="K70" s="109" t="s">
        <v>4210</v>
      </c>
      <c r="L70" s="109" t="s">
        <v>4211</v>
      </c>
      <c r="M70" s="58" t="s">
        <v>11</v>
      </c>
      <c r="N70" s="58" t="s">
        <v>20</v>
      </c>
      <c r="O70" s="61"/>
      <c r="P70" s="269" t="b">
        <v>1</v>
      </c>
      <c r="R70" s="270"/>
      <c r="S70" s="384"/>
      <c r="T70" s="109"/>
      <c r="U70" s="344"/>
      <c r="V70" s="344"/>
      <c r="W70" s="61"/>
      <c r="X70" s="298"/>
      <c r="Z70" s="401">
        <v>46183.0</v>
      </c>
      <c r="AA70" s="273" t="s">
        <v>4212</v>
      </c>
      <c r="AB70" s="273" t="s">
        <v>4213</v>
      </c>
      <c r="AC70" s="402" t="s">
        <v>18</v>
      </c>
      <c r="AD70" s="402" t="s">
        <v>2337</v>
      </c>
      <c r="AE70" s="61"/>
      <c r="AF70" s="269"/>
      <c r="AH70" s="270"/>
      <c r="AI70" s="109"/>
      <c r="AJ70" s="373"/>
      <c r="AK70" s="344"/>
      <c r="AL70" s="344"/>
      <c r="AM70" s="61"/>
      <c r="AN70" s="298"/>
      <c r="AP70" s="270"/>
      <c r="AQ70" s="109"/>
      <c r="AR70" s="109"/>
      <c r="AS70" s="344"/>
      <c r="AT70" s="344"/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>
        <v>46181.0</v>
      </c>
      <c r="C71" s="109" t="s">
        <v>4214</v>
      </c>
      <c r="D71" s="373" t="s">
        <v>4215</v>
      </c>
      <c r="E71" s="58" t="s">
        <v>10</v>
      </c>
      <c r="F71" s="58" t="s">
        <v>9</v>
      </c>
      <c r="G71" s="61"/>
      <c r="H71" s="269" t="b">
        <v>1</v>
      </c>
      <c r="J71" s="270">
        <v>46177.0</v>
      </c>
      <c r="K71" s="109" t="s">
        <v>4216</v>
      </c>
      <c r="L71" s="109" t="s">
        <v>4217</v>
      </c>
      <c r="M71" s="58" t="s">
        <v>21</v>
      </c>
      <c r="N71" s="58" t="s">
        <v>20</v>
      </c>
      <c r="O71" s="109"/>
      <c r="P71" s="269" t="b">
        <v>1</v>
      </c>
      <c r="R71" s="270"/>
      <c r="S71" s="384"/>
      <c r="T71" s="109"/>
      <c r="U71" s="344"/>
      <c r="V71" s="344"/>
      <c r="W71" s="61"/>
      <c r="X71" s="298"/>
      <c r="Z71" s="403">
        <v>46183.0</v>
      </c>
      <c r="AA71" s="294" t="s">
        <v>4218</v>
      </c>
      <c r="AB71" s="294" t="s">
        <v>4219</v>
      </c>
      <c r="AC71" s="391" t="s">
        <v>30</v>
      </c>
      <c r="AD71" s="391" t="s">
        <v>2337</v>
      </c>
      <c r="AE71" s="61"/>
      <c r="AF71" s="269"/>
      <c r="AH71" s="270"/>
      <c r="AI71" s="109"/>
      <c r="AJ71" s="373"/>
      <c r="AK71" s="344"/>
      <c r="AL71" s="344"/>
      <c r="AM71" s="61"/>
      <c r="AN71" s="298"/>
      <c r="AP71" s="270"/>
      <c r="AQ71" s="109"/>
      <c r="AR71" s="109"/>
      <c r="AS71" s="344"/>
      <c r="AT71" s="344"/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>
        <v>46181.0</v>
      </c>
      <c r="C72" s="109" t="s">
        <v>4220</v>
      </c>
      <c r="D72" s="373" t="s">
        <v>4221</v>
      </c>
      <c r="E72" s="58" t="s">
        <v>22</v>
      </c>
      <c r="F72" s="58" t="s">
        <v>9</v>
      </c>
      <c r="G72" s="109" t="s">
        <v>4222</v>
      </c>
      <c r="H72" s="298"/>
      <c r="J72" s="270">
        <v>46177.0</v>
      </c>
      <c r="K72" s="109" t="s">
        <v>4223</v>
      </c>
      <c r="L72" s="109" t="s">
        <v>4224</v>
      </c>
      <c r="M72" s="58" t="s">
        <v>11</v>
      </c>
      <c r="N72" s="58" t="s">
        <v>20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401">
        <v>46183.0</v>
      </c>
      <c r="AA72" s="273" t="s">
        <v>4225</v>
      </c>
      <c r="AB72" s="273" t="s">
        <v>4226</v>
      </c>
      <c r="AC72" s="402" t="s">
        <v>27</v>
      </c>
      <c r="AD72" s="402" t="s">
        <v>2337</v>
      </c>
      <c r="AE72" s="61"/>
      <c r="AF72" s="269"/>
      <c r="AG72" s="428"/>
      <c r="AH72" s="270"/>
      <c r="AI72" s="109"/>
      <c r="AJ72" s="373"/>
      <c r="AK72" s="344"/>
      <c r="AL72" s="344"/>
      <c r="AM72" s="61"/>
      <c r="AN72" s="298"/>
      <c r="AP72" s="270"/>
      <c r="AQ72" s="109"/>
      <c r="AR72" s="109"/>
      <c r="AS72" s="344"/>
      <c r="AT72" s="344"/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>
        <v>46181.0</v>
      </c>
      <c r="C73" s="109" t="s">
        <v>4227</v>
      </c>
      <c r="D73" s="373" t="s">
        <v>4228</v>
      </c>
      <c r="E73" s="58" t="s">
        <v>16</v>
      </c>
      <c r="F73" s="58" t="s">
        <v>2347</v>
      </c>
      <c r="G73" s="109" t="s">
        <v>4229</v>
      </c>
      <c r="H73" s="269" t="b">
        <v>1</v>
      </c>
      <c r="J73" s="270">
        <v>46177.0</v>
      </c>
      <c r="K73" s="109" t="s">
        <v>4230</v>
      </c>
      <c r="L73" s="109" t="s">
        <v>4231</v>
      </c>
      <c r="M73" s="58" t="s">
        <v>23</v>
      </c>
      <c r="N73" s="58" t="s">
        <v>20</v>
      </c>
      <c r="O73" s="61"/>
      <c r="P73" s="269" t="b">
        <v>1</v>
      </c>
      <c r="R73" s="270"/>
      <c r="S73" s="384"/>
      <c r="T73" s="109"/>
      <c r="U73" s="344"/>
      <c r="V73" s="344"/>
      <c r="W73" s="109"/>
      <c r="X73" s="298"/>
      <c r="Z73" s="403">
        <v>46183.0</v>
      </c>
      <c r="AA73" s="294" t="s">
        <v>4232</v>
      </c>
      <c r="AB73" s="294" t="s">
        <v>4233</v>
      </c>
      <c r="AC73" s="391" t="s">
        <v>30</v>
      </c>
      <c r="AD73" s="391" t="s">
        <v>2337</v>
      </c>
      <c r="AE73" s="61"/>
      <c r="AF73" s="269"/>
      <c r="AH73" s="270"/>
      <c r="AI73" s="109"/>
      <c r="AJ73" s="373"/>
      <c r="AK73" s="344"/>
      <c r="AL73" s="344"/>
      <c r="AM73" s="61"/>
      <c r="AN73" s="298"/>
      <c r="AP73" s="270"/>
      <c r="AQ73" s="109"/>
      <c r="AR73" s="109"/>
      <c r="AS73" s="344"/>
      <c r="AT73" s="344"/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>
        <v>46181.0</v>
      </c>
      <c r="C74" s="109" t="s">
        <v>4234</v>
      </c>
      <c r="D74" s="373" t="s">
        <v>4235</v>
      </c>
      <c r="E74" s="58" t="s">
        <v>10</v>
      </c>
      <c r="F74" s="58" t="s">
        <v>9</v>
      </c>
      <c r="G74" s="61"/>
      <c r="H74" s="269" t="b">
        <v>1</v>
      </c>
      <c r="J74" s="401">
        <v>46177.0</v>
      </c>
      <c r="K74" s="273" t="s">
        <v>4236</v>
      </c>
      <c r="L74" s="273" t="s">
        <v>4237</v>
      </c>
      <c r="M74" s="402" t="s">
        <v>11</v>
      </c>
      <c r="N74" s="402" t="s">
        <v>2337</v>
      </c>
      <c r="O74" s="109" t="s">
        <v>3746</v>
      </c>
      <c r="P74" s="269" t="b">
        <v>1</v>
      </c>
      <c r="R74" s="270"/>
      <c r="S74" s="384"/>
      <c r="T74" s="109"/>
      <c r="U74" s="344"/>
      <c r="V74" s="344"/>
      <c r="W74" s="61"/>
      <c r="X74" s="298"/>
      <c r="Z74" s="403">
        <v>46183.0</v>
      </c>
      <c r="AA74" s="109" t="s">
        <v>4238</v>
      </c>
      <c r="AB74" s="109" t="s">
        <v>4239</v>
      </c>
      <c r="AC74" s="58" t="s">
        <v>27</v>
      </c>
      <c r="AD74" s="58" t="s">
        <v>14</v>
      </c>
      <c r="AE74" s="61"/>
      <c r="AF74" s="269"/>
      <c r="AH74" s="270"/>
      <c r="AI74" s="109"/>
      <c r="AJ74" s="373"/>
      <c r="AK74" s="344"/>
      <c r="AL74" s="344"/>
      <c r="AM74" s="61"/>
      <c r="AN74" s="298"/>
      <c r="AP74" s="270"/>
      <c r="AQ74" s="109"/>
      <c r="AR74" s="109"/>
      <c r="AS74" s="344"/>
      <c r="AT74" s="344"/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>
        <v>46181.0</v>
      </c>
      <c r="C75" s="109" t="s">
        <v>4240</v>
      </c>
      <c r="D75" s="373" t="s">
        <v>4241</v>
      </c>
      <c r="E75" s="58" t="s">
        <v>16</v>
      </c>
      <c r="F75" s="58" t="s">
        <v>2347</v>
      </c>
      <c r="G75" s="61"/>
      <c r="H75" s="269" t="b">
        <v>1</v>
      </c>
      <c r="J75" s="403">
        <v>46177.0</v>
      </c>
      <c r="K75" s="294" t="s">
        <v>4242</v>
      </c>
      <c r="L75" s="294" t="s">
        <v>4243</v>
      </c>
      <c r="M75" s="391" t="s">
        <v>11</v>
      </c>
      <c r="N75" s="391" t="s">
        <v>2337</v>
      </c>
      <c r="O75" s="61"/>
      <c r="P75" s="269" t="b">
        <v>1</v>
      </c>
      <c r="R75" s="270"/>
      <c r="S75" s="384"/>
      <c r="T75" s="109"/>
      <c r="U75" s="344"/>
      <c r="V75" s="344"/>
      <c r="W75" s="61"/>
      <c r="X75" s="298"/>
      <c r="Z75" s="498">
        <v>46184.0</v>
      </c>
      <c r="AA75" s="499" t="s">
        <v>4244</v>
      </c>
      <c r="AB75" s="499" t="s">
        <v>4245</v>
      </c>
      <c r="AC75" s="465" t="s">
        <v>21</v>
      </c>
      <c r="AD75" s="465" t="s">
        <v>20</v>
      </c>
      <c r="AE75" s="61"/>
      <c r="AF75" s="269"/>
      <c r="AH75" s="270"/>
      <c r="AI75" s="109"/>
      <c r="AJ75" s="373"/>
      <c r="AK75" s="344"/>
      <c r="AL75" s="344"/>
      <c r="AM75" s="61"/>
      <c r="AN75" s="298"/>
      <c r="AP75" s="270"/>
      <c r="AQ75" s="109"/>
      <c r="AR75" s="109"/>
      <c r="AS75" s="344"/>
      <c r="AT75" s="344"/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>
        <v>46181.0</v>
      </c>
      <c r="C76" s="294" t="s">
        <v>4246</v>
      </c>
      <c r="D76" s="294" t="s">
        <v>4247</v>
      </c>
      <c r="E76" s="391" t="s">
        <v>24</v>
      </c>
      <c r="F76" s="58" t="s">
        <v>12</v>
      </c>
      <c r="G76" s="61"/>
      <c r="H76" s="269" t="b">
        <v>1</v>
      </c>
      <c r="J76" s="401">
        <v>46177.0</v>
      </c>
      <c r="K76" s="273" t="s">
        <v>4248</v>
      </c>
      <c r="L76" s="273" t="s">
        <v>4249</v>
      </c>
      <c r="M76" s="402" t="s">
        <v>11</v>
      </c>
      <c r="N76" s="402" t="s">
        <v>2337</v>
      </c>
      <c r="O76" s="61"/>
      <c r="P76" s="269" t="b">
        <v>1</v>
      </c>
      <c r="R76" s="270"/>
      <c r="S76" s="384"/>
      <c r="T76" s="109"/>
      <c r="U76" s="344"/>
      <c r="V76" s="344"/>
      <c r="W76" s="109"/>
      <c r="X76" s="298"/>
      <c r="Z76" s="500">
        <v>46184.0</v>
      </c>
      <c r="AA76" s="460" t="s">
        <v>130</v>
      </c>
      <c r="AB76" s="460" t="s">
        <v>131</v>
      </c>
      <c r="AC76" s="461" t="s">
        <v>11</v>
      </c>
      <c r="AD76" s="461" t="s">
        <v>20</v>
      </c>
      <c r="AE76" s="61"/>
      <c r="AF76" s="269"/>
      <c r="AH76" s="270"/>
      <c r="AI76" s="109"/>
      <c r="AJ76" s="373"/>
      <c r="AK76" s="344"/>
      <c r="AL76" s="344"/>
      <c r="AM76" s="61"/>
      <c r="AN76" s="298"/>
      <c r="AP76" s="270"/>
      <c r="AQ76" s="109"/>
      <c r="AR76" s="109"/>
      <c r="AS76" s="344"/>
      <c r="AT76" s="344"/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>
        <v>46181.0</v>
      </c>
      <c r="C77" s="273" t="s">
        <v>4250</v>
      </c>
      <c r="D77" s="273" t="s">
        <v>4251</v>
      </c>
      <c r="E77" s="402" t="s">
        <v>44</v>
      </c>
      <c r="F77" s="58" t="s">
        <v>12</v>
      </c>
      <c r="G77" s="61"/>
      <c r="H77" s="269" t="b">
        <v>1</v>
      </c>
      <c r="J77" s="403">
        <v>46177.0</v>
      </c>
      <c r="K77" s="294" t="s">
        <v>4252</v>
      </c>
      <c r="L77" s="294" t="s">
        <v>4253</v>
      </c>
      <c r="M77" s="391" t="s">
        <v>11</v>
      </c>
      <c r="N77" s="391" t="s">
        <v>2337</v>
      </c>
      <c r="O77" s="61"/>
      <c r="P77" s="269" t="b">
        <v>1</v>
      </c>
      <c r="R77" s="270"/>
      <c r="S77" s="384"/>
      <c r="T77" s="109"/>
      <c r="U77" s="344"/>
      <c r="V77" s="344"/>
      <c r="W77" s="61"/>
      <c r="X77" s="298"/>
      <c r="Z77" s="498">
        <v>46184.0</v>
      </c>
      <c r="AA77" s="499" t="s">
        <v>4254</v>
      </c>
      <c r="AB77" s="499" t="s">
        <v>4255</v>
      </c>
      <c r="AC77" s="465" t="s">
        <v>11</v>
      </c>
      <c r="AD77" s="465" t="s">
        <v>20</v>
      </c>
      <c r="AE77" s="61"/>
      <c r="AF77" s="269"/>
      <c r="AH77" s="270"/>
      <c r="AI77" s="109"/>
      <c r="AJ77" s="373"/>
      <c r="AK77" s="344"/>
      <c r="AL77" s="344"/>
      <c r="AM77" s="61"/>
      <c r="AN77" s="298"/>
      <c r="AP77" s="270"/>
      <c r="AQ77" s="109"/>
      <c r="AR77" s="109"/>
      <c r="AS77" s="344"/>
      <c r="AT77" s="344"/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>
        <v>46181.0</v>
      </c>
      <c r="C78" s="294" t="s">
        <v>4256</v>
      </c>
      <c r="D78" s="294" t="s">
        <v>4257</v>
      </c>
      <c r="E78" s="391" t="s">
        <v>24</v>
      </c>
      <c r="F78" s="58" t="s">
        <v>12</v>
      </c>
      <c r="G78" s="61"/>
      <c r="H78" s="269" t="b">
        <v>1</v>
      </c>
      <c r="J78" s="401">
        <v>46177.0</v>
      </c>
      <c r="K78" s="273" t="s">
        <v>4258</v>
      </c>
      <c r="L78" s="273" t="s">
        <v>4259</v>
      </c>
      <c r="M78" s="402" t="s">
        <v>11</v>
      </c>
      <c r="N78" s="402" t="s">
        <v>2337</v>
      </c>
      <c r="O78" s="61"/>
      <c r="P78" s="269" t="b">
        <v>1</v>
      </c>
      <c r="R78" s="270"/>
      <c r="S78" s="384"/>
      <c r="T78" s="109"/>
      <c r="U78" s="344"/>
      <c r="V78" s="344"/>
      <c r="W78" s="109"/>
      <c r="X78" s="298"/>
      <c r="Z78" s="500">
        <v>46184.0</v>
      </c>
      <c r="AA78" s="460" t="s">
        <v>4260</v>
      </c>
      <c r="AB78" s="460" t="s">
        <v>4261</v>
      </c>
      <c r="AC78" s="461" t="s">
        <v>11</v>
      </c>
      <c r="AD78" s="461" t="s">
        <v>20</v>
      </c>
      <c r="AE78" s="61"/>
      <c r="AF78" s="269"/>
      <c r="AH78" s="270"/>
      <c r="AI78" s="109"/>
      <c r="AJ78" s="373"/>
      <c r="AK78" s="344"/>
      <c r="AL78" s="344"/>
      <c r="AM78" s="61"/>
      <c r="AN78" s="298"/>
      <c r="AP78" s="270"/>
      <c r="AQ78" s="109"/>
      <c r="AR78" s="109"/>
      <c r="AS78" s="344"/>
      <c r="AT78" s="344"/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>
        <v>46181.0</v>
      </c>
      <c r="C79" s="273" t="s">
        <v>4262</v>
      </c>
      <c r="D79" s="273" t="s">
        <v>4263</v>
      </c>
      <c r="E79" s="402" t="s">
        <v>10</v>
      </c>
      <c r="F79" s="58" t="s">
        <v>12</v>
      </c>
      <c r="G79" s="61"/>
      <c r="H79" s="269" t="b">
        <v>1</v>
      </c>
      <c r="J79" s="403">
        <v>46177.0</v>
      </c>
      <c r="K79" s="294" t="s">
        <v>4264</v>
      </c>
      <c r="L79" s="294" t="s">
        <v>4265</v>
      </c>
      <c r="M79" s="391" t="s">
        <v>11</v>
      </c>
      <c r="N79" s="391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61"/>
      <c r="X79" s="298"/>
      <c r="Z79" s="498">
        <v>46184.0</v>
      </c>
      <c r="AA79" s="499" t="s">
        <v>4266</v>
      </c>
      <c r="AB79" s="499" t="s">
        <v>4267</v>
      </c>
      <c r="AC79" s="465" t="s">
        <v>11</v>
      </c>
      <c r="AD79" s="465" t="s">
        <v>20</v>
      </c>
      <c r="AE79" s="61"/>
      <c r="AF79" s="269"/>
      <c r="AG79" s="428"/>
      <c r="AH79" s="270"/>
      <c r="AI79" s="109"/>
      <c r="AJ79" s="373"/>
      <c r="AK79" s="344"/>
      <c r="AL79" s="344"/>
      <c r="AM79" s="61"/>
      <c r="AN79" s="298"/>
      <c r="AP79" s="270"/>
      <c r="AQ79" s="109"/>
      <c r="AR79" s="109"/>
      <c r="AS79" s="344"/>
      <c r="AT79" s="344"/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>
        <v>46181.0</v>
      </c>
      <c r="C80" s="294" t="s">
        <v>4268</v>
      </c>
      <c r="D80" s="294" t="s">
        <v>4269</v>
      </c>
      <c r="E80" s="391" t="s">
        <v>10</v>
      </c>
      <c r="F80" s="58" t="s">
        <v>12</v>
      </c>
      <c r="G80" s="61"/>
      <c r="H80" s="269"/>
      <c r="J80" s="401">
        <v>46177.0</v>
      </c>
      <c r="K80" s="273" t="s">
        <v>4270</v>
      </c>
      <c r="L80" s="273" t="s">
        <v>4271</v>
      </c>
      <c r="M80" s="402" t="s">
        <v>11</v>
      </c>
      <c r="N80" s="402" t="s">
        <v>2337</v>
      </c>
      <c r="O80" s="61"/>
      <c r="P80" s="269" t="b">
        <v>1</v>
      </c>
      <c r="R80" s="270"/>
      <c r="S80" s="384"/>
      <c r="T80" s="109"/>
      <c r="U80" s="344"/>
      <c r="V80" s="344"/>
      <c r="W80" s="109"/>
      <c r="X80" s="298"/>
      <c r="Z80" s="501">
        <v>46184.0</v>
      </c>
      <c r="AA80" s="499" t="s">
        <v>4272</v>
      </c>
      <c r="AB80" s="460" t="s">
        <v>4273</v>
      </c>
      <c r="AC80" s="461" t="s">
        <v>11</v>
      </c>
      <c r="AD80" s="461" t="s">
        <v>20</v>
      </c>
      <c r="AE80" s="61"/>
      <c r="AF80" s="269"/>
      <c r="AH80" s="270"/>
      <c r="AI80" s="109"/>
      <c r="AJ80" s="373"/>
      <c r="AK80" s="344"/>
      <c r="AL80" s="344"/>
      <c r="AM80" s="61"/>
      <c r="AN80" s="298"/>
      <c r="AP80" s="270"/>
      <c r="AQ80" s="109"/>
      <c r="AR80" s="109"/>
      <c r="AS80" s="344"/>
      <c r="AT80" s="344"/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>
        <v>46181.0</v>
      </c>
      <c r="C81" s="312" t="s">
        <v>4274</v>
      </c>
      <c r="D81" s="373" t="s">
        <v>4275</v>
      </c>
      <c r="E81" s="58" t="s">
        <v>16</v>
      </c>
      <c r="F81" s="58" t="s">
        <v>14</v>
      </c>
      <c r="G81" s="61"/>
      <c r="H81" s="269"/>
      <c r="J81" s="270">
        <v>46178.0</v>
      </c>
      <c r="K81" s="109" t="s">
        <v>4276</v>
      </c>
      <c r="L81" s="109" t="s">
        <v>4277</v>
      </c>
      <c r="M81" s="58" t="s">
        <v>21</v>
      </c>
      <c r="N81" s="58" t="s">
        <v>20</v>
      </c>
      <c r="O81" s="61"/>
      <c r="P81" s="269" t="b">
        <v>1</v>
      </c>
      <c r="R81" s="270"/>
      <c r="S81" s="384"/>
      <c r="T81" s="109"/>
      <c r="U81" s="344"/>
      <c r="V81" s="344"/>
      <c r="W81" s="61"/>
      <c r="X81" s="298"/>
      <c r="Z81" s="501">
        <v>46184.0</v>
      </c>
      <c r="AA81" s="460" t="s">
        <v>81</v>
      </c>
      <c r="AB81" s="460" t="s">
        <v>82</v>
      </c>
      <c r="AC81" s="502" t="s">
        <v>11</v>
      </c>
      <c r="AD81" s="502" t="s">
        <v>20</v>
      </c>
      <c r="AE81" s="61"/>
      <c r="AF81" s="269"/>
      <c r="AH81" s="270"/>
      <c r="AI81" s="109"/>
      <c r="AJ81" s="373"/>
      <c r="AK81" s="344"/>
      <c r="AL81" s="344"/>
      <c r="AM81" s="61"/>
      <c r="AN81" s="298"/>
      <c r="AP81" s="270"/>
      <c r="AQ81" s="109"/>
      <c r="AR81" s="109"/>
      <c r="AS81" s="344"/>
      <c r="AT81" s="344"/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>
        <v>46181.0</v>
      </c>
      <c r="C82" s="109" t="s">
        <v>4278</v>
      </c>
      <c r="D82" s="373" t="s">
        <v>4279</v>
      </c>
      <c r="E82" s="58" t="s">
        <v>13</v>
      </c>
      <c r="F82" s="58" t="s">
        <v>14</v>
      </c>
      <c r="G82" s="61"/>
      <c r="H82" s="269"/>
      <c r="J82" s="270">
        <v>46178.0</v>
      </c>
      <c r="K82" s="109" t="s">
        <v>4280</v>
      </c>
      <c r="L82" s="109" t="s">
        <v>4281</v>
      </c>
      <c r="M82" s="58" t="s">
        <v>11</v>
      </c>
      <c r="N82" s="58" t="s">
        <v>20</v>
      </c>
      <c r="O82" s="61"/>
      <c r="P82" s="269" t="b">
        <v>1</v>
      </c>
      <c r="R82" s="270"/>
      <c r="S82" s="109"/>
      <c r="T82" s="109"/>
      <c r="U82" s="344"/>
      <c r="V82" s="344"/>
      <c r="W82" s="61"/>
      <c r="X82" s="298"/>
      <c r="Z82" s="501">
        <v>46184.0</v>
      </c>
      <c r="AA82" s="499" t="s">
        <v>4282</v>
      </c>
      <c r="AB82" s="499" t="s">
        <v>4283</v>
      </c>
      <c r="AC82" s="464" t="s">
        <v>11</v>
      </c>
      <c r="AD82" s="464" t="s">
        <v>20</v>
      </c>
      <c r="AE82" s="61"/>
      <c r="AF82" s="269"/>
      <c r="AH82" s="270"/>
      <c r="AI82" s="109"/>
      <c r="AJ82" s="373"/>
      <c r="AK82" s="344"/>
      <c r="AL82" s="344"/>
      <c r="AM82" s="61"/>
      <c r="AN82" s="298"/>
      <c r="AP82" s="270"/>
      <c r="AQ82" s="109"/>
      <c r="AR82" s="109"/>
      <c r="AS82" s="344"/>
      <c r="AT82" s="344"/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>
        <v>46181.0</v>
      </c>
      <c r="C83" s="109" t="s">
        <v>4284</v>
      </c>
      <c r="D83" s="373" t="s">
        <v>4285</v>
      </c>
      <c r="E83" s="58" t="s">
        <v>16</v>
      </c>
      <c r="F83" s="58" t="s">
        <v>14</v>
      </c>
      <c r="G83" s="61"/>
      <c r="H83" s="269"/>
      <c r="J83" s="270">
        <v>46178.0</v>
      </c>
      <c r="K83" s="109" t="s">
        <v>4286</v>
      </c>
      <c r="L83" s="109" t="s">
        <v>4287</v>
      </c>
      <c r="M83" s="58" t="s">
        <v>11</v>
      </c>
      <c r="N83" s="58" t="s">
        <v>20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401">
        <v>46184.0</v>
      </c>
      <c r="AA83" s="273" t="s">
        <v>4288</v>
      </c>
      <c r="AB83" s="273" t="s">
        <v>4289</v>
      </c>
      <c r="AC83" s="402" t="s">
        <v>21</v>
      </c>
      <c r="AD83" s="402" t="s">
        <v>2337</v>
      </c>
      <c r="AE83" s="61"/>
      <c r="AF83" s="269"/>
      <c r="AH83" s="270"/>
      <c r="AI83" s="109"/>
      <c r="AJ83" s="373"/>
      <c r="AK83" s="344"/>
      <c r="AL83" s="344"/>
      <c r="AM83" s="61"/>
      <c r="AN83" s="298"/>
      <c r="AP83" s="270"/>
      <c r="AQ83" s="109"/>
      <c r="AR83" s="109"/>
      <c r="AS83" s="344"/>
      <c r="AT83" s="344"/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270">
        <v>46181.0</v>
      </c>
      <c r="C84" s="294" t="s">
        <v>4290</v>
      </c>
      <c r="D84" s="294" t="s">
        <v>4291</v>
      </c>
      <c r="E84" s="391" t="s">
        <v>44</v>
      </c>
      <c r="F84" s="370" t="s">
        <v>12</v>
      </c>
      <c r="G84" s="195"/>
      <c r="H84" s="371"/>
      <c r="J84" s="270">
        <v>46178.0</v>
      </c>
      <c r="K84" s="109" t="s">
        <v>4292</v>
      </c>
      <c r="L84" s="109" t="s">
        <v>4293</v>
      </c>
      <c r="M84" s="58" t="s">
        <v>11</v>
      </c>
      <c r="N84" s="58" t="s">
        <v>20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03">
        <v>46184.0</v>
      </c>
      <c r="AA84" s="294" t="s">
        <v>4294</v>
      </c>
      <c r="AB84" s="294" t="s">
        <v>4295</v>
      </c>
      <c r="AC84" s="391" t="s">
        <v>27</v>
      </c>
      <c r="AD84" s="391" t="s">
        <v>2337</v>
      </c>
      <c r="AE84" s="109"/>
      <c r="AF84" s="298"/>
      <c r="AH84" s="270"/>
      <c r="AI84" s="109"/>
      <c r="AJ84" s="373"/>
      <c r="AK84" s="344"/>
      <c r="AL84" s="344"/>
      <c r="AM84" s="61"/>
      <c r="AN84" s="298"/>
      <c r="AP84" s="270"/>
      <c r="AQ84" s="109"/>
      <c r="AR84" s="109"/>
      <c r="AS84" s="344"/>
      <c r="AT84" s="344"/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270">
        <v>46181.0</v>
      </c>
      <c r="C85" s="326" t="s">
        <v>4296</v>
      </c>
      <c r="D85" s="326" t="s">
        <v>4297</v>
      </c>
      <c r="E85" s="370" t="s">
        <v>24</v>
      </c>
      <c r="F85" s="370" t="s">
        <v>14</v>
      </c>
      <c r="G85" s="195"/>
      <c r="H85" s="371"/>
      <c r="J85" s="270">
        <v>46178.0</v>
      </c>
      <c r="K85" s="109" t="s">
        <v>4298</v>
      </c>
      <c r="L85" s="109" t="s">
        <v>4299</v>
      </c>
      <c r="M85" s="58" t="s">
        <v>11</v>
      </c>
      <c r="N85" s="58" t="s">
        <v>20</v>
      </c>
      <c r="O85" s="109"/>
      <c r="P85" s="269" t="b">
        <v>1</v>
      </c>
      <c r="R85" s="270"/>
      <c r="S85" s="109"/>
      <c r="T85" s="109"/>
      <c r="U85" s="344"/>
      <c r="V85" s="344"/>
      <c r="W85" s="61"/>
      <c r="X85" s="298"/>
      <c r="Z85" s="401">
        <v>46184.0</v>
      </c>
      <c r="AA85" s="273" t="s">
        <v>4300</v>
      </c>
      <c r="AB85" s="273" t="s">
        <v>4301</v>
      </c>
      <c r="AC85" s="402" t="s">
        <v>11</v>
      </c>
      <c r="AD85" s="402" t="s">
        <v>2337</v>
      </c>
      <c r="AE85" s="61"/>
      <c r="AF85" s="269"/>
      <c r="AH85" s="270"/>
      <c r="AI85" s="109"/>
      <c r="AJ85" s="373"/>
      <c r="AK85" s="344"/>
      <c r="AL85" s="344"/>
      <c r="AM85" s="61"/>
      <c r="AN85" s="298"/>
      <c r="AP85" s="270"/>
      <c r="AQ85" s="109"/>
      <c r="AR85" s="109"/>
      <c r="AS85" s="344"/>
      <c r="AT85" s="344"/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270">
        <v>46181.0</v>
      </c>
      <c r="C86" s="273" t="s">
        <v>4302</v>
      </c>
      <c r="D86" s="273" t="s">
        <v>4303</v>
      </c>
      <c r="E86" s="402" t="s">
        <v>10</v>
      </c>
      <c r="F86" s="274" t="s">
        <v>2344</v>
      </c>
      <c r="G86" s="326"/>
      <c r="H86" s="371"/>
      <c r="J86" s="270">
        <v>46178.0</v>
      </c>
      <c r="K86" s="109" t="s">
        <v>4304</v>
      </c>
      <c r="L86" s="109" t="s">
        <v>4305</v>
      </c>
      <c r="M86" s="58" t="s">
        <v>11</v>
      </c>
      <c r="N86" s="58" t="s">
        <v>20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403">
        <v>46184.0</v>
      </c>
      <c r="AA86" s="294" t="s">
        <v>4306</v>
      </c>
      <c r="AB86" s="294" t="s">
        <v>4307</v>
      </c>
      <c r="AC86" s="391" t="s">
        <v>21</v>
      </c>
      <c r="AD86" s="391" t="s">
        <v>2337</v>
      </c>
      <c r="AE86" s="61"/>
      <c r="AF86" s="269"/>
      <c r="AH86" s="270"/>
      <c r="AI86" s="109"/>
      <c r="AJ86" s="373"/>
      <c r="AK86" s="344"/>
      <c r="AL86" s="344"/>
      <c r="AM86" s="61"/>
      <c r="AN86" s="298"/>
      <c r="AP86" s="270"/>
      <c r="AQ86" s="109"/>
      <c r="AR86" s="109"/>
      <c r="AS86" s="344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270">
        <v>46181.0</v>
      </c>
      <c r="C87" s="294" t="s">
        <v>4308</v>
      </c>
      <c r="D87" s="294" t="s">
        <v>4309</v>
      </c>
      <c r="E87" s="391" t="s">
        <v>16</v>
      </c>
      <c r="F87" s="295" t="s">
        <v>2344</v>
      </c>
      <c r="G87" s="195"/>
      <c r="H87" s="371"/>
      <c r="J87" s="380">
        <v>46178.0</v>
      </c>
      <c r="K87" s="430" t="s">
        <v>4310</v>
      </c>
      <c r="L87" s="430" t="s">
        <v>4311</v>
      </c>
      <c r="M87" s="431" t="s">
        <v>11</v>
      </c>
      <c r="N87" s="58" t="s">
        <v>2338</v>
      </c>
      <c r="O87" s="61"/>
      <c r="P87" s="269" t="b">
        <v>1</v>
      </c>
      <c r="R87" s="270"/>
      <c r="S87" s="109"/>
      <c r="T87" s="109"/>
      <c r="U87" s="344"/>
      <c r="V87" s="344"/>
      <c r="W87" s="61"/>
      <c r="X87" s="298"/>
      <c r="Z87" s="403">
        <v>46184.0</v>
      </c>
      <c r="AA87" s="109" t="s">
        <v>4312</v>
      </c>
      <c r="AB87" s="109" t="s">
        <v>4313</v>
      </c>
      <c r="AC87" s="58" t="s">
        <v>27</v>
      </c>
      <c r="AD87" s="58" t="s">
        <v>14</v>
      </c>
      <c r="AE87" s="61"/>
      <c r="AF87" s="269"/>
      <c r="AH87" s="270"/>
      <c r="AI87" s="109"/>
      <c r="AJ87" s="373"/>
      <c r="AK87" s="344"/>
      <c r="AL87" s="344"/>
      <c r="AM87" s="61"/>
      <c r="AN87" s="298"/>
      <c r="AP87" s="270"/>
      <c r="AQ87" s="61"/>
      <c r="AR87" s="109"/>
      <c r="AS87" s="344"/>
      <c r="AT87" s="344"/>
      <c r="AU87" s="61"/>
      <c r="AV87" s="298"/>
      <c r="AX87" s="270"/>
      <c r="AY87" s="109"/>
      <c r="AZ87" s="373"/>
      <c r="BA87" s="344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270">
        <v>46181.0</v>
      </c>
      <c r="C88" s="326"/>
      <c r="D88" s="326"/>
      <c r="E88" s="370"/>
      <c r="F88" s="385"/>
      <c r="G88" s="195"/>
      <c r="H88" s="371"/>
      <c r="J88" s="382">
        <v>46178.0</v>
      </c>
      <c r="K88" s="405" t="s">
        <v>4314</v>
      </c>
      <c r="L88" s="405" t="s">
        <v>4315</v>
      </c>
      <c r="M88" s="481" t="s">
        <v>11</v>
      </c>
      <c r="N88" s="58" t="s">
        <v>2338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/>
      <c r="AA88" s="109"/>
      <c r="AB88" s="109"/>
      <c r="AC88" s="58"/>
      <c r="AD88" s="58"/>
      <c r="AE88" s="61"/>
      <c r="AF88" s="269"/>
      <c r="AH88" s="270"/>
      <c r="AI88" s="109"/>
      <c r="AJ88" s="373"/>
      <c r="AK88" s="344"/>
      <c r="AL88" s="344"/>
      <c r="AM88" s="61"/>
      <c r="AN88" s="298"/>
      <c r="AP88" s="270"/>
      <c r="AQ88" s="61"/>
      <c r="AR88" s="61"/>
      <c r="AS88" s="81"/>
      <c r="AT88" s="344"/>
      <c r="AU88" s="61"/>
      <c r="AV88" s="298"/>
      <c r="AX88" s="270"/>
      <c r="AY88" s="109"/>
      <c r="AZ88" s="373"/>
      <c r="BA88" s="344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270">
        <v>46181.0</v>
      </c>
      <c r="C89" s="326"/>
      <c r="D89" s="326"/>
      <c r="E89" s="370"/>
      <c r="F89" s="385"/>
      <c r="G89" s="195"/>
      <c r="H89" s="371"/>
      <c r="J89" s="380">
        <v>46178.0</v>
      </c>
      <c r="K89" s="273" t="s">
        <v>4316</v>
      </c>
      <c r="L89" s="273" t="s">
        <v>4317</v>
      </c>
      <c r="M89" s="402" t="s">
        <v>11</v>
      </c>
      <c r="N89" s="58" t="s">
        <v>2338</v>
      </c>
      <c r="O89" s="61"/>
      <c r="P89" s="269" t="b">
        <v>1</v>
      </c>
      <c r="R89" s="270"/>
      <c r="S89" s="109"/>
      <c r="T89" s="109"/>
      <c r="U89" s="344"/>
      <c r="V89" s="344"/>
      <c r="W89" s="109"/>
      <c r="X89" s="298"/>
      <c r="Z89" s="473"/>
      <c r="AA89" s="460"/>
      <c r="AB89" s="450"/>
      <c r="AC89" s="477"/>
      <c r="AD89" s="452"/>
      <c r="AE89" s="478"/>
      <c r="AF89" s="269"/>
      <c r="AH89" s="270"/>
      <c r="AI89" s="109"/>
      <c r="AJ89" s="373"/>
      <c r="AK89" s="344"/>
      <c r="AL89" s="344"/>
      <c r="AM89" s="61"/>
      <c r="AN89" s="298"/>
      <c r="AP89" s="270"/>
      <c r="AQ89" s="61"/>
      <c r="AR89" s="61"/>
      <c r="AS89" s="81"/>
      <c r="AT89" s="344"/>
      <c r="AU89" s="61"/>
      <c r="AV89" s="298"/>
      <c r="AX89" s="270"/>
      <c r="AY89" s="109"/>
      <c r="AZ89" s="373"/>
      <c r="BA89" s="344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437"/>
      <c r="C90" s="326"/>
      <c r="D90" s="326"/>
      <c r="E90" s="370"/>
      <c r="F90" s="385"/>
      <c r="G90" s="195"/>
      <c r="H90" s="371"/>
      <c r="J90" s="382">
        <v>46178.0</v>
      </c>
      <c r="K90" s="294" t="s">
        <v>4318</v>
      </c>
      <c r="L90" s="294" t="s">
        <v>4319</v>
      </c>
      <c r="M90" s="396" t="s">
        <v>23</v>
      </c>
      <c r="N90" s="58" t="s">
        <v>2338</v>
      </c>
      <c r="O90" s="61"/>
      <c r="P90" s="269" t="b">
        <v>1</v>
      </c>
      <c r="R90" s="270"/>
      <c r="S90" s="384"/>
      <c r="T90" s="109"/>
      <c r="U90" s="344"/>
      <c r="V90" s="344"/>
      <c r="W90" s="61"/>
      <c r="X90" s="298"/>
      <c r="Z90" s="470"/>
      <c r="AA90" s="453"/>
      <c r="AB90" s="453"/>
      <c r="AC90" s="471"/>
      <c r="AD90" s="455"/>
      <c r="AE90" s="476"/>
      <c r="AF90" s="269"/>
      <c r="AH90" s="270"/>
      <c r="AI90" s="109"/>
      <c r="AJ90" s="373"/>
      <c r="AK90" s="344"/>
      <c r="AL90" s="344"/>
      <c r="AM90" s="61"/>
      <c r="AN90" s="298"/>
      <c r="AP90" s="194"/>
      <c r="AQ90" s="61"/>
      <c r="AR90" s="61"/>
      <c r="AS90" s="81"/>
      <c r="AT90" s="344"/>
      <c r="AU90" s="61"/>
      <c r="AV90" s="298"/>
      <c r="AX90" s="270"/>
      <c r="AY90" s="109"/>
      <c r="AZ90" s="373"/>
      <c r="BA90" s="344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369"/>
      <c r="C91" s="326"/>
      <c r="D91" s="326"/>
      <c r="E91" s="370"/>
      <c r="F91" s="385"/>
      <c r="G91" s="326"/>
      <c r="H91" s="371"/>
      <c r="J91" s="380">
        <v>46178.0</v>
      </c>
      <c r="K91" s="294" t="s">
        <v>4320</v>
      </c>
      <c r="L91" s="294" t="s">
        <v>4321</v>
      </c>
      <c r="M91" s="396" t="s">
        <v>11</v>
      </c>
      <c r="N91" s="391" t="s">
        <v>2338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73"/>
      <c r="AA91" s="450"/>
      <c r="AB91" s="450"/>
      <c r="AC91" s="452"/>
      <c r="AD91" s="452"/>
      <c r="AE91" s="503"/>
      <c r="AF91" s="298"/>
      <c r="AH91" s="270"/>
      <c r="AI91" s="109"/>
      <c r="AJ91" s="373"/>
      <c r="AK91" s="344"/>
      <c r="AL91" s="344"/>
      <c r="AM91" s="61"/>
      <c r="AN91" s="298"/>
      <c r="AP91" s="194"/>
      <c r="AQ91" s="61"/>
      <c r="AR91" s="61"/>
      <c r="AS91" s="81"/>
      <c r="AT91" s="81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/>
      <c r="C92" s="326"/>
      <c r="D92" s="326"/>
      <c r="E92" s="370"/>
      <c r="F92" s="385"/>
      <c r="G92" s="326"/>
      <c r="H92" s="386"/>
      <c r="J92" s="382">
        <v>46178.0</v>
      </c>
      <c r="K92" s="273" t="s">
        <v>4322</v>
      </c>
      <c r="L92" s="273" t="s">
        <v>4323</v>
      </c>
      <c r="M92" s="504" t="s">
        <v>11</v>
      </c>
      <c r="N92" s="402" t="s">
        <v>2338</v>
      </c>
      <c r="O92" s="109" t="s">
        <v>4324</v>
      </c>
      <c r="P92" s="269"/>
      <c r="R92" s="270"/>
      <c r="S92" s="384"/>
      <c r="T92" s="109"/>
      <c r="U92" s="344"/>
      <c r="V92" s="344"/>
      <c r="W92" s="61"/>
      <c r="X92" s="298"/>
      <c r="Z92" s="470"/>
      <c r="AA92" s="453"/>
      <c r="AB92" s="453"/>
      <c r="AC92" s="471"/>
      <c r="AD92" s="455"/>
      <c r="AE92" s="476"/>
      <c r="AF92" s="269"/>
      <c r="AH92" s="270"/>
      <c r="AI92" s="109"/>
      <c r="AJ92" s="373"/>
      <c r="AK92" s="344"/>
      <c r="AL92" s="344"/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85"/>
      <c r="G93" s="195"/>
      <c r="H93" s="371"/>
      <c r="J93" s="382">
        <v>46178.0</v>
      </c>
      <c r="K93" s="430" t="s">
        <v>4325</v>
      </c>
      <c r="L93" s="430" t="s">
        <v>4326</v>
      </c>
      <c r="M93" s="505" t="s">
        <v>11</v>
      </c>
      <c r="N93" s="431" t="s">
        <v>2338</v>
      </c>
      <c r="O93" s="109" t="s">
        <v>4327</v>
      </c>
      <c r="P93" s="269" t="b">
        <v>1</v>
      </c>
      <c r="R93" s="270"/>
      <c r="S93" s="384"/>
      <c r="T93" s="109"/>
      <c r="U93" s="344"/>
      <c r="V93" s="344"/>
      <c r="W93" s="61"/>
      <c r="X93" s="298"/>
      <c r="Z93" s="473"/>
      <c r="AA93" s="450"/>
      <c r="AB93" s="460"/>
      <c r="AC93" s="452"/>
      <c r="AD93" s="452"/>
      <c r="AE93" s="503"/>
      <c r="AF93" s="298"/>
      <c r="AH93" s="270"/>
      <c r="AI93" s="109"/>
      <c r="AJ93" s="373"/>
      <c r="AK93" s="344"/>
      <c r="AL93" s="344"/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85"/>
      <c r="G94" s="326"/>
      <c r="H94" s="371"/>
      <c r="J94" s="506">
        <v>46181.0</v>
      </c>
      <c r="K94" s="507" t="s">
        <v>4328</v>
      </c>
      <c r="L94" s="507" t="s">
        <v>4329</v>
      </c>
      <c r="M94" s="508" t="s">
        <v>11</v>
      </c>
      <c r="N94" s="509" t="s">
        <v>28</v>
      </c>
      <c r="O94" s="507" t="s">
        <v>3972</v>
      </c>
      <c r="P94" s="510"/>
      <c r="R94" s="270"/>
      <c r="S94" s="384"/>
      <c r="T94" s="109"/>
      <c r="U94" s="344"/>
      <c r="V94" s="344"/>
      <c r="W94" s="61"/>
      <c r="X94" s="298"/>
      <c r="Z94" s="270"/>
      <c r="AA94" s="109"/>
      <c r="AB94" s="109"/>
      <c r="AC94" s="271"/>
      <c r="AD94" s="58"/>
      <c r="AE94" s="109"/>
      <c r="AF94" s="269"/>
      <c r="AH94" s="270"/>
      <c r="AI94" s="109"/>
      <c r="AJ94" s="373"/>
      <c r="AK94" s="344"/>
      <c r="AL94" s="344"/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85"/>
      <c r="G95" s="326"/>
      <c r="H95" s="371"/>
      <c r="J95" s="380">
        <v>46181.0</v>
      </c>
      <c r="K95" s="294" t="s">
        <v>4330</v>
      </c>
      <c r="L95" s="294" t="s">
        <v>4331</v>
      </c>
      <c r="M95" s="409" t="s">
        <v>21</v>
      </c>
      <c r="N95" s="391" t="s">
        <v>2338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/>
      <c r="AA95" s="109"/>
      <c r="AB95" s="109"/>
      <c r="AC95" s="58"/>
      <c r="AD95" s="58"/>
      <c r="AE95" s="61"/>
      <c r="AF95" s="269"/>
      <c r="AH95" s="270"/>
      <c r="AI95" s="109"/>
      <c r="AJ95" s="373"/>
      <c r="AK95" s="344"/>
      <c r="AL95" s="344"/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85"/>
      <c r="G96" s="326"/>
      <c r="H96" s="386"/>
      <c r="J96" s="382">
        <v>46181.0</v>
      </c>
      <c r="K96" s="394" t="s">
        <v>4332</v>
      </c>
      <c r="L96" s="273" t="s">
        <v>4333</v>
      </c>
      <c r="M96" s="395" t="s">
        <v>23</v>
      </c>
      <c r="N96" s="402" t="s">
        <v>2338</v>
      </c>
      <c r="O96" s="61"/>
      <c r="P96" s="269" t="b">
        <v>1</v>
      </c>
      <c r="R96" s="270"/>
      <c r="S96" s="109"/>
      <c r="T96" s="109"/>
      <c r="U96" s="344"/>
      <c r="V96" s="344"/>
      <c r="W96" s="61"/>
      <c r="X96" s="298"/>
      <c r="Z96" s="270"/>
      <c r="AA96" s="109"/>
      <c r="AB96" s="109"/>
      <c r="AC96" s="58"/>
      <c r="AD96" s="58"/>
      <c r="AE96" s="61"/>
      <c r="AF96" s="269"/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85"/>
      <c r="G97" s="326"/>
      <c r="H97" s="371"/>
      <c r="J97" s="380">
        <v>46181.0</v>
      </c>
      <c r="K97" s="294" t="s">
        <v>4334</v>
      </c>
      <c r="L97" s="294" t="s">
        <v>4335</v>
      </c>
      <c r="M97" s="409" t="s">
        <v>15</v>
      </c>
      <c r="N97" s="391" t="s">
        <v>2338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/>
      <c r="AA97" s="109"/>
      <c r="AB97" s="109"/>
      <c r="AC97" s="58"/>
      <c r="AD97" s="58"/>
      <c r="AE97" s="61"/>
      <c r="AF97" s="269"/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85"/>
      <c r="G98" s="326"/>
      <c r="H98" s="371"/>
      <c r="J98" s="382">
        <v>46181.0</v>
      </c>
      <c r="K98" s="273" t="s">
        <v>4336</v>
      </c>
      <c r="L98" s="273" t="s">
        <v>4337</v>
      </c>
      <c r="M98" s="395" t="s">
        <v>30</v>
      </c>
      <c r="N98" s="431" t="s">
        <v>2338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/>
      <c r="AA98" s="109"/>
      <c r="AB98" s="109"/>
      <c r="AC98" s="58"/>
      <c r="AD98" s="58"/>
      <c r="AE98" s="61"/>
      <c r="AF98" s="269"/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85"/>
      <c r="G99" s="326"/>
      <c r="H99" s="371"/>
      <c r="J99" s="380">
        <v>46181.0</v>
      </c>
      <c r="K99" s="294" t="s">
        <v>4338</v>
      </c>
      <c r="L99" s="294" t="s">
        <v>4339</v>
      </c>
      <c r="M99" s="409" t="s">
        <v>18</v>
      </c>
      <c r="N99" s="391" t="s">
        <v>2338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/>
      <c r="AA99" s="109"/>
      <c r="AB99" s="109"/>
      <c r="AC99" s="58"/>
      <c r="AD99" s="58"/>
      <c r="AE99" s="61"/>
      <c r="AF99" s="269"/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85"/>
      <c r="G100" s="326"/>
      <c r="H100" s="371"/>
      <c r="J100" s="382">
        <v>46181.0</v>
      </c>
      <c r="K100" s="273" t="s">
        <v>4340</v>
      </c>
      <c r="L100" s="273" t="s">
        <v>4341</v>
      </c>
      <c r="M100" s="395" t="s">
        <v>18</v>
      </c>
      <c r="N100" s="431" t="s">
        <v>2338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/>
      <c r="AA100" s="109"/>
      <c r="AB100" s="109"/>
      <c r="AC100" s="58"/>
      <c r="AD100" s="58"/>
      <c r="AE100" s="61"/>
      <c r="AF100" s="269"/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85"/>
      <c r="G101" s="195"/>
      <c r="H101" s="371"/>
      <c r="J101" s="380">
        <v>46181.0</v>
      </c>
      <c r="K101" s="294" t="s">
        <v>4342</v>
      </c>
      <c r="L101" s="294" t="s">
        <v>4343</v>
      </c>
      <c r="M101" s="409" t="s">
        <v>25</v>
      </c>
      <c r="N101" s="391" t="s">
        <v>2338</v>
      </c>
      <c r="O101" s="61"/>
      <c r="P101" s="269" t="b">
        <v>1</v>
      </c>
      <c r="R101" s="194"/>
      <c r="S101" s="61"/>
      <c r="T101" s="61"/>
      <c r="U101" s="81"/>
      <c r="V101" s="81"/>
      <c r="W101" s="61"/>
      <c r="X101" s="298"/>
      <c r="Z101" s="270"/>
      <c r="AA101" s="109"/>
      <c r="AB101" s="109"/>
      <c r="AC101" s="58"/>
      <c r="AD101" s="58"/>
      <c r="AE101" s="61"/>
      <c r="AF101" s="269"/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85"/>
      <c r="G102" s="326"/>
      <c r="H102" s="371"/>
      <c r="J102" s="270"/>
      <c r="K102" s="109"/>
      <c r="L102" s="109"/>
      <c r="M102" s="58"/>
      <c r="N102" s="58"/>
      <c r="O102" s="61"/>
      <c r="P102" s="269"/>
      <c r="R102" s="194"/>
      <c r="S102" s="61"/>
      <c r="T102" s="61"/>
      <c r="U102" s="81"/>
      <c r="V102" s="81"/>
      <c r="W102" s="61"/>
      <c r="X102" s="298"/>
      <c r="Z102" s="449"/>
      <c r="AA102" s="453"/>
      <c r="AB102" s="453"/>
      <c r="AC102" s="452"/>
      <c r="AD102" s="452"/>
      <c r="AE102" s="61"/>
      <c r="AF102" s="269"/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85"/>
      <c r="G103" s="326"/>
      <c r="H103" s="371"/>
      <c r="J103" s="270"/>
      <c r="K103" s="109"/>
      <c r="L103" s="109"/>
      <c r="M103" s="58"/>
      <c r="N103" s="58"/>
      <c r="O103" s="61"/>
      <c r="P103" s="269"/>
      <c r="R103" s="194"/>
      <c r="S103" s="61"/>
      <c r="T103" s="61"/>
      <c r="U103" s="81"/>
      <c r="V103" s="81"/>
      <c r="W103" s="61"/>
      <c r="X103" s="298"/>
      <c r="Z103" s="449"/>
      <c r="AA103" s="450"/>
      <c r="AB103" s="450"/>
      <c r="AC103" s="451"/>
      <c r="AD103" s="451"/>
      <c r="AE103" s="61"/>
      <c r="AF103" s="269"/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85"/>
      <c r="G104" s="326"/>
      <c r="H104" s="371"/>
      <c r="J104" s="270"/>
      <c r="K104" s="109"/>
      <c r="L104" s="109"/>
      <c r="M104" s="58"/>
      <c r="N104" s="58"/>
      <c r="O104" s="61"/>
      <c r="P104" s="269"/>
      <c r="R104" s="194"/>
      <c r="S104" s="61"/>
      <c r="T104" s="61"/>
      <c r="U104" s="81"/>
      <c r="V104" s="81"/>
      <c r="W104" s="61"/>
      <c r="X104" s="298"/>
      <c r="Z104" s="449"/>
      <c r="AA104" s="453"/>
      <c r="AB104" s="453"/>
      <c r="AC104" s="454"/>
      <c r="AD104" s="454"/>
      <c r="AE104" s="109"/>
      <c r="AF104" s="269"/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85"/>
      <c r="G105" s="195"/>
      <c r="H105" s="371"/>
      <c r="J105" s="270"/>
      <c r="K105" s="109"/>
      <c r="L105" s="297"/>
      <c r="M105" s="58"/>
      <c r="N105" s="58"/>
      <c r="O105" s="61"/>
      <c r="P105" s="269"/>
      <c r="R105" s="194"/>
      <c r="S105" s="61"/>
      <c r="T105" s="61"/>
      <c r="U105" s="81"/>
      <c r="V105" s="81"/>
      <c r="W105" s="61"/>
      <c r="X105" s="298"/>
      <c r="Z105" s="449"/>
      <c r="AA105" s="450"/>
      <c r="AB105" s="450"/>
      <c r="AC105" s="451"/>
      <c r="AD105" s="454"/>
      <c r="AE105" s="61"/>
      <c r="AF105" s="269"/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85"/>
      <c r="G106" s="195"/>
      <c r="H106" s="371"/>
      <c r="J106" s="270"/>
      <c r="K106" s="109"/>
      <c r="L106" s="109"/>
      <c r="M106" s="58"/>
      <c r="N106" s="58"/>
      <c r="O106" s="109"/>
      <c r="P106" s="269"/>
      <c r="R106" s="194"/>
      <c r="S106" s="61"/>
      <c r="T106" s="61"/>
      <c r="U106" s="81"/>
      <c r="V106" s="81"/>
      <c r="W106" s="61"/>
      <c r="X106" s="298"/>
      <c r="Z106" s="449"/>
      <c r="AA106" s="453"/>
      <c r="AB106" s="453"/>
      <c r="AC106" s="455"/>
      <c r="AD106" s="511"/>
      <c r="AE106" s="109"/>
      <c r="AF106" s="298"/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85"/>
      <c r="G107" s="195"/>
      <c r="H107" s="371"/>
      <c r="J107" s="270"/>
      <c r="K107" s="109"/>
      <c r="L107" s="109"/>
      <c r="M107" s="58"/>
      <c r="N107" s="58"/>
      <c r="O107" s="61"/>
      <c r="P107" s="269"/>
      <c r="R107" s="194"/>
      <c r="S107" s="61"/>
      <c r="T107" s="61"/>
      <c r="U107" s="81"/>
      <c r="V107" s="81"/>
      <c r="W107" s="61"/>
      <c r="X107" s="298"/>
      <c r="Z107" s="270"/>
      <c r="AA107" s="109"/>
      <c r="AB107" s="109"/>
      <c r="AC107" s="58"/>
      <c r="AD107" s="58"/>
      <c r="AE107" s="109"/>
      <c r="AF107" s="298"/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85"/>
      <c r="G108" s="195"/>
      <c r="H108" s="371"/>
      <c r="J108" s="369"/>
      <c r="K108" s="443"/>
      <c r="L108" s="326"/>
      <c r="M108" s="370"/>
      <c r="N108" s="370"/>
      <c r="O108" s="195"/>
      <c r="P108" s="371"/>
      <c r="R108" s="194"/>
      <c r="S108" s="61"/>
      <c r="T108" s="61"/>
      <c r="U108" s="81"/>
      <c r="V108" s="81"/>
      <c r="W108" s="61"/>
      <c r="X108" s="298"/>
      <c r="Z108" s="194"/>
      <c r="AA108" s="61"/>
      <c r="AB108" s="61"/>
      <c r="AC108" s="81"/>
      <c r="AD108" s="81"/>
      <c r="AE108" s="61"/>
      <c r="AF108" s="298"/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85"/>
      <c r="G109" s="195"/>
      <c r="H109" s="371"/>
      <c r="J109" s="369"/>
      <c r="K109" s="326"/>
      <c r="L109" s="326"/>
      <c r="M109" s="370"/>
      <c r="N109" s="370"/>
      <c r="O109" s="326"/>
      <c r="P109" s="386"/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85"/>
      <c r="G110" s="326"/>
      <c r="H110" s="371"/>
      <c r="J110" s="369"/>
      <c r="K110" s="109"/>
      <c r="L110" s="109"/>
      <c r="M110" s="58"/>
      <c r="N110" s="58"/>
      <c r="O110" s="61"/>
      <c r="P110" s="269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98"/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85"/>
      <c r="G111" s="326"/>
      <c r="H111" s="371"/>
      <c r="J111" s="270"/>
      <c r="K111" s="109"/>
      <c r="L111" s="109"/>
      <c r="M111" s="344"/>
      <c r="N111" s="344"/>
      <c r="O111" s="61"/>
      <c r="P111" s="298"/>
      <c r="R111" s="270"/>
      <c r="S111" s="109"/>
      <c r="T111" s="109"/>
      <c r="U111" s="58"/>
      <c r="V111" s="344"/>
      <c r="W111" s="61"/>
      <c r="X111" s="298"/>
      <c r="Z111" s="194"/>
      <c r="AA111" s="61"/>
      <c r="AB111" s="61"/>
      <c r="AC111" s="81"/>
      <c r="AD111" s="81"/>
      <c r="AE111" s="61"/>
      <c r="AF111" s="298"/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85"/>
      <c r="G112" s="195"/>
      <c r="H112" s="371"/>
      <c r="J112" s="194"/>
      <c r="K112" s="61"/>
      <c r="L112" s="61"/>
      <c r="M112" s="81"/>
      <c r="N112" s="81"/>
      <c r="O112" s="61"/>
      <c r="P112" s="298"/>
      <c r="R112" s="194"/>
      <c r="S112" s="61"/>
      <c r="T112" s="61"/>
      <c r="U112" s="81"/>
      <c r="V112" s="81"/>
      <c r="W112" s="61"/>
      <c r="X112" s="298"/>
      <c r="Z112" s="194"/>
      <c r="AA112" s="61"/>
      <c r="AB112" s="61"/>
      <c r="AC112" s="81"/>
      <c r="AD112" s="81"/>
      <c r="AE112" s="61"/>
      <c r="AF112" s="298"/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85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98"/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85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98"/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/>
      <c r="C115" s="326"/>
      <c r="D115" s="326"/>
      <c r="E115" s="370"/>
      <c r="F115" s="385"/>
      <c r="G115" s="195"/>
      <c r="H115" s="37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98"/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61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/>
      <c r="C116" s="326"/>
      <c r="D116" s="326"/>
      <c r="E116" s="370"/>
      <c r="F116" s="385"/>
      <c r="G116" s="195"/>
      <c r="H116" s="37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98"/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/>
      <c r="C117" s="326"/>
      <c r="D117" s="326"/>
      <c r="E117" s="370"/>
      <c r="F117" s="385"/>
      <c r="G117" s="195"/>
      <c r="H117" s="37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/>
      <c r="C118" s="326"/>
      <c r="D118" s="326"/>
      <c r="E118" s="370"/>
      <c r="F118" s="385"/>
      <c r="G118" s="195"/>
      <c r="H118" s="37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194"/>
      <c r="C119" s="61"/>
      <c r="D119" s="61"/>
      <c r="E119" s="81"/>
      <c r="F119" s="81"/>
      <c r="G119" s="61"/>
      <c r="H119" s="29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109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61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61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270"/>
      <c r="AI123" s="109"/>
      <c r="AJ123" s="373"/>
      <c r="AK123" s="344"/>
      <c r="AL123" s="344"/>
      <c r="AM123" s="61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270"/>
      <c r="AI124" s="109"/>
      <c r="AJ124" s="373"/>
      <c r="AK124" s="344"/>
      <c r="AL124" s="344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109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270"/>
      <c r="AI125" s="109"/>
      <c r="AJ125" s="373"/>
      <c r="AK125" s="344"/>
      <c r="AL125" s="344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444"/>
      <c r="C126" s="195"/>
      <c r="D126" s="195"/>
      <c r="E126" s="199"/>
      <c r="F126" s="199"/>
      <c r="G126" s="195"/>
      <c r="H126" s="386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270"/>
      <c r="AI126" s="109"/>
      <c r="AJ126" s="373"/>
      <c r="AK126" s="344"/>
      <c r="AL126" s="344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61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372"/>
      <c r="AI127" s="373"/>
      <c r="AJ127" s="373"/>
      <c r="AK127" s="445"/>
      <c r="AL127" s="445"/>
      <c r="AM127" s="375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194"/>
      <c r="AI128" s="61"/>
      <c r="AJ128" s="373"/>
      <c r="AK128" s="81"/>
      <c r="AL128" s="81"/>
      <c r="AM128" s="61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373"/>
      <c r="BA128" s="344"/>
      <c r="BB128" s="344"/>
      <c r="BC128" s="61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109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61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446"/>
      <c r="BA132" s="344"/>
      <c r="BB132" s="344"/>
      <c r="BC132" s="109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373"/>
      <c r="BA133" s="344"/>
      <c r="BB133" s="344"/>
      <c r="BC133" s="61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61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109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61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61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109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61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109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61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270"/>
      <c r="AY173" s="109"/>
      <c r="AZ173" s="373"/>
      <c r="BA173" s="344"/>
      <c r="BB173" s="344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270"/>
      <c r="AY174" s="109"/>
      <c r="AZ174" s="373"/>
      <c r="BA174" s="344"/>
      <c r="BB174" s="344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270"/>
      <c r="AY175" s="109"/>
      <c r="AZ175" s="373"/>
      <c r="BA175" s="344"/>
      <c r="BB175" s="344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270"/>
      <c r="AY176" s="109"/>
      <c r="AZ176" s="373"/>
      <c r="BA176" s="344"/>
      <c r="BB176" s="344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194"/>
      <c r="AY177" s="61"/>
      <c r="AZ177" s="373"/>
      <c r="BA177" s="81"/>
      <c r="BB177" s="81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86"/>
      <c r="J179" s="194"/>
      <c r="K179" s="61"/>
      <c r="L179" s="61"/>
      <c r="M179" s="81"/>
      <c r="N179" s="81"/>
      <c r="O179" s="61"/>
      <c r="P179" s="298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98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86"/>
      <c r="J180" s="194"/>
      <c r="K180" s="61"/>
      <c r="L180" s="61"/>
      <c r="M180" s="81"/>
      <c r="N180" s="81"/>
      <c r="O180" s="61"/>
      <c r="P180" s="298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98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86"/>
      <c r="J181" s="194"/>
      <c r="K181" s="61"/>
      <c r="L181" s="61"/>
      <c r="M181" s="81"/>
      <c r="N181" s="81"/>
      <c r="O181" s="61"/>
      <c r="P181" s="298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98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86"/>
      <c r="J182" s="194"/>
      <c r="K182" s="61"/>
      <c r="L182" s="61"/>
      <c r="M182" s="81"/>
      <c r="N182" s="81"/>
      <c r="O182" s="61"/>
      <c r="P182" s="298"/>
      <c r="R182" s="194"/>
      <c r="S182" s="61"/>
      <c r="T182" s="61"/>
      <c r="U182" s="81"/>
      <c r="V182" s="81"/>
      <c r="W182" s="61"/>
      <c r="X182" s="269"/>
      <c r="Z182" s="194"/>
      <c r="AA182" s="61"/>
      <c r="AB182" s="61"/>
      <c r="AC182" s="81"/>
      <c r="AD182" s="81"/>
      <c r="AE182" s="61"/>
      <c r="AF182" s="298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69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98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98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98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98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69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/>
      <c r="J238" s="194"/>
      <c r="K238" s="61"/>
      <c r="L238" s="61"/>
      <c r="M238" s="81"/>
      <c r="N238" s="81"/>
      <c r="O238" s="61"/>
      <c r="P238" s="269"/>
      <c r="R238" s="194"/>
      <c r="S238" s="61"/>
      <c r="T238" s="61"/>
      <c r="U238" s="81"/>
      <c r="V238" s="81"/>
      <c r="W238" s="61"/>
      <c r="X238" s="269"/>
      <c r="Z238" s="194"/>
      <c r="AA238" s="61"/>
      <c r="AB238" s="61"/>
      <c r="AC238" s="81"/>
      <c r="AD238" s="81"/>
      <c r="AE238" s="61"/>
      <c r="AF238" s="269"/>
      <c r="AH238" s="194"/>
      <c r="AI238" s="61"/>
      <c r="AJ238" s="373"/>
      <c r="AK238" s="81"/>
      <c r="AL238" s="81"/>
      <c r="AM238" s="61"/>
      <c r="AN238" s="298"/>
      <c r="AP238" s="194"/>
      <c r="AQ238" s="61"/>
      <c r="AR238" s="61"/>
      <c r="AS238" s="81"/>
      <c r="AT238" s="81"/>
      <c r="AU238" s="61"/>
      <c r="AV238" s="298"/>
      <c r="AX238" s="194"/>
      <c r="AY238" s="61"/>
      <c r="AZ238" s="373"/>
      <c r="BA238" s="81"/>
      <c r="BB238" s="81"/>
      <c r="BC238" s="61"/>
      <c r="BD238" s="269"/>
      <c r="BF238" s="194"/>
      <c r="BG238" s="61"/>
      <c r="BH238" s="61"/>
      <c r="BI238" s="81"/>
      <c r="BJ238" s="81"/>
      <c r="BK238" s="61"/>
      <c r="BL238" s="269"/>
    </row>
    <row r="239" ht="22.5" customHeight="1">
      <c r="A239" s="368"/>
      <c r="B239" s="444"/>
      <c r="C239" s="195"/>
      <c r="D239" s="195"/>
      <c r="E239" s="199"/>
      <c r="F239" s="199"/>
      <c r="G239" s="195"/>
      <c r="H239" s="371"/>
      <c r="J239" s="194"/>
      <c r="K239" s="61"/>
      <c r="L239" s="61"/>
      <c r="M239" s="81"/>
      <c r="N239" s="81"/>
      <c r="O239" s="61"/>
      <c r="P239" s="269"/>
      <c r="R239" s="194"/>
      <c r="S239" s="61"/>
      <c r="T239" s="61"/>
      <c r="U239" s="81"/>
      <c r="V239" s="81"/>
      <c r="W239" s="61"/>
      <c r="X239" s="269"/>
      <c r="Z239" s="194"/>
      <c r="AA239" s="61"/>
      <c r="AB239" s="61"/>
      <c r="AC239" s="81"/>
      <c r="AD239" s="81"/>
      <c r="AE239" s="61"/>
      <c r="AF239" s="269"/>
      <c r="AH239" s="194"/>
      <c r="AI239" s="61"/>
      <c r="AJ239" s="373"/>
      <c r="AK239" s="81"/>
      <c r="AL239" s="81"/>
      <c r="AM239" s="61"/>
      <c r="AN239" s="298"/>
      <c r="AP239" s="194"/>
      <c r="AQ239" s="61"/>
      <c r="AR239" s="61"/>
      <c r="AS239" s="81"/>
      <c r="AT239" s="81"/>
      <c r="AU239" s="61"/>
      <c r="AV239" s="298"/>
      <c r="AX239" s="194"/>
      <c r="AY239" s="61"/>
      <c r="AZ239" s="373"/>
      <c r="BA239" s="81"/>
      <c r="BB239" s="81"/>
      <c r="BC239" s="61"/>
      <c r="BD239" s="269"/>
      <c r="BF239" s="194"/>
      <c r="BG239" s="61"/>
      <c r="BH239" s="61"/>
      <c r="BI239" s="81"/>
      <c r="BJ239" s="81"/>
      <c r="BK239" s="61"/>
      <c r="BL239" s="269"/>
    </row>
    <row r="240" ht="22.5" customHeight="1">
      <c r="A240" s="368"/>
      <c r="B240" s="444"/>
      <c r="C240" s="195"/>
      <c r="D240" s="195"/>
      <c r="E240" s="199"/>
      <c r="F240" s="199"/>
      <c r="G240" s="195"/>
      <c r="H240" s="371"/>
      <c r="J240" s="194"/>
      <c r="K240" s="61"/>
      <c r="L240" s="61"/>
      <c r="M240" s="81"/>
      <c r="N240" s="81"/>
      <c r="O240" s="61"/>
      <c r="P240" s="269"/>
      <c r="R240" s="194"/>
      <c r="S240" s="61"/>
      <c r="T240" s="61"/>
      <c r="U240" s="81"/>
      <c r="V240" s="81"/>
      <c r="W240" s="61"/>
      <c r="X240" s="269"/>
      <c r="Z240" s="194"/>
      <c r="AA240" s="61"/>
      <c r="AB240" s="61"/>
      <c r="AC240" s="81"/>
      <c r="AD240" s="81"/>
      <c r="AE240" s="61"/>
      <c r="AF240" s="269"/>
      <c r="AH240" s="194"/>
      <c r="AI240" s="61"/>
      <c r="AJ240" s="373"/>
      <c r="AK240" s="81"/>
      <c r="AL240" s="81"/>
      <c r="AM240" s="61"/>
      <c r="AN240" s="298"/>
      <c r="AP240" s="194"/>
      <c r="AQ240" s="61"/>
      <c r="AR240" s="61"/>
      <c r="AS240" s="81"/>
      <c r="AT240" s="81"/>
      <c r="AU240" s="61"/>
      <c r="AV240" s="298"/>
      <c r="AX240" s="194"/>
      <c r="AY240" s="61"/>
      <c r="AZ240" s="373"/>
      <c r="BA240" s="81"/>
      <c r="BB240" s="81"/>
      <c r="BC240" s="61"/>
      <c r="BD240" s="269"/>
      <c r="BF240" s="194"/>
      <c r="BG240" s="61"/>
      <c r="BH240" s="61"/>
      <c r="BI240" s="81"/>
      <c r="BJ240" s="81"/>
      <c r="BK240" s="61"/>
      <c r="BL240" s="269"/>
    </row>
    <row r="241" ht="22.5" customHeight="1">
      <c r="A241" s="368"/>
      <c r="B241" s="444"/>
      <c r="C241" s="195"/>
      <c r="D241" s="195"/>
      <c r="E241" s="199"/>
      <c r="F241" s="199"/>
      <c r="G241" s="195"/>
      <c r="H241" s="371"/>
      <c r="J241" s="194"/>
      <c r="K241" s="61"/>
      <c r="L241" s="61"/>
      <c r="M241" s="81"/>
      <c r="N241" s="81"/>
      <c r="O241" s="61"/>
      <c r="P241" s="269"/>
      <c r="R241" s="194"/>
      <c r="S241" s="61"/>
      <c r="T241" s="61"/>
      <c r="U241" s="81"/>
      <c r="V241" s="81"/>
      <c r="W241" s="61"/>
      <c r="X241" s="269"/>
      <c r="Z241" s="194"/>
      <c r="AA241" s="61"/>
      <c r="AB241" s="61"/>
      <c r="AC241" s="81"/>
      <c r="AD241" s="81"/>
      <c r="AE241" s="61"/>
      <c r="AF241" s="269"/>
      <c r="AH241" s="194"/>
      <c r="AI241" s="61"/>
      <c r="AJ241" s="373"/>
      <c r="AK241" s="81"/>
      <c r="AL241" s="81"/>
      <c r="AM241" s="61"/>
      <c r="AN241" s="298"/>
      <c r="AP241" s="194"/>
      <c r="AQ241" s="61"/>
      <c r="AR241" s="61"/>
      <c r="AS241" s="81"/>
      <c r="AT241" s="81"/>
      <c r="AU241" s="61"/>
      <c r="AV241" s="298"/>
      <c r="AX241" s="194"/>
      <c r="AY241" s="61"/>
      <c r="AZ241" s="373"/>
      <c r="BA241" s="81"/>
      <c r="BB241" s="81"/>
      <c r="BC241" s="61"/>
      <c r="BD241" s="269"/>
      <c r="BF241" s="194"/>
      <c r="BG241" s="61"/>
      <c r="BH241" s="61"/>
      <c r="BI241" s="81"/>
      <c r="BJ241" s="81"/>
      <c r="BK241" s="61"/>
      <c r="BL241" s="269"/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315"/>
      <c r="AO242" s="258"/>
      <c r="AP242" s="346"/>
      <c r="AQ242" s="300"/>
      <c r="AR242" s="300"/>
      <c r="AS242" s="345"/>
      <c r="AT242" s="345"/>
      <c r="AU242" s="300"/>
      <c r="AV242" s="313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90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90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AX982" s="351"/>
      <c r="AY982" s="351"/>
      <c r="AZ982" s="351"/>
      <c r="BA982" s="351"/>
      <c r="BB982" s="351"/>
      <c r="BC982" s="351"/>
      <c r="BD982" s="351"/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46"/>
      <c r="AQ994" s="300"/>
      <c r="AR994" s="300"/>
      <c r="AS994" s="345"/>
      <c r="AT994" s="345"/>
      <c r="AU994" s="300"/>
      <c r="AV994" s="313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46"/>
      <c r="AQ995" s="300"/>
      <c r="AR995" s="300"/>
      <c r="AS995" s="345"/>
      <c r="AT995" s="345"/>
      <c r="AU995" s="300"/>
      <c r="AV995" s="313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315"/>
      <c r="AO996" s="258"/>
      <c r="AP996" s="346"/>
      <c r="AQ996" s="300"/>
      <c r="AR996" s="300"/>
      <c r="AS996" s="345"/>
      <c r="AT996" s="345"/>
      <c r="AU996" s="300"/>
      <c r="AV996" s="313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315"/>
      <c r="AO997" s="258"/>
      <c r="AP997" s="346"/>
      <c r="AQ997" s="300"/>
      <c r="AR997" s="300"/>
      <c r="AS997" s="345"/>
      <c r="AT997" s="345"/>
      <c r="AU997" s="300"/>
      <c r="AV997" s="313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353"/>
      <c r="S998" s="213"/>
      <c r="T998" s="213"/>
      <c r="U998" s="354"/>
      <c r="V998" s="354"/>
      <c r="W998" s="213"/>
      <c r="X998" s="355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315"/>
      <c r="AO998" s="258"/>
      <c r="AP998" s="352"/>
      <c r="AQ998" s="352"/>
      <c r="AR998" s="352"/>
      <c r="AS998" s="352"/>
      <c r="AT998" s="352"/>
      <c r="AU998" s="352"/>
      <c r="AV998" s="352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59"/>
      <c r="S999" s="59"/>
      <c r="T999" s="59"/>
      <c r="U999" s="59"/>
      <c r="V999" s="59"/>
      <c r="W999" s="59"/>
      <c r="X999" s="59"/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315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AH1000" s="351"/>
      <c r="AI1000" s="351"/>
      <c r="AJ1000" s="351"/>
      <c r="AK1000" s="351"/>
      <c r="AL1000" s="351"/>
      <c r="AM1000" s="351"/>
      <c r="AN1000" s="35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W1002" s="258"/>
      <c r="BE1002" s="258"/>
    </row>
    <row r="1003" ht="22.5" customHeight="1">
      <c r="A1003" s="368"/>
      <c r="B1003" s="512"/>
      <c r="C1003" s="513" t="s">
        <v>3164</v>
      </c>
      <c r="D1003" s="109" t="s">
        <v>3165</v>
      </c>
      <c r="E1003" s="514" t="s">
        <v>13</v>
      </c>
      <c r="F1003" s="514" t="s">
        <v>2347</v>
      </c>
      <c r="G1003" s="515"/>
      <c r="H1003" s="516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O1003" s="258"/>
      <c r="AW1003" s="258"/>
      <c r="BE1003" s="258"/>
    </row>
    <row r="1004" ht="22.5" customHeight="1">
      <c r="A1004" s="368"/>
      <c r="B1004" s="512"/>
      <c r="C1004" s="109" t="s">
        <v>4344</v>
      </c>
      <c r="D1004" s="109" t="s">
        <v>4345</v>
      </c>
      <c r="E1004" s="514" t="s">
        <v>22</v>
      </c>
      <c r="F1004" s="514" t="s">
        <v>2347</v>
      </c>
      <c r="G1004" s="515"/>
      <c r="H1004" s="516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512"/>
      <c r="C1005" s="109" t="s">
        <v>4346</v>
      </c>
      <c r="D1005" s="109" t="s">
        <v>4347</v>
      </c>
      <c r="E1005" s="514" t="s">
        <v>22</v>
      </c>
      <c r="F1005" s="514" t="s">
        <v>2347</v>
      </c>
      <c r="G1005" s="515"/>
      <c r="H1005" s="516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512"/>
      <c r="C1006" s="109" t="s">
        <v>4348</v>
      </c>
      <c r="D1006" s="109" t="s">
        <v>4349</v>
      </c>
      <c r="E1006" s="514" t="s">
        <v>22</v>
      </c>
      <c r="F1006" s="514" t="s">
        <v>2347</v>
      </c>
      <c r="G1006" s="515"/>
      <c r="H1006" s="516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512"/>
      <c r="C1007" s="109"/>
      <c r="D1007" s="109"/>
      <c r="E1007" s="514"/>
      <c r="F1007" s="514"/>
      <c r="G1007" s="515"/>
      <c r="H1007" s="516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512"/>
      <c r="C1008" s="109"/>
      <c r="D1008" s="109"/>
      <c r="E1008" s="514"/>
      <c r="F1008" s="514"/>
      <c r="G1008" s="515"/>
      <c r="H1008" s="516" t="b">
        <v>0</v>
      </c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368"/>
      <c r="B1011" s="447"/>
      <c r="C1011" s="447"/>
      <c r="D1011" s="447"/>
      <c r="E1011" s="447"/>
      <c r="F1011" s="447"/>
      <c r="G1011" s="447"/>
      <c r="H1011" s="447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368"/>
      <c r="B1012" s="447"/>
      <c r="C1012" s="447"/>
      <c r="D1012" s="447"/>
      <c r="E1012" s="447"/>
      <c r="F1012" s="447"/>
      <c r="G1012" s="447"/>
      <c r="H1012" s="447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368"/>
      <c r="B1013" s="447"/>
      <c r="C1013" s="447"/>
      <c r="D1013" s="447"/>
      <c r="E1013" s="447"/>
      <c r="F1013" s="447"/>
      <c r="G1013" s="447"/>
      <c r="H1013" s="447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</sheetData>
  <conditionalFormatting sqref="K2:K22">
    <cfRule type="expression" dxfId="12" priority="1">
      <formula>COUNTIF(#REF!, K2)&gt;1</formula>
    </cfRule>
  </conditionalFormatting>
  <conditionalFormatting sqref="L2:L22">
    <cfRule type="expression" dxfId="12" priority="2">
      <formula>COUNTIF(#REF!, L2)&gt;1</formula>
    </cfRule>
  </conditionalFormatting>
  <conditionalFormatting sqref="K108:K109">
    <cfRule type="expression" dxfId="12" priority="3">
      <formula>COUNTIF(C:C, K108)&gt;1</formula>
    </cfRule>
  </conditionalFormatting>
  <conditionalFormatting sqref="L108:L109">
    <cfRule type="expression" dxfId="12" priority="4">
      <formula>COUNTIF(D:D, L108)&gt;1</formula>
    </cfRule>
  </conditionalFormatting>
  <conditionalFormatting sqref="K54">
    <cfRule type="expression" dxfId="12" priority="5">
      <formula>COUNTIF(#REF!, K54)&gt;1</formula>
    </cfRule>
  </conditionalFormatting>
  <conditionalFormatting sqref="L54">
    <cfRule type="expression" dxfId="12" priority="6">
      <formula>COUNTIF(#REF!, L54)&gt;1</formula>
    </cfRule>
  </conditionalFormatting>
  <conditionalFormatting sqref="D23:D83">
    <cfRule type="expression" dxfId="12" priority="7">
      <formula>COUNTIF(#REF!, D23)&gt;1</formula>
    </cfRule>
  </conditionalFormatting>
  <conditionalFormatting sqref="D23:D83">
    <cfRule type="expression" dxfId="12" priority="8">
      <formula>COUNTIF(#REF!, D23)&gt;1</formula>
    </cfRule>
  </conditionalFormatting>
  <conditionalFormatting sqref="D2:D22">
    <cfRule type="expression" dxfId="12" priority="9">
      <formula>COUNTIF(#REF!, D2)&gt;1</formula>
    </cfRule>
  </conditionalFormatting>
  <conditionalFormatting sqref="D2:D22">
    <cfRule type="expression" dxfId="12" priority="10">
      <formula>COUNTIF(#REF!, D2)&gt;1</formula>
    </cfRule>
  </conditionalFormatting>
  <conditionalFormatting sqref="AI127">
    <cfRule type="expression" dxfId="12" priority="11">
      <formula>COUNTIF(AY:AY, AI127)&gt;1</formula>
    </cfRule>
  </conditionalFormatting>
  <conditionalFormatting sqref="C90">
    <cfRule type="expression" dxfId="12" priority="12">
      <formula>COUNTIF(S:S, C90)&gt;1</formula>
    </cfRule>
  </conditionalFormatting>
  <conditionalFormatting sqref="D90">
    <cfRule type="expression" dxfId="12" priority="13">
      <formula>COUNTIF(T:T, D90)&gt;1</formula>
    </cfRule>
  </conditionalFormatting>
  <conditionalFormatting sqref="K1 K23:K53 K55:K107 K110:K1013">
    <cfRule type="expression" dxfId="12" priority="14">
      <formula>COUNTIF(K:K, K1)&gt;1</formula>
    </cfRule>
  </conditionalFormatting>
  <conditionalFormatting sqref="L1 L23:L53 L55:L107 L110:L1013">
    <cfRule type="expression" dxfId="12" priority="15">
      <formula>COUNTIF(L:L, L1)&gt;1</formula>
    </cfRule>
  </conditionalFormatting>
  <conditionalFormatting sqref="S1 S8:S1013 AY14 AI15">
    <cfRule type="expression" dxfId="12" priority="16">
      <formula>COUNTIF(S:S, S1)&gt;1</formula>
    </cfRule>
  </conditionalFormatting>
  <conditionalFormatting sqref="T1 AJ1:AJ1013 AZ1:AZ1013 T8:T1013 AS11">
    <cfRule type="expression" dxfId="12" priority="17">
      <formula>COUNTIF(T:T, T1)&gt;1</formula>
    </cfRule>
  </conditionalFormatting>
  <conditionalFormatting sqref="AA1:AA1013 AQ1:AQ1013 BG1:BG1013 BH2 AY10 AR11">
    <cfRule type="expression" dxfId="12" priority="18">
      <formula>COUNTIF(AA:AA, AA1)&gt;1</formula>
    </cfRule>
  </conditionalFormatting>
  <conditionalFormatting sqref="AB1:AB1013 AR1:AR1013 BH1:BH1013 AZ10 AS11 AA32">
    <cfRule type="expression" dxfId="12" priority="19">
      <formula>COUNTIF(AB:AB, AB1)&gt;1</formula>
    </cfRule>
  </conditionalFormatting>
  <conditionalFormatting sqref="C1 S2:S7 AI2:AI4 AY2:AY4 C84:C89 C91:C124 C126:C1013">
    <cfRule type="expression" dxfId="12" priority="20">
      <formula>COUNTIF(C:C, C1)&gt;1</formula>
    </cfRule>
  </conditionalFormatting>
  <conditionalFormatting sqref="D1 T2:T7 AJ2:AJ362 AZ2:AZ368 AS11 D84:D89 D91:D124 D126:D1013">
    <cfRule type="expression" dxfId="12" priority="21">
      <formula>COUNTIF(D:D, D1)&gt;1</formula>
    </cfRule>
  </conditionalFormatting>
  <dataValidations>
    <dataValidation type="list" allowBlank="1" sqref="N2:N1013">
      <formula1>"Luis,Jesus,Clara,Noel,Daniela,Mariadelaida,Eduardo,Edvaldo,Alexis,Diana,Enrique,Rafael,Francisco"</formula1>
    </dataValidation>
    <dataValidation type="list" allowBlank="1" sqref="AD2:AD999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7 AT2:AT997">
      <formula1>"Luis,Jesus,Clara,Noel,Daniela,Mariadelaida,Eduardo,Edvaldo,Alexis,Francisco,Enrique,Rafael,Aegis"</formula1>
    </dataValidation>
    <dataValidation allowBlank="1" showDropDown="1" sqref="AY2:AZ981 BC2:BC981 BG2:BH997 BK2:BK997 AQ2:AR997 AU2:AU997 S2:T998 W2:W998 AA2:AB999 AE2:AE999 AI2:AJ999 AM2:AM999 C2:D1008 G2:G1008 K2:L1013 O2:O1013"/>
    <dataValidation type="list" allowBlank="1" sqref="BI2:BI997 AS2:AS997 AC2:AC999 M2:M1013">
      <formula1>"Argentina,Colombia,Ecuador,Chile,Paraguay,Uruguay,Peru,Bolivia"</formula1>
    </dataValidation>
    <dataValidation type="list" allowBlank="1" sqref="U2:U998">
      <formula1>"Mexico,Costa Rica,Panama,Belize,Dominican Republic,Nicaragua,El Salvador,Guatemala,Honduras,Aegis"</formula1>
    </dataValidation>
    <dataValidation type="list" allowBlank="1" sqref="F2:F1008">
      <formula1>"Luis,Jesus,Clara,Noel,Daniela,Mariadelaida,Eduardo,Alexis,Diana,Enrique,Rafael,Francisco,Antonella,Maria Celeste"</formula1>
    </dataValidation>
    <dataValidation type="list" allowBlank="1" sqref="AL2:AL999">
      <formula1>"Luis,Jesus,Clara,Noel,Daniela,Mariadelaida,Eduardo,Alexis,Diana,Francisco,Enrique,Rafael,Aegis,Maria Celeste"</formula1>
    </dataValidation>
    <dataValidation type="list" allowBlank="1" sqref="BA2:BA981 AK2:AK999 E2:E1008">
      <formula1>"Mexico,Costa Rica,Panama,Belize,Dominican Republic,Nicaragua,El Salvador,Guatemala,Honduras"</formula1>
    </dataValidation>
    <dataValidation type="list" allowBlank="1" sqref="V2:V998">
      <formula1>"Luis,Jesus,Clara,Noel,Daniela,Mariadelaida,Eduardo,Alexis,Diana,Enrique,Rafael,Francisco,Aegis/Clara,Aegis/Noel,Aegis/Luis,Aegis/Jesus,Aegis/Mariadelaida,Aegis/Daniela,Aegis/Enrique,Aegis/Rafael,Aegis/Franciso,Aegis/Alexis,Aegis/Jesus,Aegis/Diana,Maria Ce"&amp;"leste"</formula1>
    </dataValidation>
    <dataValidation type="custom" allowBlank="1" showDropDown="1" sqref="AX2:AX981 BF2:BF997 AP2:AP997 R2:R998 Z2:Z999 AH2:AH999 B2:B1008 J2:J1013">
      <formula1>OR(NOT(ISERROR(DATEVALUE(B2))), AND(ISNUMBER(B2), LEFT(CELL("format", B2))="D"))</formula1>
    </dataValidation>
    <dataValidation type="list" allowBlank="1" sqref="BB2:BB981">
      <formula1>"Luis,Jesus,Clara,Noel,Daniela,Mariadelaida,Eduardo,Alexis,Diana,Francisco,Enrique,Rafael,Aegis"</formula1>
    </dataValidation>
  </dataValidations>
  <hyperlinks>
    <hyperlink r:id="rId2" ref="L4"/>
  </hyperlinks>
  <drawing r:id="rId3"/>
  <legacy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