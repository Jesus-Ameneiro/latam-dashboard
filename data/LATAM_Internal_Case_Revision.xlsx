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  <definedName hidden="1" localSheetId="7" name="_xlnm._FilterDatabase">June!$R$1:$X$999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tc={1e0c9c51-63af-414e-a617-380a278f6612}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1e0c9c51-63af-414e-a617-380a278f6612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<sst xmlns="http://schemas.openxmlformats.org/spreadsheetml/2006/main" count="9888" uniqueCount="4467">
  <si>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</si>
  <si>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</si>
  <si>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</si>
  <si>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</si>
  <si>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</si>
  <si>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</si>
  <si>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</si>
  <si>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</si>
  <si>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</si>
  <si>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</si>
  <si>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</si>
  <si>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</si>
  <si>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</si>
  <si>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</si>
  <si>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</si>
  <si>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</si>
  <si>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</si>
  <si>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</si>
  <si>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</si>
  <si>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</si>
  <si>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</si>
  <si>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</si>
  <si>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</si>
  <si>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</si>
  <si>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</si>
  <si>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</si>
  <si>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</si>
  <si>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</si>
  <si>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</si>
  <si>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</si>
  <si>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</si>
  <si>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</si>
  <si>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</si>
  <si>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</si>
  <si>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</si>
  <si>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</si>
  <si>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</si>
  <si>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</si>
  <si>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</si>
  <si>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</si>
  <si>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</si>
  <si>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</si>
  <si>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</si>
  <si>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</si>
  <si>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</si>
  <si>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</si>
  <si>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</si>
  <si>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</si>
  <si>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</si>
  <si>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</si>
  <si>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</si>
  <si>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</si>
  <si>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</si>
  <si>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</si>
  <si>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</si>
  <si>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</si>
  <si>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</si>
  <si>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</si>
  <si>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</si>
  <si>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</si>
  <si>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</si>
  <si>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</si>
  <si>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</si>
  <si>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</si>
  <si>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</si>
  <si>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</si>
  <si>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</si>
  <si>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</si>
  <si>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</si>
  <si>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</si>
  <si>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</si>
  <si>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</si>
  <si>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</si>
  <si>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</si>
  <si>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</si>
  <si>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</si>
  <si>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</si>
  <si>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</si>
  <si>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</si>
  <si>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</si>
  <si>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</si>
  <si>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</si>
  <si>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</si>
  <si>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</si>
  <si>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</si>
  <si>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</si>
  <si>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</si>
  <si>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</si>
  <si>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</si>
  <si>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</si>
  <si>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</si>
  <si>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</si>
  <si>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</si>
  <si>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</si>
  <si>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</si>
  <si>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</si>
  <si>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</si>
  <si>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</si>
  <si>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</si>
  <si>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</si>
  <si>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</si>
  <si>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</si>
  <si>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</si>
  <si>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</si>
  <si>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</si>
  <si>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</si>
  <si>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</si>
  <si>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</si>
  <si>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</si>
  <si>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</si>
  <si>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</si>
  <si>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</si>
  <si>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</si>
  <si>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</si>
  <si>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</si>
  <si>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</si>
  <si>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</si>
  <si>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</si>
  <si>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</si>
  <si>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</si>
  <si>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</si>
  <si>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</si>
  <si>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</si>
  <si>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</si>
  <si>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</si>
  <si>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</si>
  <si>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</si>
  <si>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</si>
  <si>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</si>
  <si>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</si>
  <si>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</si>
  <si>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</si>
  <si>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</si>
  <si>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</si>
  <si>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</si>
  <si>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</si>
  <si>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</si>
  <si>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</si>
  <si>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</si>
  <si>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</si>
  <si>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</si>
  <si>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</si>
  <si>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</si>
  <si>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</si>
  <si>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</si>
  <si>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</si>
  <si>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</si>
  <si>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</si>
  <si>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</si>
  <si>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</si>
  <si>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</si>
  <si>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</si>
  <si>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</si>
  <si>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</si>
  <si>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</si>
  <si>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</si>
  <si>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</si>
  <si>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</si>
  <si>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</si>
  <si>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</si>
  <si>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</si>
  <si>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</si>
  <si>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</si>
  <si>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</si>
  <si>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</si>
  <si>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</si>
  <si>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</si>
  <si>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</si>
  <si>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</si>
  <si>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</si>
  <si>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</si>
  <si>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</si>
  <si>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</si>
  <si>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</si>
  <si>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</si>
  <si>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</si>
  <si>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</si>
  <si>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</si>
  <si>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</si>
  <si>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</si>
  <si>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</si>
  <si>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</si>
  <si>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</si>
  <si>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</si>
  <si>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</si>
  <si>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</si>
  <si>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</si>
  <si>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</si>
  <si>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</si>
  <si>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</si>
  <si>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</si>
  <si>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</si>
  <si>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</si>
  <si>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</si>
  <si>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</si>
  <si>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</si>
  <si>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</si>
  <si>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</si>
  <si>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</si>
  <si>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</si>
  <si>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</si>
  <si>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</si>
  <si>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</si>
  <si>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</si>
  <si>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</si>
  <si>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</si>
  <si>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</si>
  <si>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</si>
  <si>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</si>
  <si>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</si>
  <si>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</si>
  <si>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</si>
  <si>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</si>
  <si>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</si>
  <si>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</si>
  <si>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</si>
  <si>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</si>
  <si>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</si>
  <si>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</si>
  <si>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</si>
  <si>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</si>
  <si>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</si>
  <si>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</si>
  <si>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</si>
  <si>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</si>
  <si>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</si>
  <si>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</si>
  <si>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</si>
  <si>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</si>
  <si>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</si>
  <si>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</si>
  <si>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</si>
  <si>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</si>
  <si>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</si>
  <si>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</si>
  <si>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</si>
  <si>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</si>
  <si>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</si>
  <si>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</si>
  <si>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</si>
  <si>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</si>
  <si>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</si>
  <si>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</si>
  <si>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</si>
  <si>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</si>
  <si>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</si>
  <si>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</si>
  <si>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</si>
  <si>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</si>
  <si>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</si>
  <si>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</si>
  <si>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</si>
  <si>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</si>
  <si>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</si>
  <si>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</si>
  <si>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</si>
  <si>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</si>
  <si>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</si>
  <si>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</si>
  <si>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</si>
  <si>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</si>
  <si>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</si>
  <si>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</si>
  <si>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</si>
  <si>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</si>
  <si>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</si>
  <si>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</si>
  <si>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</si>
  <si>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</si>
  <si>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</si>
  <si>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</si>
  <si>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</si>
  <si>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</si>
  <si>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</si>
  <si>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</si>
  <si>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</si>
  <si>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</si>
  <si>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</si>
  <si>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</si>
  <si>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</si>
  <si>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</si>
  <si>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</si>
  <si>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</si>
  <si>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</si>
  <si>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</si>
  <si>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</si>
  <si>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</si>
  <si>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</si>
  <si>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</si>
  <si>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</si>
  <si>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</si>
  <si>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</si>
  <si>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</si>
  <si>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</si>
  <si>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</si>
  <si>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</si>
  <si>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</si>
  <si>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</si>
  <si>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</si>
  <si>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</si>
  <si>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</si>
  <si>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</si>
  <si>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</si>
  <si>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</si>
  <si>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</si>
  <si>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</si>
  <si>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</si>
  <si>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</si>
  <si>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</si>
  <si>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</si>
  <si>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</si>
  <si>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</si>
  <si>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</si>
  <si>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</si>
  <si>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</si>
  <si>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</si>
  <si>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</si>
  <si>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</si>
  <si>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</si>
  <si>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</si>
  <si>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</si>
  <si>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</si>
  <si>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</si>
  <si>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</si>
  <si>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</si>
  <si>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</si>
  <si>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</si>
  <si>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</si>
  <si>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</si>
  <si>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</si>
  <si>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</si>
  <si>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</si>
  <si>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</si>
  <si>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</si>
  <si>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</si>
  <si>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</si>
  <si>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</si>
  <si>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</si>
  <si>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</si>
  <si>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</si>
  <si>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</si>
  <si>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</si>
  <si>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</si>
  <si>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</si>
  <si>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</si>
  <si>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</si>
  <si>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</si>
  <si>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</si>
  <si>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</si>
  <si>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</si>
  <si>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</si>
  <si>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</si>
  <si>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</si>
  <si>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</si>
  <si>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</si>
  <si>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</si>
  <si>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</si>
  <si>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</si>
  <si>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</si>
  <si>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</si>
  <si>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</si>
  <si>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</si>
  <si>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</si>
  <si>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</si>
  <si>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</si>
  <si>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</si>
  <si>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</si>
  <si>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</si>
  <si>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</si>
  <si>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</si>
  <si>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</si>
  <si>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</si>
  <si>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</si>
  <si>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</si>
  <si>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</si>
  <si>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</si>
  <si>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</si>
  <si>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</si>
  <si>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</si>
  <si>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</si>
  <si>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</si>
  <si>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</si>
  <si>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</si>
  <si>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</si>
  <si>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</si>
  <si>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</si>
  <si>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</si>
  <si>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</si>
  <si>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</si>
  <si>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</si>
  <si>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</si>
  <si>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</si>
  <si>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</si>
  <si>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</si>
  <si>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</si>
  <si>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</si>
  <si>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</si>
  <si>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</si>
  <si>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</si>
  <si>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</si>
  <si>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</si>
  <si>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</si>
  <si>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</si>
  <si>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</si>
  <si>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</si>
  <si>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</si>
  <si>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</si>
  <si>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</si>
  <si>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</si>
  <si>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</si>
  <si>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</si>
  <si>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</si>
  <si>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</si>
  <si>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</si>
  <si>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</si>
  <si>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</si>
  <si>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</si>
  <si>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</si>
  <si>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</si>
  <si>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</si>
  <si>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</si>
  <si>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</si>
  <si>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</si>
  <si>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</si>
  <si>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</si>
  <si>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</si>
  <si>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</si>
  <si>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</si>
  <si>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</si>
  <si>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</si>
  <si>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</si>
  <si>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</si>
  <si>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</si>
  <si>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</si>
  <si>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</si>
  <si>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</si>
  <si>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</si>
  <si>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</si>
  <si>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</si>
  <si>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</si>
  <si>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</si>
  <si>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</si>
  <si>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</si>
  <si>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</si>
  <si>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</si>
  <si>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</si>
  <si>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</si>
  <si>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</si>
  <si>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</si>
  <si>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</si>
  <si>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</si>
  <si>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</si>
  <si>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</si>
  <si>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</si>
  <si>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</si>
  <si>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</si>
  <si>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</si>
  <si>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</si>
  <si>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</si>
  <si>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</si>
  <si>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</si>
  <si>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</si>
  <si>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</si>
  <si>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</si>
  <si>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</si>
  <si>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</si>
  <si>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</si>
  <si>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</si>
  <si>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</si>
  <si>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</si>
  <si>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</si>
  <si>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</si>
  <si>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</si>
  <si>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</si>
  <si>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</si>
  <si>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</si>
  <si>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</si>
  <si>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</si>
  <si>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</si>
  <si>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</si>
  <si>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</si>
  <si>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</si>
  <si>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</si>
  <si>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</si>
  <si>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</si>
  <si>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</si>
  <si>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</si>
  <si>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</si>
  <si>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</si>
  <si>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</si>
  <si>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</si>
  <si>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</si>
  <si>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</si>
  <si>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</si>
  <si>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</si>
  <si>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</si>
  <si>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</si>
  <si>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</si>
  <si>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</si>
  <si>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</si>
  <si>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</si>
  <si>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</si>
  <si>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</si>
  <si>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</si>
  <si>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</si>
  <si>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</si>
  <si>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</si>
  <si>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</si>
  <si>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</si>
  <si>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</si>
  <si>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</si>
  <si>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</si>
  <si>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</si>
  <si>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</si>
  <si>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</si>
  <si>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</si>
  <si>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</si>
  <si>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</si>
  <si>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</si>
  <si>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</si>
  <si>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</si>
  <si>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</si>
  <si>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</si>
  <si>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</si>
  <si>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</si>
  <si>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</si>
  <si>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</si>
  <si>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</si>
  <si>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</si>
  <si>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</si>
  <si>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</si>
  <si>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</si>
  <si>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</si>
  <si>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</si>
  <si>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</si>
  <si>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</si>
  <si>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</si>
  <si>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</si>
  <si>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</si>
  <si>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</si>
  <si>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</si>
  <si>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</si>
  <si>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</si>
  <si>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</si>
  <si>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</si>
  <si>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</si>
  <si>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</si>
  <si>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</si>
  <si>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</si>
  <si>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</si>
  <si>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</si>
  <si>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</si>
  <si>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</si>
  <si>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</si>
  <si>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</si>
  <si>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</si>
  <si>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</si>
  <si>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</si>
  <si>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</si>
  <si>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</si>
  <si>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</si>
  <si>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</si>
  <si>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</si>
  <si>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</si>
  <si>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</si>
  <si>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</si>
  <si>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</si>
  <si>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</si>
  <si>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</si>
  <si>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</si>
  <si>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</si>
  <si>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</si>
  <si>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</si>
  <si>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</si>
  <si>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</si>
  <si>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</si>
  <si>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</si>
  <si>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</si>
  <si>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</si>
  <si>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</si>
  <si>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</si>
  <si>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</si>
  <si>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</si>
  <si>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</si>
  <si>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</si>
  <si>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</si>
  <si>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</si>
  <si>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</si>
  <si>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</si>
  <si>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</si>
  <si>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</si>
  <si>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</si>
  <si>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</si>
  <si>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</si>
  <si>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</si>
  <si>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</si>
  <si>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</si>
  <si>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</si>
  <si>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</si>
  <si>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</si>
  <si>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</si>
  <si>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</si>
  <si>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</si>
  <si>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</si>
  <si>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</si>
  <si>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</si>
  <si>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</si>
  <si>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</si>
  <si>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</si>
  <si>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</si>
  <si>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</si>
  <si>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</si>
  <si>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</si>
  <si>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</si>
  <si>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</si>
  <si>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</si>
  <si>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</si>
  <si>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</si>
  <si>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</si>
  <si>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</si>
  <si>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</si>
  <si>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</si>
  <si>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</si>
  <si>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</si>
  <si>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</si>
  <si>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</si>
  <si>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</si>
  <si>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</si>
  <si>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</si>
  <si>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</si>
  <si>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</si>
  <si>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</si>
  <si>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</si>
  <si>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</si>
  <si>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</si>
  <si>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</si>
  <si>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</si>
  <si>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</si>
  <si>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</si>
  <si>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</si>
  <si>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</si>
  <si>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</si>
  <si>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</si>
  <si>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</si>
  <si>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</si>
  <si>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</si>
  <si>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</si>
  <si>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</si>
  <si>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</si>
  <si>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</si>
  <si>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</si>
  <si>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</si>
  <si>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</si>
  <si>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</si>
  <si>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</si>
  <si>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</si>
  <si>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</si>
  <si>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</si>
  <si>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</si>
  <si>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</si>
  <si>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</si>
  <si>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</si>
  <si>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</si>
  <si>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</si>
  <si>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</si>
  <si>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</si>
  <si>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</si>
  <si>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</si>
  <si>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</si>
  <si>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</si>
  <si>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</si>
  <si>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</si>
  <si>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</si>
  <si>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</si>
  <si>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</si>
  <si>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</si>
  <si>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</si>
  <si>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</si>
  <si>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</si>
  <si>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</si>
  <si>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</si>
  <si>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</si>
  <si>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</si>
  <si>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</si>
  <si>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</si>
  <si>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</si>
  <si>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</si>
  <si>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</si>
  <si>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</si>
  <si>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</si>
  <si>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</si>
  <si>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</si>
  <si>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</si>
  <si>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</si>
  <si>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</si>
  <si>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</si>
  <si>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</si>
  <si>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</si>
  <si>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</si>
  <si>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</si>
  <si>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</si>
  <si>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</si>
  <si>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</si>
  <si>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</si>
  <si>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</si>
  <si>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</si>
  <si>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</si>
  <si>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</si>
  <si>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</si>
  <si>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</si>
  <si>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</si>
  <si>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</si>
  <si>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</si>
  <si>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</si>
  <si>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</si>
  <si>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</si>
  <si>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</si>
  <si>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</si>
  <si>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</si>
  <si>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</si>
  <si>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</si>
  <si>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</si>
  <si>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</si>
  <si>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</si>
  <si>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</si>
  <si>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</si>
  <si>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</si>
  <si>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</si>
  <si>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</si>
  <si>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</si>
  <si>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</si>
  <si>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</si>
  <si>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</si>
  <si>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</si>
  <si>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</si>
  <si>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</si>
  <si>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</si>
  <si>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</si>
  <si>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</si>
  <si>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</si>
  <si>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</si>
  <si>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</si>
  <si>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</si>
  <si>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</si>
  <si>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</si>
  <si>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</si>
  <si>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</si>
  <si>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</si>
  <si>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</si>
  <si>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</si>
  <si>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</si>
  <si>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</si>
  <si>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</si>
  <si>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</si>
  <si>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</si>
  <si>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</si>
  <si>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</si>
  <si>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</si>
  <si>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</si>
  <si>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</si>
  <si>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</si>
  <si>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</si>
  <si>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</si>
  <si>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</si>
  <si>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</si>
  <si>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</si>
  <si>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</si>
  <si>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</si>
  <si>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</si>
  <si>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</si>
  <si>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</si>
  <si>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</si>
  <si>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</si>
  <si>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</si>
  <si>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</si>
  <si>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</si>
  <si>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</si>
  <si>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</si>
  <si>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</si>
  <si>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</si>
  <si>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</si>
  <si>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</si>
  <si>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</si>
  <si>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</si>
  <si>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</si>
  <si>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</si>
  <si>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</si>
  <si>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</si>
  <si>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</si>
  <si>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</si>
  <si>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</si>
  <si>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</si>
  <si>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</si>
  <si>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</si>
  <si>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</si>
  <si>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</si>
  <si>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</si>
  <si>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</si>
  <si>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</si>
  <si>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</si>
  <si>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</si>
  <si>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</si>
  <si>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</si>
  <si>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</si>
  <si>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</si>
  <si>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</si>
  <si>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</si>
  <si>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</si>
  <si>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</si>
  <si>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</si>
  <si>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</si>
  <si>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</si>
  <si>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</si>
  <si>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</si>
  <si>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</si>
  <si>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</si>
  <si>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</si>
  <si>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</si>
  <si>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</si>
  <si>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</si>
  <si>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</si>
  <si>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</si>
  <si>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</si>
  <si>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</si>
  <si>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</si>
  <si>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</si>
  <si>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</si>
  <si>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</si>
  <si>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</si>
  <si>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</si>
  <si>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</si>
  <si>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</si>
  <si>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</si>
  <si>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</si>
  <si>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</si>
  <si>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</si>
  <si>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</si>
  <si>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</si>
  <si>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</si>
  <si>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</si>
  <si>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</si>
  <si>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</si>
  <si>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</si>
  <si>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</si>
  <si>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</si>
  <si>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</si>
  <si>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</si>
  <si>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</si>
  <si>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</si>
  <si>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</si>
  <si>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</si>
  <si>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</si>
  <si>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</si>
  <si>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</si>
  <si>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</si>
  <si>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</si>
  <si>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</si>
  <si>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</si>
  <si>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</si>
  <si>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</si>
  <si>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</si>
  <si>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</si>
  <si>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</si>
  <si>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</si>
  <si>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</si>
  <si>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</si>
  <si>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</si>
  <si>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</si>
  <si>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</si>
  <si>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</si>
  <si>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</si>
  <si>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</si>
  <si>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</si>
  <si>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</si>
  <si>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</si>
  <si>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</si>
  <si>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</si>
  <si>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</si>
  <si>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</si>
  <si>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</si>
  <si>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</si>
  <si>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</si>
  <si>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</si>
  <si>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</si>
  <si>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</si>
  <si>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</si>
  <si>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</si>
  <si>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</si>
  <si>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</si>
  <si>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</si>
  <si>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</si>
  <si>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</si>
  <si>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</si>
  <si>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</si>
  <si>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</si>
  <si>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</si>
  <si>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</si>
  <si>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</si>
  <si>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</si>
  <si>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</si>
  <si>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</si>
  <si>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</si>
  <si>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</si>
  <si>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</si>
  <si>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</si>
  <si>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</si>
  <si>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</si>
  <si>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</si>
  <si>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</si>
  <si>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</si>
  <si>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</si>
  <si>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</si>
  <si>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</si>
  <si>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</si>
  <si>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</si>
  <si>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</si>
  <si>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</si>
  <si>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</si>
  <si>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</si>
  <si>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</si>
  <si>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</si>
  <si>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</si>
  <si>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</si>
  <si>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</si>
  <si>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</si>
  <si>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</si>
  <si>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</si>
  <si>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</si>
  <si>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</si>
  <si>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</si>
  <si>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</si>
  <si>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</si>
  <si>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</si>
  <si>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</si>
  <si>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</si>
  <si>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</si>
  <si>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</si>
  <si>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</si>
  <si>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</si>
  <si>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</si>
  <si>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</si>
  <si>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</si>
  <si>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</si>
  <si>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</si>
  <si>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</si>
  <si>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</si>
  <si>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</si>
  <si>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</si>
  <si>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</si>
  <si>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</si>
  <si>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</si>
  <si>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</si>
  <si>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</si>
  <si>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</si>
  <si>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</si>
  <si>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</si>
  <si>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</si>
  <si>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</si>
  <si>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</si>
  <si>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</si>
  <si>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</si>
  <si>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</si>
  <si>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</si>
  <si>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</si>
  <si>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</si>
  <si>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</si>
  <si>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</si>
  <si>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</si>
  <si>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</si>
  <si>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</si>
  <si>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</si>
  <si>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</si>
  <si>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</si>
  <si>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</si>
  <si>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</si>
  <si>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</si>
  <si>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</si>
  <si>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</si>
  <si>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</si>
  <si>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</si>
  <si>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</si>
  <si>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</si>
  <si>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</si>
  <si>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</si>
  <si>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</si>
  <si>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</si>
  <si>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</si>
  <si>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</si>
  <si>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</si>
  <si>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</si>
  <si>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</si>
  <si>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</si>
  <si>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</si>
  <si>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</si>
  <si>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</si>
  <si>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</si>
  <si>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</si>
  <si>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</si>
  <si>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</si>
  <si>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</si>
  <si>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</si>
  <si>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</si>
  <si>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</si>
  <si>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</si>
  <si>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</si>
  <si>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</si>
  <si>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</si>
  <si>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</si>
  <si>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</si>
  <si>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</si>
  <si>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</si>
  <si>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</si>
  <si>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</si>
  <si>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</si>
  <si>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</si>
  <si>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</si>
  <si>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</si>
  <si>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</si>
  <si>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</si>
  <si>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</si>
  <si>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</si>
  <si>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</si>
  <si>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</si>
  <si>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</si>
  <si>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</si>
  <si>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</si>
  <si>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</si>
  <si>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</si>
  <si>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</si>
  <si>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</si>
  <si>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</si>
  <si>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</si>
  <si>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</si>
  <si>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</si>
  <si>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</si>
  <si>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</si>
  <si>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</si>
  <si>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</si>
  <si>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</si>
  <si>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</si>
  <si>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</si>
  <si>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</si>
  <si>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</si>
  <si>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</si>
  <si>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</si>
  <si>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</si>
  <si>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</si>
  <si>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</si>
  <si>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</si>
  <si>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</si>
  <si>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</si>
  <si>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</si>
  <si>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</si>
  <si>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</si>
  <si>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</si>
  <si>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</si>
  <si>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</si>
  <si>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</si>
  <si>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</si>
  <si>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</si>
  <si>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</si>
  <si>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</si>
  <si>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</si>
  <si>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</si>
  <si>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</si>
  <si>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</si>
  <si>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</si>
  <si>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</si>
  <si>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</si>
  <si>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</si>
  <si>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</si>
  <si>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</si>
  <si>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</si>
  <si>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</si>
  <si>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</si>
  <si>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</si>
  <si>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</si>
  <si>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</si>
  <si>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</si>
  <si>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</si>
  <si>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</si>
  <si>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</si>
  <si>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</si>
  <si>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</si>
  <si>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</si>
  <si>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</si>
  <si>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</si>
  <si>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</si>
  <si>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</si>
  <si>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</si>
  <si>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</si>
  <si>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</si>
  <si>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</si>
  <si>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</si>
  <si>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</si>
  <si>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</si>
  <si>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</si>
  <si>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</si>
  <si>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</si>
  <si>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</si>
  <si>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</si>
  <si>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</si>
  <si>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</si>
  <si>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</si>
  <si>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</si>
  <si>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</si>
  <si>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</si>
  <si>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</si>
  <si>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</si>
  <si>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</si>
  <si>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</si>
  <si>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</si>
  <si>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</si>
  <si>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</si>
  <si>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</si>
  <si>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</si>
  <si>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</si>
  <si>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</si>
  <si>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</si>
  <si>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</si>
  <si>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</si>
  <si>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</si>
  <si>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</si>
  <si>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</si>
  <si>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</si>
  <si>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</si>
  <si>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</si>
  <si>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</si>
  <si>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</si>
  <si>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</si>
  <si>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</si>
  <si>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</si>
  <si>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</si>
  <si>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</si>
  <si>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</si>
  <si>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</si>
  <si>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</si>
  <si>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</si>
  <si>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</si>
  <si>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</si>
  <si>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</si>
  <si>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</si>
  <si>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</si>
  <si>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</si>
  <si>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</si>
  <si>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</si>
  <si>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</si>
  <si>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</si>
  <si>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</si>
  <si>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</si>
  <si>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</si>
  <si>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</si>
  <si>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</si>
  <si>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</si>
  <si>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</si>
  <si>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</si>
  <si>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</si>
  <si>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</si>
  <si>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</si>
  <si>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</si>
  <si>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</si>
  <si>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</si>
  <si>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</si>
  <si>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</si>
  <si>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</si>
  <si>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</si>
  <si>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</si>
  <si>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</si>
  <si>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</si>
  <si>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</si>
  <si>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</si>
  <si>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</si>
  <si>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</si>
  <si>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</si>
  <si>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</si>
  <si>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</si>
  <si>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</si>
  <si>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</si>
  <si>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</si>
  <si>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</si>
  <si>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</si>
  <si>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</si>
  <si>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</si>
  <si>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</si>
  <si>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</si>
  <si>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</si>
  <si>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</si>
  <si>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</si>
  <si>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</si>
  <si>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</si>
  <si>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</si>
  <si>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</si>
  <si>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</si>
  <si>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</si>
  <si>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</si>
  <si>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</si>
  <si>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</si>
  <si>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</si>
  <si>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</si>
  <si>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</si>
  <si>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</si>
  <si>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</si>
  <si>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</si>
  <si>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</si>
  <si>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</si>
  <si>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</si>
  <si>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</si>
  <si>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</si>
  <si>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</si>
  <si>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</si>
  <si>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</si>
  <si>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</si>
  <si>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</si>
  <si>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</si>
  <si>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</si>
  <si>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</si>
  <si>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</si>
  <si>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</si>
  <si>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</si>
  <si>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</si>
  <si>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</si>
  <si>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</si>
  <si>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</si>
  <si>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</si>
  <si>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</si>
  <si>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</si>
  <si>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</si>
  <si>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</si>
  <si>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</si>
  <si>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</si>
  <si>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</si>
  <si>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</si>
  <si>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</si>
  <si>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</si>
  <si>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</si>
  <si>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</si>
  <si>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</si>
  <si>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</si>
  <si>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</si>
  <si>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</si>
  <si>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</si>
  <si>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</si>
  <si>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</si>
  <si>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</si>
  <si>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</si>
  <si>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</si>
  <si>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</si>
  <si>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</si>
  <si>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</si>
  <si>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</si>
  <si>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</si>
  <si>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</si>
  <si>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</si>
  <si>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</si>
  <si>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</si>
  <si>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</si>
  <si>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</si>
  <si>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</si>
  <si>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</si>
  <si>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</si>
  <si>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</si>
  <si>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</si>
  <si>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</si>
  <si>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</si>
  <si>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</si>
  <si>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</si>
  <si>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</si>
  <si>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</si>
  <si>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</si>
  <si>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</si>
  <si>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</si>
  <si>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</si>
  <si>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</si>
  <si>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</si>
  <si>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</si>
  <si>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</si>
  <si>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</si>
  <si>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</si>
  <si>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</si>
  <si>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</si>
  <si>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</si>
  <si>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</si>
  <si>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</si>
  <si>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</si>
  <si>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</si>
  <si>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</si>
  <si>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</si>
  <si>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</si>
  <si>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</si>
  <si>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</si>
  <si>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</si>
  <si>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</si>
  <si>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</si>
  <si>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</si>
  <si>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</si>
  <si>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</si>
  <si>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</si>
  <si>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</si>
  <si>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</si>
  <si>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</si>
  <si>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</si>
  <si>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</si>
  <si>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</si>
  <si>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</si>
  <si>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</si>
  <si>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</si>
  <si>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</si>
  <si>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</si>
  <si>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</si>
  <si>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</si>
  <si>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</si>
  <si>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</si>
  <si>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</si>
  <si>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</si>
  <si>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</si>
  <si>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</si>
  <si>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</si>
  <si>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</si>
  <si>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</si>
  <si>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</si>
  <si>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</si>
  <si>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</si>
  <si>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</si>
  <si>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</si>
  <si>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</si>
  <si>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</si>
  <si>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</si>
  <si>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</si>
  <si>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</si>
  <si>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</si>
  <si>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</si>
  <si>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</si>
  <si>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</si>
  <si>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</si>
  <si>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</si>
  <si>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</si>
  <si>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</si>
  <si>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</si>
  <si>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</si>
  <si>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</si>
  <si>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</si>
  <si>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</si>
  <si>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</si>
  <si>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</si>
  <si>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</si>
  <si>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</si>
  <si>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</si>
  <si>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</si>
  <si>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</si>
  <si>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</si>
  <si>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</si>
  <si>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</si>
  <si>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</si>
  <si>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</si>
  <si>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</si>
  <si>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</si>
  <si>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</si>
  <si>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</si>
  <si>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</si>
  <si>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</si>
  <si>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</si>
  <si>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</si>
  <si>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</si>
  <si>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</si>
  <si>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</si>
  <si>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</si>
  <si>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</si>
  <si>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</si>
  <si>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</si>
  <si>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</si>
  <si>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</si>
  <si>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</si>
  <si>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</si>
  <si>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</si>
  <si>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</si>
  <si>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</si>
  <si>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</si>
  <si>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</si>
  <si>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</si>
  <si>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</si>
  <si>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</si>
  <si>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</si>
  <si>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</si>
  <si>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</si>
  <si>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</si>
  <si>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</si>
  <si>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</si>
  <si>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</si>
  <si>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</si>
  <si>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</si>
  <si>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</si>
  <si>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</si>
  <si>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</si>
  <si>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</si>
  <si>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</si>
  <si>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</si>
  <si>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</si>
  <si>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</si>
  <si>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</si>
  <si>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</si>
  <si>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</si>
  <si>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</si>
  <si>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</si>
  <si>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</si>
  <si>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</si>
  <si>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</si>
  <si>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</si>
  <si>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</si>
  <si>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</si>
  <si>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</si>
  <si>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</si>
  <si>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</si>
  <si>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</si>
  <si>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</si>
  <si>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</si>
  <si>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</si>
  <si>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</si>
  <si>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</si>
  <si>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</si>
  <si>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</si>
  <si>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</si>
  <si>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</si>
  <si>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</si>
  <si>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</si>
  <si>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</si>
  <si>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</si>
  <si>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</si>
  <si>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</si>
  <si>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</si>
  <si>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</si>
  <si>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</si>
  <si>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</si>
  <si>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</si>
  <si>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</si>
  <si>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</si>
  <si>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</si>
  <si>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</si>
  <si>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</si>
  <si>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</si>
  <si>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</si>
  <si>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</si>
  <si>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</si>
  <si>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</si>
  <si>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</si>
  <si>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</si>
  <si>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</si>
  <si>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</si>
  <si>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</si>
  <si>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</si>
  <si>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</si>
  <si>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</si>
  <si>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</si>
  <si>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</si>
  <si>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</si>
  <si>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</si>
  <si>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</si>
  <si>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</si>
  <si>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</si>
  <si>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</si>
  <si>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</si>
  <si>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</si>
  <si>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</si>
  <si>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</si>
  <si>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</si>
  <si>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</si>
  <si>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</si>
  <si>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</si>
  <si>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</si>
  <si>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</si>
  <si>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</si>
  <si>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</si>
  <si>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</si>
  <si>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</si>
  <si>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</si>
  <si>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</si>
  <si>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</si>
  <si>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</si>
  <si>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</si>
  <si>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</si>
  <si>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</si>
  <si>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</si>
  <si>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</si>
  <si>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</si>
  <si>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</si>
  <si>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</si>
  <si>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</si>
  <si>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</si>
  <si>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</si>
  <si>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</si>
  <si>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</si>
  <si>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</si>
  <si>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</si>
  <si>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</si>
  <si>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</si>
  <si>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</si>
  <si>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</si>
  <si>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</si>
  <si>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</si>
  <si>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</si>
  <si>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</si>
  <si>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</si>
  <si>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</si>
  <si>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</si>
  <si>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</si>
  <si>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</si>
  <si>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</si>
  <si>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</si>
  <si>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</si>
  <si>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</si>
  <si>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</si>
  <si>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</si>
  <si>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</si>
  <si>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</si>
  <si>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</si>
  <si>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</si>
  <si>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</si>
  <si>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</si>
  <si>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</si>
  <si>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</si>
  <si>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</si>
  <si>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</si>
  <si>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</si>
  <si>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</si>
  <si>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</si>
  <si>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</si>
  <si>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</si>
  <si>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</si>
  <si>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</si>
  <si>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</si>
  <si>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</si>
  <si>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</si>
  <si>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</si>
  <si>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</si>
  <si>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</si>
  <si>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</si>
  <si>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</si>
  <si>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</si>
  <si>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</si>
  <si>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</si>
  <si>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</si>
  <si>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</si>
  <si>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</si>
  <si>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</si>
  <si>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</si>
  <si>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</si>
  <si>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</si>
  <si>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</si>
  <si>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</si>
  <si>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</si>
  <si>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</si>
  <si>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</si>
  <si>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</si>
  <si>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</si>
  <si>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</si>
  <si>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</si>
  <si>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</si>
  <si>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</si>
  <si>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</si>
  <si>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</si>
  <si>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</si>
  <si>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</si>
  <si>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</si>
  <si>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</si>
  <si>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</si>
  <si>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</si>
  <si>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</si>
  <si>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</si>
  <si>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</si>
  <si>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</si>
  <si>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</si>
  <si>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</si>
  <si>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</si>
  <si>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</si>
  <si>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</si>
  <si>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</si>
  <si>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</si>
  <si>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</si>
  <si>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</si>
  <si>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</si>
  <si>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</si>
  <si>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</si>
  <si>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</si>
  <si>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</si>
  <si>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</si>
  <si>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</si>
  <si>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</si>
  <si>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</si>
  <si>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</si>
  <si>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</si>
  <si>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</si>
  <si>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</si>
  <si>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</si>
  <si>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</si>
  <si>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</si>
  <si>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</si>
  <si>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</si>
  <si>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</si>
  <si>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</si>
  <si>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</si>
  <si>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</si>
  <si>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</si>
  <si>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</si>
  <si>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</si>
  <si>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</si>
  <si>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</si>
  <si>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</si>
  <si>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</si>
  <si>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</si>
  <si>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</si>
  <si>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</si>
  <si>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</si>
  <si>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</si>
  <si>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</si>
  <si>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</si>
  <si>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</si>
  <si>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</si>
  <si>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</si>
  <si>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</si>
  <si>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</si>
  <si>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</si>
  <si>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</si>
  <si>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</si>
  <si>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</si>
  <si>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</si>
  <si>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</si>
  <si>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</si>
  <si>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</si>
  <si>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</si>
  <si>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</si>
  <si>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</si>
  <si>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</si>
  <si>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</si>
  <si>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</si>
  <si>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</si>
  <si>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</si>
  <si>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</si>
  <si>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</si>
  <si>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</si>
  <si>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</si>
  <si>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</si>
  <si>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</si>
  <si>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</si>
  <si>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</si>
  <si>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</si>
  <si>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</si>
  <si>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</si>
  <si>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</si>
  <si>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</si>
  <si>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</si>
  <si>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</si>
  <si>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</si>
  <si>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</si>
  <si>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</si>
  <si>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</si>
  <si>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</si>
  <si>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</si>
  <si>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</si>
  <si>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</si>
  <si>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</si>
  <si>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</si>
  <si>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</si>
  <si>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</si>
  <si>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</si>
  <si>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</si>
  <si>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</si>
  <si>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</si>
  <si>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</si>
  <si>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</si>
  <si>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</si>
  <si>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</si>
  <si>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</si>
  <si>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</si>
  <si>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</si>
  <si>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</si>
  <si>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</si>
  <si>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</si>
  <si>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</si>
  <si>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</si>
  <si>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</si>
  <si>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</si>
  <si>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</si>
  <si>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</si>
  <si>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</si>
  <si>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</si>
  <si>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</si>
  <si>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</si>
  <si>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</si>
  <si>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</si>
  <si>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</si>
  <si>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</si>
  <si>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</si>
  <si>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</si>
  <si>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</si>
  <si>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</si>
  <si>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</si>
  <si>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</si>
  <si>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</si>
  <si>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</si>
  <si>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</si>
  <si>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</si>
  <si>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</si>
  <si>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</si>
  <si>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</si>
  <si>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</si>
  <si>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</si>
  <si>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</si>
  <si>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</si>
  <si>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</si>
  <si>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</si>
  <si>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</si>
  <si>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</si>
  <si>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</si>
  <si>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</si>
  <si>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</si>
  <si>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</si>
  <si>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</si>
  <si>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</si>
  <si>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</si>
  <si>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</si>
  <si>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</si>
  <si>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</si>
  <si>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</si>
  <si>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</si>
  <si>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</si>
  <si>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</si>
  <si>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</si>
  <si>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</si>
  <si>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</si>
  <si>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</si>
  <si>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</si>
  <si>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</si>
  <si>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</si>
  <si>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</si>
  <si>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</si>
  <si>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</si>
  <si>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</si>
  <si>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</si>
  <si>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</si>
  <si>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</si>
  <si>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</si>
  <si>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</si>
  <si>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</si>
  <si>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</si>
  <si>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</si>
  <si>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</si>
  <si>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</si>
  <si>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</si>
  <si>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</si>
  <si>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</si>
  <si>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</si>
  <si>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</si>
  <si>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</si>
  <si>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</si>
  <si>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</si>
  <si>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</si>
  <si>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</si>
  <si>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</si>
  <si>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</si>
  <si>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</si>
  <si>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</si>
  <si>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</si>
  <si>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</si>
  <si>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</si>
  <si>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</si>
  <si>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</si>
  <si>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</si>
  <si>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</si>
  <si>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</si>
  <si>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</si>
  <si>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</si>
  <si>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</si>
  <si>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</si>
  <si>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</si>
  <si>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</si>
  <si>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</si>
  <si>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</si>
  <si>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</si>
  <si>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</si>
  <si>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</si>
  <si>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</si>
  <si>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</si>
  <si>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</si>
  <si>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</si>
  <si>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</si>
  <si>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</si>
  <si>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</si>
  <si>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</si>
  <si>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</si>
  <si>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</si>
  <si>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</si>
  <si>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</si>
  <si>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</si>
  <si>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</si>
  <si>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</si>
  <si>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</si>
  <si>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</si>
  <si>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</si>
  <si>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</si>
  <si>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</si>
  <si>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</si>
  <si>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</si>
  <si>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</si>
  <si>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</si>
  <si>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</si>
  <si>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</si>
  <si>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</si>
  <si>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</si>
  <si>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</si>
  <si>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</si>
  <si>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</si>
  <si>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</si>
  <si>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</si>
  <si>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</si>
  <si>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</si>
  <si>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</si>
  <si>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</si>
  <si>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</si>
  <si>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</si>
  <si>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</si>
  <si>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</si>
  <si>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</si>
  <si>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</si>
  <si>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</si>
  <si>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</si>
  <si>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</si>
  <si>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</si>
  <si>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</si>
  <si>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</si>
  <si>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</si>
  <si>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</si>
  <si>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</si>
  <si>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</si>
  <si>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</si>
  <si>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</si>
  <si>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</si>
  <si>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</si>
  <si>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</si>
  <si>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</si>
  <si>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</si>
  <si>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</si>
  <si>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</si>
  <si>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</si>
  <si>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</si>
  <si>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</si>
  <si>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</si>
  <si>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</si>
  <si>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</si>
  <si>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</si>
  <si>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</si>
  <si>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</si>
  <si>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</si>
  <si>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</si>
  <si>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</si>
  <si>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</si>
  <si>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</si>
  <si>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</si>
  <si>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</si>
  <si>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</si>
  <si>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</si>
  <si>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</si>
  <si>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</si>
  <si>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</si>
  <si>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</si>
  <si>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</si>
  <si>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</si>
  <si>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</si>
  <si>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</si>
  <si>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</si>
  <si>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</si>
  <si>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</si>
  <si>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</si>
  <si>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</si>
  <si>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</si>
  <si>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</si>
  <si>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</si>
  <si>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</si>
  <si>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</si>
  <si>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</si>
  <si>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</si>
  <si>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</si>
  <si>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</si>
  <si>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</si>
  <si>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</si>
  <si>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</si>
  <si>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</si>
  <si>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</si>
  <si>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</si>
  <si>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</si>
  <si>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</si>
  <si>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</si>
  <si>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</si>
  <si>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</si>
  <si>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</si>
  <si>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</si>
  <si>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</si>
  <si>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</si>
  <si>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</si>
  <si>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</si>
  <si>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</si>
  <si>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</si>
  <si>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</si>
  <si>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</si>
  <si>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</si>
  <si>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</si>
  <si>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</si>
  <si>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</si>
  <si>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</si>
  <si>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</si>
  <si>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</si>
  <si>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</si>
  <si>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</si>
  <si>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</si>
  <si>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</si>
  <si>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</si>
  <si>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</si>
  <si>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</si>
  <si>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</si>
  <si>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</si>
  <si>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</si>
  <si>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</si>
  <si>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</si>
  <si>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</si>
  <si>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</si>
  <si>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</si>
  <si>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</si>
  <si>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</si>
  <si>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</si>
  <si>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</si>
  <si>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</si>
  <si>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</si>
  <si>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</si>
  <si>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</si>
  <si>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</si>
  <si>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</si>
  <si>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</si>
  <si>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</si>
  <si>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</si>
  <si>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</si>
  <si>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</si>
  <si>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</si>
  <si>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</si>
  <si>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</si>
  <si>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</si>
  <si>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</si>
  <si>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</si>
  <si>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</si>
  <si>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</si>
  <si>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</si>
  <si>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</si>
  <si>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</si>
  <si>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</si>
  <si>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</si>
  <si>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</si>
  <si>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</si>
  <si>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</si>
  <si>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</si>
  <si>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</si>
  <si>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</si>
  <si>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</si>
  <si>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</si>
  <si>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</si>
  <si>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</si>
  <si>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</si>
  <si>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</si>
  <si>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</si>
  <si>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</si>
  <si>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</si>
  <si>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</si>
  <si>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</si>
  <si>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</si>
  <si>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</si>
  <si>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</si>
  <si>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</si>
  <si>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</si>
  <si>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</si>
  <si>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</si>
  <si>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</si>
  <si>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</si>
  <si>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</si>
  <si>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</si>
  <si>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</si>
  <si>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</si>
  <si>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</si>
  <si>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</si>
  <si>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</si>
  <si>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</si>
  <si>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</si>
  <si>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</si>
  <si>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</si>
  <si>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</si>
  <si>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</si>
  <si>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</si>
  <si>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</si>
  <si>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</si>
  <si>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</si>
  <si>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</si>
  <si>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</si>
  <si>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</si>
  <si>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</si>
  <si>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</si>
  <si>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</si>
  <si>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</si>
  <si>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</si>
  <si>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</si>
  <si>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</si>
  <si>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</si>
  <si>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</si>
  <si>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</si>
  <si>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</si>
  <si>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</si>
  <si>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</si>
  <si>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</si>
  <si>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</si>
  <si>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</si>
  <si>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</si>
  <si>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</si>
  <si>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</si>
  <si>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</si>
  <si>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</si>
  <si>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</si>
  <si>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</si>
  <si>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</si>
  <si>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</si>
  <si>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</si>
  <si>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</si>
  <si>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</si>
  <si>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</si>
  <si>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</si>
  <si>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</si>
  <si>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</si>
  <si>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</si>
  <si>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</si>
  <si>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</si>
  <si>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</si>
  <si>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</si>
  <si>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</si>
  <si>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</si>
  <si>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</si>
  <si>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</si>
  <si>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</si>
  <si>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</si>
  <si>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</si>
  <si>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</si>
  <si>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</si>
  <si>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</si>
  <si>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</si>
  <si>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</si>
  <si>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</si>
  <si>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</si>
  <si>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</si>
  <si>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</si>
  <si>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</si>
  <si>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</si>
  <si>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</si>
  <si>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</si>
  <si>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</si>
  <si>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</si>
  <si>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</si>
  <si>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</si>
  <si>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</si>
  <si>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</si>
  <si>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</si>
  <si>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</si>
  <si>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</si>
  <si>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</si>
  <si>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</si>
  <si>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</si>
  <si>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</si>
  <si>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</si>
  <si>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</si>
  <si>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</si>
  <si>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</si>
  <si>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</si>
  <si>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</si>
  <si>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</si>
  <si>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</si>
  <si>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</si>
  <si>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</si>
  <si>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</si>
  <si>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</si>
  <si>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</si>
  <si>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</si>
  <si>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</si>
  <si>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</si>
  <si>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</si>
  <si>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</si>
  <si>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</si>
  <si>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</si>
  <si>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</si>
  <si>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</si>
  <si>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</si>
  <si>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</si>
  <si>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</si>
  <si>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</si>
  <si>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</si>
  <si>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</si>
  <si>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</si>
  <si>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</si>
  <si>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</si>
  <si>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</si>
  <si>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</si>
  <si>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</si>
  <si>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</si>
  <si>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</si>
  <si>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</si>
  <si>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</si>
  <si>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</si>
  <si>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</si>
  <si>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</si>
  <si>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</si>
  <si>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</si>
  <si>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</si>
  <si>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</si>
  <si>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</si>
  <si>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</si>
  <si>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</si>
  <si>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</si>
  <si>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</si>
  <si>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</si>
  <si>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</si>
  <si>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</si>
  <si>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</si>
  <si>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</si>
  <si>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</si>
  <si>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</si>
  <si>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</si>
  <si>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</si>
  <si>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</si>
  <si>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</si>
  <si>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</si>
  <si>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</si>
  <si>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</si>
  <si>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</si>
  <si>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</si>
  <si>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</si>
  <si>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</si>
  <si>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</si>
  <si>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</si>
  <si>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</si>
  <si>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</si>
  <si>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</si>
  <si>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</si>
  <si>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</si>
  <si>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</si>
  <si>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</si>
  <si>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</si>
  <si>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</si>
  <si>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</si>
  <si>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</si>
  <si>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</si>
  <si>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</si>
  <si>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</si>
  <si>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</si>
  <si>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</si>
  <si>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</si>
  <si>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</si>
  <si>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</si>
  <si>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</si>
  <si>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</si>
  <si>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</si>
  <si>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</si>
  <si>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</si>
  <si>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</si>
  <si>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</si>
  <si>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</si>
  <si>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</si>
  <si>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</si>
  <si>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</si>
  <si>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</si>
  <si>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</si>
  <si>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</si>
  <si>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</si>
  <si>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</si>
  <si>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</si>
  <si>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</si>
  <si>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</si>
  <si>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</si>
  <si>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</si>
  <si>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</si>
  <si>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</si>
  <si>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</si>
  <si>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</si>
  <si>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</si>
  <si>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</si>
  <si>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</si>
  <si>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</si>
  <si>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</si>
  <si>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</si>
  <si>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</si>
  <si>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</si>
  <si>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</si>
  <si>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</si>
  <si>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</si>
  <si>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</si>
  <si>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</si>
  <si>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</si>
  <si>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</si>
  <si>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</si>
  <si>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</si>
  <si>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</si>
  <si>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</si>
  <si>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</si>
  <si>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</si>
  <si>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</si>
  <si>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</si>
  <si>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</si>
  <si>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</si>
  <si>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</si>
  <si>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</si>
  <si>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</si>
  <si>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</si>
  <si>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</si>
  <si>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</si>
  <si>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</si>
  <si>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</si>
  <si>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</si>
  <si>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</si>
  <si>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</si>
  <si>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</si>
  <si>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</si>
  <si>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</si>
  <si>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</si>
  <si>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</si>
  <si>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</si>
  <si>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</si>
  <si>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</si>
  <si>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</si>
  <si>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</si>
  <si>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</si>
  <si>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</si>
  <si>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</si>
  <si>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</si>
  <si>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</si>
  <si>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</si>
  <si>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</si>
  <si>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</si>
  <si>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</si>
  <si>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</si>
  <si>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</si>
  <si>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</si>
  <si>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</si>
  <si>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</si>
  <si>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</si>
  <si>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</si>
  <si>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</si>
  <si>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</si>
  <si>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</si>
  <si>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</si>
  <si>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</si>
  <si>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</si>
  <si>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</si>
  <si>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</si>
  <si>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</si>
  <si>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</si>
  <si>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</si>
  <si>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</si>
  <si>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</si>
  <si>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</si>
  <si>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</si>
  <si>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</si>
  <si>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</si>
  <si>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</si>
  <si>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</si>
  <si>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</si>
  <si>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</si>
  <si>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</si>
  <si>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</si>
  <si>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</si>
  <si>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</si>
  <si>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</si>
  <si>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</si>
  <si>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</si>
  <si>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</si>
  <si>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</si>
  <si>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</si>
  <si>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</si>
  <si>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</si>
  <si>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</si>
  <si>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</si>
  <si>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</si>
  <si>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</si>
  <si>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</si>
  <si>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</si>
  <si>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</si>
  <si>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</si>
  <si>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</si>
  <si>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</si>
  <si>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</si>
  <si>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</si>
  <si>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</si>
  <si>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</si>
  <si>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</si>
  <si>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</si>
  <si>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</si>
  <si>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</si>
  <si>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</si>
  <si>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</si>
  <si>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</si>
  <si>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</si>
  <si>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</si>
  <si>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</si>
  <si>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</si>
  <si>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</si>
  <si>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</si>
  <si>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</si>
  <si>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</si>
  <si>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</si>
  <si>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</si>
  <si>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</si>
  <si>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</si>
  <si>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</si>
  <si>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</si>
  <si>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</si>
  <si>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</si>
  <si>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</si>
  <si>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</si>
  <si>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</si>
  <si>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</si>
  <si>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</si>
  <si>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</si>
  <si>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</si>
  <si>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</si>
  <si>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</si>
  <si>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</si>
  <si>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</si>
  <si>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</si>
  <si>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</si>
  <si>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</si>
  <si>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</si>
  <si>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</si>
  <si>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</si>
  <si>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</si>
  <si>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</si>
  <si>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</si>
  <si>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</si>
  <si>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</si>
  <si>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</si>
  <si>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</si>
  <si>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</si>
  <si>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</si>
  <si>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</si>
  <si>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</si>
  <si>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</si>
  <si>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</si>
  <si>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</si>
  <si>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</si>
  <si>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</si>
  <si>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</si>
  <si>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</si>
  <si>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</si>
  <si>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</si>
  <si>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</si>
  <si>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</si>
  <si>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</si>
  <si>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</si>
  <si>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</si>
  <si>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</si>
  <si>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</si>
  <si>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</si>
  <si>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</si>
  <si>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</si>
  <si>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</si>
  <si>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</si>
  <si>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</si>
  <si>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</si>
  <si>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</si>
  <si>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</si>
  <si>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</si>
  <si>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</si>
  <si>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</si>
  <si>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</si>
  <si>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</si>
  <si>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</si>
  <si>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</si>
  <si>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</si>
  <si>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</si>
  <si>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</si>
  <si>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</si>
  <si>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</si>
  <si>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</si>
  <si>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</si>
  <si>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</si>
  <si>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</si>
  <si>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</si>
  <si>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</si>
  <si>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</si>
  <si>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</si>
  <si>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</si>
  <si>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</si>
  <si>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</si>
  <si>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</si>
  <si>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</si>
  <si>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</si>
  <si>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</si>
  <si>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</si>
  <si>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</si>
  <si>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</si>
  <si>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</si>
  <si>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</si>
  <si>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</si>
  <si>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</si>
  <si>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</si>
  <si>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</si>
  <si>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</si>
  <si>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</si>
  <si>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</si>
  <si>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</si>
  <si>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</si>
  <si>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</si>
  <si>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</si>
  <si>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</si>
  <si>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</si>
  <si>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</si>
  <si>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</si>
  <si>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</si>
  <si>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</si>
  <si>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</si>
  <si>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</si>
  <si>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</si>
  <si>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</si>
  <si>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</si>
  <si>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</si>
  <si>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</si>
  <si>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</si>
  <si>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</si>
  <si>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</si>
  <si>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</si>
  <si>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</si>
  <si>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</si>
  <si>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</si>
  <si>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</si>
  <si>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</si>
  <si>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</si>
  <si>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</si>
  <si>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</si>
  <si>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</si>
  <si>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</si>
  <si>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</si>
  <si>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</si>
  <si>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</si>
  <si>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</si>
  <si>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</si>
  <si>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</si>
  <si>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</si>
  <si>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</si>
  <si>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</si>
  <si>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</si>
  <si>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</si>
  <si>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</si>
  <si>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</si>
  <si>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</si>
  <si>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</si>
  <si>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</si>
  <si>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</si>
  <si>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</si>
  <si>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</si>
  <si>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</si>
  <si>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</si>
  <si>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</si>
  <si>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</si>
  <si>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</si>
  <si>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</si>
  <si>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</si>
  <si>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</si>
  <si>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</si>
  <si>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</si>
  <si>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</si>
  <si>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</si>
  <si>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</si>
  <si>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</si>
  <si>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</si>
  <si>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</si>
  <si>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</si>
  <si>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</si>
  <si>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</si>
  <si>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</si>
  <si>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</si>
  <si>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</si>
  <si>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</si>
  <si>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</si>
  <si>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</si>
  <si>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</si>
  <si>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</si>
  <si>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</si>
  <si>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</si>
  <si>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</si>
  <si>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</si>
  <si>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</si>
  <si>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</si>
  <si>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</si>
  <si>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</si>
  <si>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</si>
  <si>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</si>
  <si>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</si>
  <si>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</si>
  <si>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</si>
  <si>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</si>
  <si>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</si>
  <si>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</si>
  <si>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</si>
  <si>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</si>
  <si>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</si>
  <si>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</si>
  <si>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</si>
  <si>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</si>
  <si>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</si>
  <si>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</si>
  <si>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</si>
  <si>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</si>
  <si>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</si>
  <si>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</si>
  <si>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</si>
  <si>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</si>
  <si>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</si>
  <si>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</si>
  <si>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</si>
  <si>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</si>
  <si>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</si>
  <si>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</si>
  <si>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</si>
  <si>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</si>
  <si>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</si>
  <si>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</si>
  <si>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</si>
  <si>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</si>
  <si>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</si>
  <si>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</si>
  <si>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</si>
  <si>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</si>
  <si>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</si>
  <si>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</si>
  <si>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</si>
  <si>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</si>
  <si>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</si>
  <si>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</si>
  <si>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</si>
  <si>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</si>
  <si>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</si>
  <si>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</si>
  <si>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</si>
  <si>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</si>
  <si>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</si>
  <si>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</si>
  <si>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</si>
  <si>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</si>
  <si>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</si>
  <si>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</si>
  <si>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</si>
  <si>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</si>
  <si>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</si>
  <si>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</si>
  <si>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</si>
  <si>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</si>
  <si>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</si>
  <si>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</si>
  <si>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</si>
  <si>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</si>
  <si>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</si>
  <si>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</si>
  <si>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</si>
  <si>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</si>
  <si>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</si>
  <si>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</si>
  <si>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</si>
  <si>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</si>
  <si>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</si>
  <si>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</si>
  <si>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</si>
  <si>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</si>
  <si>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</si>
  <si>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</si>
  <si>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</si>
  <si>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</si>
  <si>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</si>
  <si>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</si>
  <si>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</si>
  <si>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</si>
  <si>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</si>
  <si>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</si>
  <si>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</si>
  <si>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</si>
  <si>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</si>
  <si>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</si>
  <si>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</si>
  <si>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</si>
  <si>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</si>
  <si>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</si>
  <si>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</si>
  <si>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</si>
  <si>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</si>
  <si>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</si>
  <si>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</si>
  <si>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</si>
  <si>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</si>
  <si>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</si>
  <si>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</si>
  <si>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</si>
  <si>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</si>
  <si>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</si>
  <si>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</si>
  <si>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</si>
  <si>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</si>
  <si>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</si>
  <si>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</si>
  <si>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</si>
  <si>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</si>
  <si>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</si>
  <si>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</si>
  <si>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</si>
  <si>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</si>
  <si>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</si>
  <si>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</si>
  <si>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</si>
  <si>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</si>
  <si>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</si>
  <si>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</si>
  <si>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</si>
  <si>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</si>
  <si>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</si>
  <si>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</si>
  <si>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</si>
  <si>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</si>
  <si>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</si>
  <si>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</si>
  <si>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</si>
  <si>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</si>
  <si>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</si>
  <si>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</si>
  <si>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</si>
  <si>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</si>
  <si>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</si>
  <si>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</si>
  <si>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</si>
  <si>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</si>
  <si>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</si>
  <si>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</si>
  <si>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</si>
  <si>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</si>
  <si>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</si>
  <si>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</si>
  <si>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</si>
  <si>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</si>
  <si>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</si>
  <si>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</si>
  <si>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</si>
  <si>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</si>
  <si>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</si>
  <si>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</si>
  <si>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</si>
  <si>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</si>
  <si>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</si>
  <si>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</si>
  <si>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</si>
  <si>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</si>
  <si>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</si>
  <si>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</si>
  <si>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</si>
  <si>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</si>
  <si>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</si>
  <si>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</si>
  <si>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</si>
  <si>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</si>
  <si>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</si>
  <si>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</si>
  <si>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</si>
  <si>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</si>
  <si>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</si>
  <si>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</si>
  <si>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</si>
  <si>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</si>
  <si>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</si>
  <si>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</si>
  <si>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</si>
  <si>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</si>
  <si>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</si>
  <si>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</si>
  <si>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</si>
  <si>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</si>
  <si>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</si>
  <si>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</si>
  <si>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</si>
  <si>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</si>
  <si>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</si>
  <si>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</si>
  <si>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</si>
  <si>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</si>
  <si>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</si>
  <si>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</si>
  <si>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</si>
  <si>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</si>
  <si>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</si>
  <si>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</si>
  <si>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</si>
  <si>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</si>
  <si>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</si>
  <si>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</si>
  <si>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</si>
  <si>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</si>
  <si>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</si>
  <si>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</si>
  <si>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</si>
  <si>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</si>
  <si>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</si>
  <si>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</si>
  <si>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</si>
  <si>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</si>
  <si>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</si>
  <si>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</si>
  <si>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</si>
  <si>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</si>
  <si>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</si>
  <si>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</si>
  <si>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</si>
  <si>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</si>
  <si>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</si>
  <si>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</si>
  <si>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</si>
  <si>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</si>
  <si>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</si>
  <si>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</si>
  <si>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</si>
  <si>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</si>
  <si>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</si>
  <si>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</si>
  <si>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</si>
  <si>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</si>
  <si>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</si>
  <si>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</si>
  <si>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</si>
  <si>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</si>
  <si>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</si>
  <si>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</si>
  <si>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</si>
  <si>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</si>
  <si>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</si>
  <si>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</si>
  <si>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</si>
  <si>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</si>
  <si>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</si>
  <si>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</si>
  <si>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</si>
  <si>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</si>
  <si>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</si>
  <si>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</si>
  <si>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</si>
  <si>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</si>
  <si>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</si>
  <si>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</si>
  <si>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</si>
  <si>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</si>
  <si>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</si>
  <si>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</si>
  <si>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</si>
  <si>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</si>
  <si>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</si>
  <si>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</si>
  <si>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</si>
  <si>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</si>
  <si>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</si>
  <si>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</si>
  <si>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</si>
  <si>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</si>
  <si>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</si>
  <si>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</si>
  <si>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</si>
  <si>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</si>
  <si>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</si>
  <si>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</si>
  <si>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</si>
  <si>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</si>
  <si>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</si>
  <si>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</si>
  <si>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</si>
  <si>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</si>
  <si>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</si>
  <si>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</si>
  <si>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</si>
  <si>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</si>
  <si>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</si>
  <si>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</si>
  <si>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</si>
  <si>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</si>
  <si>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</si>
  <si>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</si>
  <si>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</si>
  <si>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</si>
  <si>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</si>
  <si>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</si>
  <si>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</si>
  <si>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</si>
  <si>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</si>
  <si>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</si>
  <si>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</si>
  <si>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</si>
  <si>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</si>
  <si>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</si>
  <si>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</si>
  <si>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</si>
  <si>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</si>
  <si>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</si>
  <si>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</si>
  <si>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</si>
  <si>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</si>
  <si>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</si>
  <si>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</si>
  <si>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</si>
  <si>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</si>
  <si>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</si>
  <si>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</si>
  <si>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</si>
  <si>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</si>
  <si>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</si>
  <si>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</si>
  <si>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</si>
  <si>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</si>
  <si>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</si>
  <si>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</si>
  <si>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</si>
  <si>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</si>
  <si>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</si>
  <si>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</si>
  <si>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</si>
  <si>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</si>
  <si>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</si>
  <si>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</si>
  <si>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</si>
  <si>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</si>
  <si>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</si>
  <si>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</si>
  <si>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</si>
  <si>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</si>
  <si>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</si>
  <si>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</si>
  <si>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</si>
  <si>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</si>
  <si>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</si>
  <si>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</si>
  <si>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</si>
  <si>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</si>
  <si>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</si>
  <si>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</si>
  <si>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</si>
  <si>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</si>
  <si>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</si>
  <si>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</si>
  <si>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</si>
  <si>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</si>
  <si>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</si>
  <si>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</si>
  <si>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</si>
  <si>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</si>
  <si>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</si>
  <si>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</si>
  <si>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</si>
  <si>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</si>
  <si>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</si>
  <si>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</si>
  <si>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</si>
  <si>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</si>
  <si>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</si>
  <si>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</si>
  <si>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</si>
  <si>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</si>
  <si>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</si>
  <si>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</si>
  <si>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</si>
  <si>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</si>
  <si>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</si>
  <si>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</si>
  <si>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</si>
  <si>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</si>
  <si>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</si>
  <si>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</si>
  <si>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</si>
  <si>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</si>
  <si>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</si>
  <si>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</si>
  <si>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</si>
  <si>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</si>
  <si>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</si>
  <si>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</si>
  <si>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</si>
  <si>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</si>
  <si>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</si>
  <si>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</si>
  <si>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</si>
  <si>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</si>
  <si>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</si>
  <si>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</si>
  <si>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</si>
  <si>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</si>
  <si>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</si>
  <si>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</si>
  <si>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</si>
  <si>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</si>
  <si>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</si>
  <si>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</si>
  <si>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</si>
  <si>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</si>
  <si>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</si>
  <si>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</si>
  <si>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</si>
  <si>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</si>
  <si>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</si>
  <si>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</si>
  <si>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</si>
  <si>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</si>
  <si>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</si>
  <si>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</si>
  <si>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</si>
  <si>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</si>
  <si>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</si>
  <si>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</si>
  <si>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</si>
  <si>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</si>
  <si>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</si>
  <si>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</si>
  <si>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</si>
  <si>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</si>
  <si>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</si>
  <si>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</si>
  <si>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</si>
  <si>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</si>
  <si>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</si>
  <si>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</si>
  <si>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</si>
  <si>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</si>
  <si>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</si>
  <si>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</si>
  <si>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</si>
  <si>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</si>
  <si>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</si>
  <si>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</si>
  <si>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</si>
  <si>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</si>
  <si>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</si>
  <si>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</si>
  <si>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</si>
  <si>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</si>
  <si>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</si>
  <si>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</si>
  <si>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</si>
  <si>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</si>
  <si>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</si>
  <si>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</si>
  <si>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</si>
  <si>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</si>
  <si>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</si>
  <si>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</si>
  <si>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</si>
  <si>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</si>
  <si>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</si>
  <si>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</si>
  <si>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</si>
  <si>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</si>
  <si>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</si>
  <si>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</si>
  <si>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</si>
  <si>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</si>
  <si>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</si>
  <si>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</si>
  <si>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</si>
  <si>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</si>
  <si>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</si>
  <si>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</si>
  <si>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</si>
  <si>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</si>
  <si>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</si>
  <si>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</si>
  <si>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</si>
  <si>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</si>
  <si>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</si>
  <si>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</si>
  <si>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</si>
  <si>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</si>
  <si>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</si>
  <si>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</si>
  <si>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</si>
  <si>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</si>
  <si>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</si>
  <si>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</si>
  <si>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</si>
  <si>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</si>
  <si>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</si>
  <si>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</si>
  <si>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</si>
  <si>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</si>
  <si>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</si>
  <si>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</si>
  <si>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</si>
  <si>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</si>
  <si>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</si>
  <si>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</si>
  <si>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</si>
  <si>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</si>
  <si>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</si>
  <si>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</si>
  <si>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</si>
  <si>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</si>
  <si>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</si>
  <si>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</si>
  <si>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</si>
  <si>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</si>
  <si>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</si>
  <si>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</si>
  <si>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</si>
  <si>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</si>
  <si>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</si>
  <si>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</si>
  <si>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</si>
  <si>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</si>
  <si>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</si>
  <si>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</si>
  <si>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</si>
  <si>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</si>
  <si>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</si>
  <si>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</si>
  <si>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</si>
  <si>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</si>
  <si>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</si>
  <si>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</si>
  <si>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</si>
  <si>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</si>
  <si>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</si>
  <si>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</si>
  <si>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</si>
  <si>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</si>
  <si>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</si>
  <si>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</si>
  <si>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</si>
  <si>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</si>
  <si>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</si>
  <si>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</si>
  <si>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</si>
  <si>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</si>
  <si>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</si>
  <si>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</si>
  <si>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</si>
  <si>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</si>
  <si>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</si>
  <si>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</si>
  <si>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</si>
  <si>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</si>
  <si>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</si>
  <si>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</si>
  <si>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</si>
  <si>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</si>
  <si>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</si>
  <si>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</si>
  <si>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</si>
  <si>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</si>
  <si>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</si>
  <si>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</si>
  <si>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</si>
  <si>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</si>
  <si>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</si>
  <si>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</si>
  <si>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</si>
  <si>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</si>
  <si>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</si>
  <si>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</si>
  <si>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</si>
  <si>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</si>
  <si>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</si>
  <si>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</si>
  <si>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</si>
  <si>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</si>
  <si>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</si>
  <si>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</si>
  <si>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</si>
  <si>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</si>
  <si>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</si>
  <si>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</si>
  <si>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</si>
  <si>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</si>
  <si>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</si>
  <si>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</si>
  <si>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</si>
  <si>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</si>
  <si>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</si>
  <si>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</si>
  <si>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</si>
  <si>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</si>
  <si>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</si>
  <si>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</si>
  <si>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</si>
  <si>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</si>
  <si>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</si>
  <si>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</si>
  <si>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</si>
  <si>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</si>
  <si>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</si>
  <si>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</si>
  <si>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</si>
  <si>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</si>
  <si>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</si>
  <si>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</si>
  <si>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</si>
  <si>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</si>
  <si>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</si>
  <si>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</si>
  <si>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</si>
  <si>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</si>
  <si>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</si>
  <si>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</si>
  <si>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</si>
  <si>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</si>
  <si>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</si>
  <si>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</si>
  <si>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</si>
  <si>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</si>
  <si>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</si>
  <si>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</si>
  <si>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</si>
  <si>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</si>
  <si>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</si>
  <si>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</si>
  <si>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</si>
  <si>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</si>
  <si>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</si>
  <si>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</si>
  <si>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</si>
  <si>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</si>
  <si>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</si>
  <si>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</si>
  <si>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</si>
  <si>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</si>
  <si>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</si>
  <si>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</si>
  <si>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</si>
  <si>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</si>
  <si>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</si>
  <si>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</si>
  <si>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</si>
  <si>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</si>
  <si>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</si>
  <si>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</si>
  <si>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</si>
  <si>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</si>
  <si>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</si>
  <si>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</si>
  <si>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</si>
  <si>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</si>
  <si>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</si>
  <si>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</si>
  <si>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</si>
  <si>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</si>
  <si>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</si>
  <si>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</si>
  <si>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</si>
  <si>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</si>
  <si>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</si>
  <si>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</si>
  <si>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</si>
  <si>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</si>
  <si>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</si>
  <si>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</si>
  <si>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</si>
  <si>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</si>
  <si>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</si>
  <si>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</si>
  <si>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</si>
  <si>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</si>
  <si>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</si>
  <si>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</si>
  <si>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</si>
  <si>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</si>
  <si>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</si>
  <si>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</si>
  <si>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</si>
  <si>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</si>
  <si>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</si>
  <si>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</si>
  <si>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</si>
  <si>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</si>
  <si>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</si>
  <si>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</si>
  <si>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</si>
  <si>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</si>
  <si>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</si>
  <si>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</si>
  <si>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</si>
  <si>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</si>
  <si>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</si>
  <si>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</si>
  <si>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</si>
  <si>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</si>
  <si>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</si>
  <si>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</si>
  <si>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</si>
  <si>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</si>
  <si>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</si>
  <si>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</si>
  <si>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</si>
  <si>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</si>
  <si>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</si>
  <si>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</si>
  <si>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</si>
  <si>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</si>
  <si>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</si>
  <si>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</si>
  <si>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</si>
  <si>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</si>
  <si>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</si>
  <si>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</si>
  <si>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</si>
  <si>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</si>
  <si>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</si>
  <si>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</si>
  <si>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</si>
  <si>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</si>
  <si>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</si>
  <si>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</si>
  <si>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</si>
  <si>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</si>
  <si>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</si>
  <si>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</si>
  <si>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</si>
  <si>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</si>
  <si>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</si>
  <si>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</si>
  <si>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</si>
  <si>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</si>
  <si>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</si>
  <si>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</si>
  <si>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</si>
  <si>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</si>
  <si>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</si>
  <si>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</si>
  <si>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</si>
  <si>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</si>
  <si>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</si>
  <si>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</si>
  <si>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</si>
  <si>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</si>
  <si>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</si>
  <si>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</si>
  <si>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</si>
  <si>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</si>
  <si>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</si>
  <si>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</si>
  <si>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</si>
  <si>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</si>
  <si>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</si>
  <si>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</si>
  <si>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</si>
  <si>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</si>
  <si>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</si>
  <si>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</si>
  <si>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</si>
  <si>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</si>
  <si>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</si>
  <si>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</si>
  <si>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</si>
  <si>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</si>
  <si>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</si>
  <si>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</si>
  <si>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</si>
  <si>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</si>
  <si>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</si>
  <si>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</si>
  <si>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</si>
  <si>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</si>
  <si>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</si>
  <si>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</si>
  <si>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</si>
  <si>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</si>
  <si>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</si>
  <si>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</si>
  <si>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</si>
  <si>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</si>
  <si>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</si>
  <si>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</si>
  <si>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</si>
  <si>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</si>
  <si>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</si>
  <si>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</si>
  <si>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</si>
  <si>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</si>
  <si>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</si>
  <si>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</si>
  <si>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</si>
  <si>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</si>
  <si>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</si>
  <si>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</si>
  <si>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</si>
  <si>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</si>
  <si>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</si>
  <si>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</si>
  <si>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</si>
  <si>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</si>
  <si>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</si>
  <si>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</si>
  <si>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</si>
  <si>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</si>
  <si>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</si>
  <si>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</si>
  <si>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</si>
  <si>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</si>
  <si>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</si>
  <si>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</si>
  <si>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</si>
  <si>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</si>
  <si>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</si>
  <si>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</si>
  <si>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</si>
  <si>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</si>
  <si>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</si>
  <si>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</si>
  <si>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</si>
  <si>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</si>
  <si>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</si>
  <si>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</si>
  <si>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</si>
  <si>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</si>
  <si>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</si>
  <si>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</si>
  <si>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</si>
  <si>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</si>
  <si>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</si>
  <si>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</si>
  <si>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</si>
  <si>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</si>
  <si>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</si>
  <si>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</si>
  <si>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</si>
  <si>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</si>
  <si>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</si>
  <si>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</si>
  <si>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</si>
  <si>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</si>
  <si>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</si>
  <si>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</si>
  <si>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</si>
  <si>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</si>
  <si>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</si>
  <si>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</si>
  <si>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</si>
  <si>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</si>
  <si>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</si>
  <si>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</si>
  <si>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</si>
  <si>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</si>
  <si>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</si>
  <si>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</si>
  <si>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</si>
  <si>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</si>
  <si>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</si>
  <si>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</si>
  <si>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</si>
  <si>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</si>
  <si>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</si>
  <si>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</si>
  <si>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</si>
  <si>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</si>
  <si>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</si>
  <si>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</si>
  <si>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</si>
  <si>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</si>
  <si>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</si>
  <si>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</si>
  <si>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</si>
  <si>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</si>
  <si>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</si>
  <si>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</si>
  <si>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</si>
  <si>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</si>
  <si>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</si>
  <si>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</si>
  <si>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</si>
  <si>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</si>
  <si>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</si>
  <si>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</si>
  <si>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</si>
  <si>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</si>
  <si>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</si>
  <si>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</si>
  <si>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</si>
  <si>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</si>
  <si>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</si>
  <si>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</si>
  <si>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</si>
  <si>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</si>
  <si>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</si>
  <si>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</si>
  <si>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</si>
  <si>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</si>
  <si>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</si>
  <si>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</si>
  <si>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</si>
  <si>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</si>
  <si>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</si>
  <si>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</si>
  <si>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</si>
  <si>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</si>
  <si>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</si>
  <si>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</si>
  <si>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</si>
  <si>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</si>
  <si>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</si>
  <si>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</si>
  <si>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</si>
  <si>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</si>
  <si>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</si>
  <si>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</si>
  <si>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</si>
  <si>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</si>
  <si>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</si>
  <si>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</si>
  <si>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</si>
  <si>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</si>
  <si>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</si>
  <si>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</si>
  <si>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</si>
  <si>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</si>
  <si>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</si>
  <si>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</si>
  <si>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</si>
  <si>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</si>
  <si>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</si>
  <si>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</si>
  <si>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</si>
  <si>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</si>
  <si>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</si>
  <si>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</si>
  <si>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</si>
  <si>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</si>
  <si>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</si>
  <si>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</si>
  <si>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</si>
  <si>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</si>
  <si>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</si>
  <si>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</si>
  <si>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</si>
  <si>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</si>
  <si>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</si>
  <si>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</si>
  <si>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</si>
  <si>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</si>
  <si>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</si>
  <si>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</si>
  <si>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</si>
  <si>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</si>
  <si>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</si>
  <si>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</si>
  <si>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</si>
  <si>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</si>
  <si>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</si>
  <si>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</si>
  <si>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</si>
  <si>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</si>
  <si>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</si>
  <si>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</si>
  <si>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</si>
  <si>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</si>
  <si>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</si>
  <si>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</si>
  <si>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</si>
  <si>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</si>
  <si>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</si>
  <si>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</si>
  <si>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</si>
  <si>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</si>
  <si>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</si>
  <si>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</si>
  <si>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</si>
  <si>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</si>
  <si>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</si>
  <si>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</si>
  <si>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</si>
  <si>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</si>
  <si>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</si>
  <si>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</si>
  <si>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</si>
  <si>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</si>
  <si>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</si>
  <si>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</si>
  <si>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</si>
  <si>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</si>
  <si>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</si>
  <si>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</si>
  <si>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</si>
  <si>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</si>
  <si>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</si>
  <si>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</si>
  <si>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</si>
  <si>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</si>
  <si>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</si>
  <si>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</si>
  <si>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</si>
  <si>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</si>
  <si>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</si>
  <si>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</si>
  <si>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</si>
  <si>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</si>
  <si>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</si>
  <si>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</si>
  <si>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</si>
  <si>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</si>
  <si>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</si>
  <si>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</si>
  <si>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</si>
  <si>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</si>
  <si>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</si>
  <si>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</si>
  <si>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</si>
  <si>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</si>
  <si>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</si>
  <si>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</si>
  <si>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</si>
  <si>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</si>
  <si>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</si>
  <si>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</si>
  <si>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</si>
  <si>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</si>
  <si>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</si>
  <si>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</si>
  <si>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</si>
  <si>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</si>
  <si>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</si>
  <si>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</si>
  <si>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</si>
  <si>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</si>
  <si>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</si>
  <si>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</si>
  <si>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</si>
  <si>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</si>
  <si>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</si>
  <si>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</si>
  <si>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</si>
  <si>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</si>
  <si>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</si>
  <si>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</si>
  <si>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</si>
  <si>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</si>
  <si>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</si>
  <si>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</si>
  <si>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</si>
  <si>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</si>
  <si>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</si>
  <si>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</si>
  <si>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</si>
  <si>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</si>
  <si>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</si>
  <si>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</si>
  <si>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</si>
  <si>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</si>
  <si>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</si>
  <si>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</si>
  <si>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</si>
  <si>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</si>
  <si>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</si>
  <si>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</si>
  <si>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</si>
  <si>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</si>
  <si>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</si>
  <si>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</si>
  <si>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</si>
  <si>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</si>
  <si>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</si>
  <si>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</si>
  <si>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</si>
  <si>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</si>
  <si>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</si>
  <si>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</si>
  <si>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</si>
  <si>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</si>
  <si>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</si>
  <si>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</si>
  <si>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</si>
  <si>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</si>
  <si>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</si>
  <si>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</si>
  <si>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</si>
  <si>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</si>
  <si>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</si>
  <si>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</si>
  <si>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</si>
  <si>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</si>
  <si>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</si>
  <si>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</si>
  <si>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</si>
  <si>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</si>
  <si>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</si>
  <si>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</si>
  <si>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</si>
  <si>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</si>
  <si>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</si>
  <si>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</si>
  <si>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</si>
  <si>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</si>
  <si>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</si>
  <si>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</si>
  <si>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</si>
  <si>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</si>
  <si>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</si>
  <si>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</si>
  <si>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</si>
  <si>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</si>
  <si>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</si>
  <si>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</si>
  <si>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</si>
  <si>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</si>
  <si>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</si>
  <si>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</si>
  <si>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</si>
  <si>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</si>
  <si>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</si>
  <si>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</si>
  <si>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</si>
  <si>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</si>
  <si>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</si>
  <si>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</si>
  <si>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</si>
  <si>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</si>
  <si>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</si>
  <si>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</si>
  <si>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</si>
  <si>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</si>
  <si>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</si>
  <si>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</si>
  <si>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</si>
  <si>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</si>
  <si>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</si>
  <si>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</si>
  <si>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</si>
  <si>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</si>
  <si>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</si>
  <si>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</si>
  <si>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</si>
  <si>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</si>
  <si>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</si>
  <si>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</si>
  <si>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</si>
  <si>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</si>
  <si>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</si>
  <si>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</si>
  <si>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</si>
  <si>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</si>
  <si>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</si>
  <si>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</si>
  <si>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</si>
  <si>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</si>
  <si>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</si>
  <si>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</si>
  <si>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</si>
  <si>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</si>
  <si>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</si>
  <si>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</si>
  <si>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</si>
  <si>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</si>
  <si>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</si>
  <si>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</si>
  <si>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</si>
  <si>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</si>
  <si>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</si>
  <si>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</si>
  <si>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</si>
  <si>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</si>
  <si>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</si>
  <si>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</si>
  <si>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</si>
  <si>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</si>
  <si>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</si>
  <si>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</si>
  <si>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</si>
  <si>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</si>
  <si>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</si>
  <si>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</si>
  <si>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</si>
  <si>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4547363#1</t>
  </si>
  <si>
    <t>Tadudesingstudio</t>
  </si>
  <si>
    <t>4598753#1</t>
  </si>
  <si>
    <t>Bacarquitectura</t>
  </si>
  <si>
    <t>3888634#1</t>
  </si>
  <si>
    <t>Black Palm Development Corp.</t>
  </si>
  <si>
    <t>4588269#1</t>
  </si>
  <si>
    <t>Gesfinanciera</t>
  </si>
  <si>
    <t>4647518#1</t>
  </si>
  <si>
    <t>Construccionesintegralescr</t>
  </si>
  <si>
    <t>2037068#1</t>
  </si>
  <si>
    <t>Emyly</t>
  </si>
  <si>
    <t>4537947#1</t>
  </si>
  <si>
    <t>Ferrymac</t>
  </si>
  <si>
    <t>4546353#1</t>
  </si>
  <si>
    <t>Soluvial.cl</t>
  </si>
  <si>
    <t>4596296#1</t>
  </si>
  <si>
    <t>Sensatostudio</t>
  </si>
  <si>
    <t xml:space="preserve"> Disqualified (Data)
</t>
  </si>
  <si>
    <t>4538378#1</t>
  </si>
  <si>
    <t>Ajsolutionsa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</si>
  <si>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</si>
  <si>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</si>
  <si>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</si>
  <si>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</si>
  <si>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</si>
  <si>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4565439#1</t>
  </si>
  <si>
    <t>Decokasastudio</t>
  </si>
  <si>
    <t>4606424#1</t>
  </si>
  <si>
    <t>Automotoraolguin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</si>
  <si>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</si>
  <si>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</si>
  <si>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</si>
  <si>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</si>
  <si>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</si>
  <si>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4567346#1</t>
  </si>
  <si>
    <t>Rivalcr</t>
  </si>
  <si>
    <t>4649396#1</t>
  </si>
  <si>
    <t>Bajorelieve</t>
  </si>
  <si>
    <t>4544141#1</t>
  </si>
  <si>
    <t>Evita's cabinets</t>
  </si>
  <si>
    <t>1678727#1</t>
  </si>
  <si>
    <t>Segura Julian Matias</t>
  </si>
  <si>
    <t>4485567#1</t>
  </si>
  <si>
    <t>Bzesigns</t>
  </si>
  <si>
    <t>4649170#1</t>
  </si>
  <si>
    <t xml:space="preserve">Cirigliano
</t>
  </si>
  <si>
    <t>4631125#1</t>
  </si>
  <si>
    <t>Alkimiamx</t>
  </si>
  <si>
    <t>711103#1</t>
  </si>
  <si>
    <t>Obrando</t>
  </si>
  <si>
    <t>4602739#1</t>
  </si>
  <si>
    <t>Espaciomura</t>
  </si>
  <si>
    <t>4642084#1</t>
  </si>
  <si>
    <t>Colmena</t>
  </si>
  <si>
    <t>4329205#1</t>
  </si>
  <si>
    <t>FT Williams and Associates</t>
  </si>
  <si>
    <t>4531902#1</t>
  </si>
  <si>
    <t>Esing</t>
  </si>
  <si>
    <t>4639918#1</t>
  </si>
  <si>
    <t>Azulinversioneshn</t>
  </si>
  <si>
    <t>4619433#1</t>
  </si>
  <si>
    <t>Contactusinc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</si>
  <si>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</si>
  <si>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</si>
  <si>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</si>
  <si>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</si>
  <si>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</si>
  <si>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3586580#1</t>
  </si>
  <si>
    <t>Concrenic</t>
  </si>
  <si>
    <t>4538786#1</t>
  </si>
  <si>
    <t>Geramats</t>
  </si>
  <si>
    <t>4577231#1</t>
  </si>
  <si>
    <t>Basilmx</t>
  </si>
  <si>
    <t>3259214#1, 574394#1</t>
  </si>
  <si>
    <t>Cristian Rodriguez Miranda</t>
  </si>
  <si>
    <t>An additional case was identified and investigated</t>
  </si>
  <si>
    <t>4554074#1</t>
  </si>
  <si>
    <t>ASECSA</t>
  </si>
  <si>
    <t>4608964#1</t>
  </si>
  <si>
    <t>Dotarquitectura</t>
  </si>
  <si>
    <t>4566098#1</t>
  </si>
  <si>
    <t>Bmdsistemas</t>
  </si>
  <si>
    <t>1858096#1, 1792296#1</t>
  </si>
  <si>
    <t>Stop Jeans</t>
  </si>
  <si>
    <t>591418#2</t>
  </si>
  <si>
    <t>Atmosfera</t>
  </si>
  <si>
    <t>4621397#1</t>
  </si>
  <si>
    <t>European Economic Community</t>
  </si>
  <si>
    <t>4539336#1</t>
  </si>
  <si>
    <t>Dipaz</t>
  </si>
  <si>
    <t>4422409#1</t>
  </si>
  <si>
    <t>Adarquitectura</t>
  </si>
  <si>
    <t>4532178#1</t>
  </si>
  <si>
    <t>Multiserviciosgodmart</t>
  </si>
  <si>
    <t xml:space="preserve">4641608#1
</t>
  </si>
  <si>
    <t>Exacta Housing</t>
  </si>
  <si>
    <t>4535822#1</t>
  </si>
  <si>
    <t>Visbeen Architects</t>
  </si>
  <si>
    <t>4535875#1</t>
  </si>
  <si>
    <t>Arquiframme</t>
  </si>
  <si>
    <t>4546580#1</t>
  </si>
  <si>
    <t>Insumatcr</t>
  </si>
  <si>
    <t xml:space="preserve">4536392#1
</t>
  </si>
  <si>
    <t>GH COIN SAC</t>
  </si>
  <si>
    <t>4532350#1</t>
  </si>
  <si>
    <t>Tgamex</t>
  </si>
  <si>
    <t>4568128#1</t>
  </si>
  <si>
    <t>Arteplac</t>
  </si>
  <si>
    <t>4552849#1</t>
  </si>
  <si>
    <t>Spacesaverlatam</t>
  </si>
  <si>
    <t xml:space="preserve">4538187#1
</t>
  </si>
  <si>
    <t>Grupovargu</t>
  </si>
  <si>
    <t>4638342#1</t>
  </si>
  <si>
    <t>Dharius</t>
  </si>
  <si>
    <t>4547359#1</t>
  </si>
  <si>
    <t>As269898</t>
  </si>
  <si>
    <t>4645653#1</t>
  </si>
  <si>
    <t>11desarrollos</t>
  </si>
  <si>
    <t>1928325#1</t>
  </si>
  <si>
    <t>Riboldi Guasti Mauro</t>
  </si>
  <si>
    <t>3405547#1</t>
  </si>
  <si>
    <t>Brilliantmindshn</t>
  </si>
  <si>
    <t>4529979#1</t>
  </si>
  <si>
    <t>Omnitracssa</t>
  </si>
  <si>
    <t>4575435#1</t>
  </si>
  <si>
    <t>Woodinteriorspma</t>
  </si>
  <si>
    <t>No contacts added. Sent back for revision.</t>
  </si>
  <si>
    <t>4567866#1</t>
  </si>
  <si>
    <t>Tuca</t>
  </si>
  <si>
    <t>4571015#1</t>
  </si>
  <si>
    <t>Ceciliademadonna</t>
  </si>
  <si>
    <t>Additional case for Universidad De Buenos AiresA</t>
  </si>
  <si>
    <t>4606451#1</t>
  </si>
  <si>
    <t>Case Rejected. Entity recently launched.</t>
  </si>
  <si>
    <t>1554504#2</t>
  </si>
  <si>
    <t>Frimont Sa</t>
  </si>
  <si>
    <t>An additional case related to the entity was identified and investigated</t>
  </si>
  <si>
    <t>4549848#1</t>
  </si>
  <si>
    <t>Cmrcimbras</t>
  </si>
  <si>
    <t>4478992#1, 1129100#1</t>
  </si>
  <si>
    <t>Jvconstructor</t>
  </si>
  <si>
    <t>4553745#1</t>
  </si>
  <si>
    <t>Hrcasinopuntacana</t>
  </si>
  <si>
    <t>No notes. Contact email is generic. Send back for revision and completion.</t>
  </si>
  <si>
    <t>4474665#1</t>
  </si>
  <si>
    <t>Grupochier</t>
  </si>
  <si>
    <t>4597917#1</t>
  </si>
  <si>
    <t>Dolphoxco</t>
  </si>
  <si>
    <t>Duplicate case, sent back for reinvestigation and contact augmentation</t>
  </si>
  <si>
    <t>4448312#1</t>
  </si>
  <si>
    <t>Lagunasnorte</t>
  </si>
  <si>
    <t>4546810#1</t>
  </si>
  <si>
    <t>Monipetras</t>
  </si>
  <si>
    <t>2068537#2</t>
  </si>
  <si>
    <t>Ffavaloro</t>
  </si>
  <si>
    <t>4600789#1</t>
  </si>
  <si>
    <t>Nuumbra</t>
  </si>
  <si>
    <t>4504033#1</t>
  </si>
  <si>
    <t>Probela La Molina</t>
  </si>
  <si>
    <t>4529496#1</t>
  </si>
  <si>
    <t>Tendenzza Acabados</t>
  </si>
  <si>
    <t>3255332#1</t>
  </si>
  <si>
    <t>Abertecno Tecnologia en Aberturas</t>
  </si>
  <si>
    <t>4567075#1</t>
  </si>
  <si>
    <t>Caev</t>
  </si>
  <si>
    <t>1840584#1</t>
  </si>
  <si>
    <t>Trucks tract USA</t>
  </si>
  <si>
    <t>4546427#1</t>
  </si>
  <si>
    <t>Agrologico</t>
  </si>
  <si>
    <t>4337372#1</t>
  </si>
  <si>
    <t>Plastiferro Tubos SA</t>
  </si>
  <si>
    <t>4597300#1</t>
  </si>
  <si>
    <t>Pireos</t>
  </si>
  <si>
    <t>4488759#1</t>
  </si>
  <si>
    <t>Assaabloy</t>
  </si>
  <si>
    <t>4535501#1</t>
  </si>
  <si>
    <t>Ysintern</t>
  </si>
  <si>
    <t>2323080#1</t>
  </si>
  <si>
    <t>Club Cerro Porteño - Oficial</t>
  </si>
  <si>
    <t>189561#2</t>
  </si>
  <si>
    <t>Enacal</t>
  </si>
  <si>
    <t>4570145#1</t>
  </si>
  <si>
    <t>Bavikon</t>
  </si>
  <si>
    <t>4614486#1</t>
  </si>
  <si>
    <t>Anaaltunadesign</t>
  </si>
  <si>
    <t>Case Rejected. Wifi location too ar to consider part of the company's address. Also no other data was associated with the entity.</t>
  </si>
  <si>
    <t>2514614#1</t>
  </si>
  <si>
    <t>Colortex</t>
  </si>
  <si>
    <t>2418649#1</t>
  </si>
  <si>
    <t>Tecno Lite</t>
  </si>
  <si>
    <t>4448993#1</t>
  </si>
  <si>
    <t>GRUPO MOLICOM</t>
  </si>
  <si>
    <t>4573495#1</t>
  </si>
  <si>
    <t>Pieragregis</t>
  </si>
  <si>
    <t>4440948#1</t>
  </si>
  <si>
    <t>Teco</t>
  </si>
  <si>
    <t>3858152#1</t>
  </si>
  <si>
    <t>Cafesoluble</t>
  </si>
  <si>
    <t>441299#4</t>
  </si>
  <si>
    <t>maquiprocesos</t>
  </si>
  <si>
    <t>4554213#1</t>
  </si>
  <si>
    <t>Grupoasocsa</t>
  </si>
  <si>
    <t>4527743#1</t>
  </si>
  <si>
    <t>Casafacil2024</t>
  </si>
  <si>
    <t>1084322#3</t>
  </si>
  <si>
    <t>Centro CAD Nicaragua</t>
  </si>
  <si>
    <t>2446667#2</t>
  </si>
  <si>
    <t>Industrias Altos Sociedad Anonima Cerrada</t>
  </si>
  <si>
    <t>4552471#1</t>
  </si>
  <si>
    <t>Grupodalbast</t>
  </si>
  <si>
    <t>4402198#1</t>
  </si>
  <si>
    <t>Salum &amp; Wenz Constructora</t>
  </si>
  <si>
    <t>This entity was assigned to Kasznar.</t>
  </si>
  <si>
    <t>576639#1</t>
  </si>
  <si>
    <t>Zegesa</t>
  </si>
  <si>
    <t>4294850#1</t>
  </si>
  <si>
    <t>INTEGRA RETAIL</t>
  </si>
  <si>
    <t>4641439#1</t>
  </si>
  <si>
    <t>Pmodernos</t>
  </si>
  <si>
    <t>4442904#1</t>
  </si>
  <si>
    <t>Amalgama S A</t>
  </si>
  <si>
    <t>4576429#1</t>
  </si>
  <si>
    <t>Tilde Studio</t>
  </si>
  <si>
    <t>4546586#1</t>
  </si>
  <si>
    <t>Kaizen360pe</t>
  </si>
  <si>
    <t>4601828#1</t>
  </si>
  <si>
    <t>Primelivingcr</t>
  </si>
  <si>
    <t>991036#1</t>
  </si>
  <si>
    <t>Ramada Buenos Aires hotel</t>
  </si>
  <si>
    <t>4384525#1</t>
  </si>
  <si>
    <t>Ramac</t>
  </si>
  <si>
    <t>2145417#1</t>
  </si>
  <si>
    <t>Ultramodular</t>
  </si>
  <si>
    <t>4649179#1</t>
  </si>
  <si>
    <t>Reactiveart</t>
  </si>
  <si>
    <t>4477790#1</t>
  </si>
  <si>
    <t>Lumierearquitectura</t>
  </si>
  <si>
    <t>An additional case related to the entity was identified and investigated. 3+ machines in total.</t>
  </si>
  <si>
    <t>552169#1</t>
  </si>
  <si>
    <t>Ricardo Esteban Castellon Bogran</t>
  </si>
  <si>
    <t>878469#1</t>
  </si>
  <si>
    <t>Miranda Arquitectos</t>
  </si>
  <si>
    <t>4544941#1</t>
  </si>
  <si>
    <t>Technofruits - STAR</t>
  </si>
  <si>
    <t>3585492#1</t>
  </si>
  <si>
    <t>ASM Construcciones</t>
  </si>
  <si>
    <t>4587314#1</t>
  </si>
  <si>
    <t>Opuscenter</t>
  </si>
  <si>
    <t>4615441#1</t>
  </si>
  <si>
    <t>Prodemco</t>
  </si>
  <si>
    <t>4536103#1</t>
  </si>
  <si>
    <t>Termovoltcr</t>
  </si>
  <si>
    <t>4649784#1</t>
  </si>
  <si>
    <t>Vialterra</t>
  </si>
  <si>
    <t>1264286#1</t>
  </si>
  <si>
    <t>Expo Imagen Hn</t>
  </si>
  <si>
    <t>1714541#1</t>
  </si>
  <si>
    <t>Thomasjefferson</t>
  </si>
  <si>
    <t>4577920#1</t>
  </si>
  <si>
    <t>Urbanaconstructora</t>
  </si>
  <si>
    <t>4570806#1</t>
  </si>
  <si>
    <t>Transportes Rolitrans S.A.</t>
  </si>
  <si>
    <t xml:space="preserve">526888#1
</t>
  </si>
  <si>
    <t>Noma</t>
  </si>
  <si>
    <t>4609791#1</t>
  </si>
  <si>
    <t>Wave Arquitectura</t>
  </si>
  <si>
    <t>4605702#1</t>
  </si>
  <si>
    <t>Yasgroupsrl</t>
  </si>
  <si>
    <t>4649780#1</t>
  </si>
  <si>
    <t>Sittca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</si>
  <si>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</si>
  <si>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</si>
  <si>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</si>
  <si>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</si>
  <si>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</si>
  <si>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4604498#1</t>
  </si>
  <si>
    <t>Ihsa</t>
  </si>
  <si>
    <t>4643866#1</t>
  </si>
  <si>
    <t>Hbianchi</t>
  </si>
  <si>
    <t>2416836#1</t>
  </si>
  <si>
    <t>SMARTSOLAR</t>
  </si>
  <si>
    <t>1347373#1</t>
  </si>
  <si>
    <t>Bioquimica.cl</t>
  </si>
  <si>
    <t xml:space="preserve">Not enough recent cases.
</t>
  </si>
  <si>
    <t>4649558#1</t>
  </si>
  <si>
    <t>Indethn</t>
  </si>
  <si>
    <t>Too little entity information with no online prescence to verify profile. Added Watch List tag for future observation.</t>
  </si>
  <si>
    <t>4212196#1</t>
  </si>
  <si>
    <t>Ifssac</t>
  </si>
  <si>
    <t>4528943#1</t>
  </si>
  <si>
    <t>Construccionescct</t>
  </si>
  <si>
    <t>2392382#1</t>
  </si>
  <si>
    <t>Cobitat</t>
  </si>
  <si>
    <t>4571281#1</t>
  </si>
  <si>
    <t>Rimgas</t>
  </si>
  <si>
    <t>4610393#1</t>
  </si>
  <si>
    <t>Ingomar - Soluciones en Caucho</t>
  </si>
  <si>
    <t>4589085#1</t>
  </si>
  <si>
    <t>Omeinteriors</t>
  </si>
  <si>
    <t>3867287#1</t>
  </si>
  <si>
    <t>Gomez Roco</t>
  </si>
  <si>
    <t>4570421#1</t>
  </si>
  <si>
    <t>Lera</t>
  </si>
  <si>
    <t>Reincidencia</t>
  </si>
  <si>
    <t>4573944#1</t>
  </si>
  <si>
    <t>Laposta</t>
  </si>
  <si>
    <t>4562412#1</t>
  </si>
  <si>
    <t>Aesarquitectos</t>
  </si>
  <si>
    <t>1329080#1</t>
  </si>
  <si>
    <t>EXO S.A. - Soluciones Tecnológicas</t>
  </si>
  <si>
    <t>4536853#1</t>
  </si>
  <si>
    <t>Integralad</t>
  </si>
  <si>
    <t>4605286#1</t>
  </si>
  <si>
    <t>Grupoancon</t>
  </si>
  <si>
    <t>1830401#2</t>
  </si>
  <si>
    <t>DelCampo School</t>
  </si>
  <si>
    <t>2394114#1</t>
  </si>
  <si>
    <t>Carpeal</t>
  </si>
  <si>
    <t>4638288#1</t>
  </si>
  <si>
    <t>Saladinmiller</t>
  </si>
  <si>
    <t>4592585#1</t>
  </si>
  <si>
    <t>Logyca</t>
  </si>
  <si>
    <t>2356325#2</t>
  </si>
  <si>
    <t>Grupo Fortezza</t>
  </si>
  <si>
    <t>4543458#1</t>
  </si>
  <si>
    <t>Cospb</t>
  </si>
  <si>
    <t>Nonprofit</t>
  </si>
  <si>
    <t>4641218#1</t>
  </si>
  <si>
    <t>Roel</t>
  </si>
  <si>
    <t>4643293#1</t>
  </si>
  <si>
    <t>MUEBLES GL SAC</t>
  </si>
  <si>
    <t>4576242#1</t>
  </si>
  <si>
    <t>Echegarayarquitectos</t>
  </si>
  <si>
    <t>4590983#1</t>
  </si>
  <si>
    <t>Filabe</t>
  </si>
  <si>
    <t>4579597#1</t>
  </si>
  <si>
    <t>Figurati</t>
  </si>
  <si>
    <t>4544508#1</t>
  </si>
  <si>
    <t>Ofinova</t>
  </si>
  <si>
    <t>534433#1</t>
  </si>
  <si>
    <t>Discover</t>
  </si>
  <si>
    <t>3876430#1</t>
  </si>
  <si>
    <t>Santateresita</t>
  </si>
  <si>
    <t>4620619#1</t>
  </si>
  <si>
    <t>Hidasa</t>
  </si>
  <si>
    <t>4627065#1</t>
  </si>
  <si>
    <t>Mmaarq</t>
  </si>
  <si>
    <t>4550240#1</t>
  </si>
  <si>
    <t>Corporacionmac</t>
  </si>
  <si>
    <t>2446700#3</t>
  </si>
  <si>
    <t>C.E.P. Santa Maria De Brena E.I.R.L.</t>
  </si>
  <si>
    <t>4579816#1</t>
  </si>
  <si>
    <t>Mirarquitectos</t>
  </si>
  <si>
    <t>2286559#2</t>
  </si>
  <si>
    <t>Prochap</t>
  </si>
  <si>
    <t xml:space="preserve">4567048#1
</t>
  </si>
  <si>
    <t>ModularA01</t>
  </si>
  <si>
    <t>1264047#1</t>
  </si>
  <si>
    <t>Frigerio Nelson Horacio</t>
  </si>
  <si>
    <t>4637315#1</t>
  </si>
  <si>
    <t>Ajiza</t>
  </si>
  <si>
    <t>4524163#1</t>
  </si>
  <si>
    <t>Oriontis</t>
  </si>
  <si>
    <t>1999370#1</t>
  </si>
  <si>
    <t>BTL Marketing</t>
  </si>
  <si>
    <t>1843590#1</t>
  </si>
  <si>
    <t>Andariega SRL</t>
  </si>
  <si>
    <t>4606823#1</t>
  </si>
  <si>
    <t>Grupomayasv</t>
  </si>
  <si>
    <t>4470575#1</t>
  </si>
  <si>
    <t>Dearcos</t>
  </si>
  <si>
    <t>607749#1</t>
  </si>
  <si>
    <t>Contempo Casa</t>
  </si>
  <si>
    <t>1629451#1</t>
  </si>
  <si>
    <t>ISCOT Services</t>
  </si>
  <si>
    <t>4580317#1</t>
  </si>
  <si>
    <t>Voidtechdr</t>
  </si>
  <si>
    <t>4529099#1</t>
  </si>
  <si>
    <t>Construtex</t>
  </si>
  <si>
    <t>236423#2</t>
  </si>
  <si>
    <t>Emycsa</t>
  </si>
  <si>
    <t>2308890#1</t>
  </si>
  <si>
    <t>Bestchem</t>
  </si>
  <si>
    <t>4546618#1</t>
  </si>
  <si>
    <t>Marcasastrales</t>
  </si>
  <si>
    <t>4365646#1</t>
  </si>
  <si>
    <t>XBRI Cubiertas</t>
  </si>
  <si>
    <t>482192#1</t>
  </si>
  <si>
    <t>INMARK</t>
  </si>
  <si>
    <t>902412#1</t>
  </si>
  <si>
    <t>Alubrysl</t>
  </si>
  <si>
    <t>4588751#1</t>
  </si>
  <si>
    <t>Carpentercord</t>
  </si>
  <si>
    <t>4507688#1</t>
  </si>
  <si>
    <t>Angapet</t>
  </si>
  <si>
    <t>1744348#1</t>
  </si>
  <si>
    <t>Edson Simeon</t>
  </si>
  <si>
    <t>1101658#1</t>
  </si>
  <si>
    <t>Plastigas Mar del Plata SA</t>
  </si>
  <si>
    <t>4550506#1</t>
  </si>
  <si>
    <t>Uhi</t>
  </si>
  <si>
    <t>982008#1</t>
  </si>
  <si>
    <t>Ximena Ximenez</t>
  </si>
  <si>
    <t>582377#1</t>
  </si>
  <si>
    <t>Newcity Residencial</t>
  </si>
  <si>
    <t>2143072#1</t>
  </si>
  <si>
    <t>suministro de obras</t>
  </si>
  <si>
    <t>4531814#1</t>
  </si>
  <si>
    <t>Decoarq</t>
  </si>
  <si>
    <t>4320677#1</t>
  </si>
  <si>
    <t>Blindajesecurity</t>
  </si>
  <si>
    <t>4427744#1</t>
  </si>
  <si>
    <t>Off365</t>
  </si>
  <si>
    <t>942879#1</t>
  </si>
  <si>
    <t>MoRPH Argentina</t>
  </si>
  <si>
    <t>4614596#1</t>
  </si>
  <si>
    <t>Grupologospty</t>
  </si>
  <si>
    <t>4572126#1</t>
  </si>
  <si>
    <t>Mueblesdontonino</t>
  </si>
  <si>
    <t>4383518#1</t>
  </si>
  <si>
    <t>Emcose</t>
  </si>
  <si>
    <t>1746171#1</t>
  </si>
  <si>
    <t>ARS Technologies</t>
  </si>
  <si>
    <t>4593073#1</t>
  </si>
  <si>
    <t>Sidcof</t>
  </si>
  <si>
    <t>4648597#1</t>
  </si>
  <si>
    <t>Sclem</t>
  </si>
  <si>
    <t>189320#2</t>
  </si>
  <si>
    <t>Dinant</t>
  </si>
  <si>
    <t>Case disqualified (Date)</t>
  </si>
  <si>
    <t>1209330#1</t>
  </si>
  <si>
    <t>Construcmaderas</t>
  </si>
  <si>
    <t>4539775#1</t>
  </si>
  <si>
    <t>Almadasa</t>
  </si>
  <si>
    <t>4608461#1</t>
  </si>
  <si>
    <t>Tarsingenieria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</si>
  <si>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</si>
  <si>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</si>
  <si>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</si>
  <si>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</si>
  <si>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</si>
  <si>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4553522#1</t>
  </si>
  <si>
    <t>Textufil S.A. de C.V.</t>
  </si>
  <si>
    <t>4644969#1</t>
  </si>
  <si>
    <t>Tmimza</t>
  </si>
  <si>
    <t>1069552#1</t>
  </si>
  <si>
    <t>Zibza Arquitectos</t>
  </si>
  <si>
    <t>752966#2</t>
  </si>
  <si>
    <t>Intenisa</t>
  </si>
  <si>
    <t>4575378#1</t>
  </si>
  <si>
    <t>Constructoramedina</t>
  </si>
  <si>
    <t>4595260#1</t>
  </si>
  <si>
    <t>Vanguardia</t>
  </si>
  <si>
    <t>1909411#1, 1692352#1</t>
  </si>
  <si>
    <t>Pucom</t>
  </si>
  <si>
    <t>3048020#1</t>
  </si>
  <si>
    <t>Ola</t>
  </si>
  <si>
    <t>4557499#1</t>
  </si>
  <si>
    <t>Rimora</t>
  </si>
  <si>
    <t>4426903#1</t>
  </si>
  <si>
    <t>Scout</t>
  </si>
  <si>
    <t>2475237#1</t>
  </si>
  <si>
    <t>PREFACERO</t>
  </si>
  <si>
    <t>1548843#1</t>
  </si>
  <si>
    <t>Blau</t>
  </si>
  <si>
    <t>4547687#1</t>
  </si>
  <si>
    <t>Apestegui Blair Consultores</t>
  </si>
  <si>
    <t>4599603#1</t>
  </si>
  <si>
    <t>US Open</t>
  </si>
  <si>
    <t>4252252#1</t>
  </si>
  <si>
    <t>Pintropical</t>
  </si>
  <si>
    <t>1748428#2</t>
  </si>
  <si>
    <t>todoloquebusco</t>
  </si>
  <si>
    <t>4442663#1</t>
  </si>
  <si>
    <t>Puc</t>
  </si>
  <si>
    <t>Contacts with different domains. Sent back for revision.</t>
  </si>
  <si>
    <t>4644128#1</t>
  </si>
  <si>
    <t>Terbol S.A. Cochabamba</t>
  </si>
  <si>
    <t>970488#1</t>
  </si>
  <si>
    <t>Arquiterrac</t>
  </si>
  <si>
    <t>1591630#1</t>
  </si>
  <si>
    <t>Uniples S.A.</t>
  </si>
  <si>
    <t>4523416#1</t>
  </si>
  <si>
    <t>Midh</t>
  </si>
  <si>
    <t>Gov. Rejected.</t>
  </si>
  <si>
    <t>4631260#1</t>
  </si>
  <si>
    <t>Mvicente</t>
  </si>
  <si>
    <t>1940957#3</t>
  </si>
  <si>
    <t>Pan American Silver</t>
  </si>
  <si>
    <t>533004#3</t>
  </si>
  <si>
    <t>Redcol S.A.</t>
  </si>
  <si>
    <t>4581107#1</t>
  </si>
  <si>
    <t>Alratitostudio</t>
  </si>
  <si>
    <t>4577495#1</t>
  </si>
  <si>
    <t>Cambiofacilecuador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</si>
  <si>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</si>
  <si>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</si>
  <si>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</si>
  <si>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</si>
  <si>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</si>
  <si>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4605784#1</t>
  </si>
  <si>
    <t>Materiaxestudio</t>
  </si>
  <si>
    <t>4649776#1</t>
  </si>
  <si>
    <t>Coripuno</t>
  </si>
  <si>
    <t>1033113#1</t>
  </si>
  <si>
    <t>Veyco</t>
  </si>
  <si>
    <t>1414832#1</t>
  </si>
  <si>
    <t>Apeec</t>
  </si>
  <si>
    <t>4564843#1</t>
  </si>
  <si>
    <t>SISTECOM</t>
  </si>
  <si>
    <t>4614599#1</t>
  </si>
  <si>
    <t>Xtendo</t>
  </si>
  <si>
    <t>2922574#1</t>
  </si>
  <si>
    <t>Addison House Panama</t>
  </si>
  <si>
    <t>1477809#1</t>
  </si>
  <si>
    <t>Sinergiagrupo</t>
  </si>
  <si>
    <t>Last event 2023, not valid. Disqualified.</t>
  </si>
  <si>
    <t>4605658#1</t>
  </si>
  <si>
    <t>Idcinfra</t>
  </si>
  <si>
    <t>4529943#1</t>
  </si>
  <si>
    <t>Stanco</t>
  </si>
  <si>
    <t>482307#1</t>
  </si>
  <si>
    <t>Arqge Arquitectos SRL</t>
  </si>
  <si>
    <t xml:space="preserve">4648684#1
</t>
  </si>
  <si>
    <t>Miranda Arquitectos Peru</t>
  </si>
  <si>
    <t>4604041#1</t>
  </si>
  <si>
    <t>KLAP STUDIO</t>
  </si>
  <si>
    <t>1495029#1</t>
  </si>
  <si>
    <t>Pvarquitectura</t>
  </si>
  <si>
    <t>4334064#1</t>
  </si>
  <si>
    <t>Elmntosarquitectura</t>
  </si>
  <si>
    <t>891797#1</t>
  </si>
  <si>
    <t>Benito Roggio e Hijos S.A Paraguay</t>
  </si>
  <si>
    <t>4606788#1</t>
  </si>
  <si>
    <t>Irritech, S.A.</t>
  </si>
  <si>
    <t>3874134#1, 3259281#1</t>
  </si>
  <si>
    <t>Relievetaller</t>
  </si>
  <si>
    <t xml:space="preserve">An additional case related to the entity was identified and investigated. Case ID: 3259281#1.
</t>
  </si>
  <si>
    <t>4405275#1</t>
  </si>
  <si>
    <t>Masconstructora</t>
  </si>
  <si>
    <t>Multiple Cases (Linked to a LOST case with recent events)</t>
  </si>
  <si>
    <t>1105168#1</t>
  </si>
  <si>
    <t xml:space="preserve">Benito Roggio e Hijos S.A  </t>
  </si>
  <si>
    <t>4567686#1</t>
  </si>
  <si>
    <t>Designerconic</t>
  </si>
  <si>
    <t>414142#2</t>
  </si>
  <si>
    <t>Organicacwd</t>
  </si>
  <si>
    <t>1548654#1</t>
  </si>
  <si>
    <t>Duodesignlatam</t>
  </si>
  <si>
    <t>1193653#1</t>
  </si>
  <si>
    <t>Lihue Ingenieria S A</t>
  </si>
  <si>
    <t>4577436#1</t>
  </si>
  <si>
    <t>Arqdecoestudio</t>
  </si>
  <si>
    <t>4648224#1</t>
  </si>
  <si>
    <t>Linseg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</si>
  <si>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</si>
  <si>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</si>
  <si>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</si>
  <si>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</si>
  <si>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</si>
  <si>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4573462#1</t>
  </si>
  <si>
    <t>Constructora Cumbre</t>
  </si>
  <si>
    <t>Linked to a Lost Case</t>
  </si>
  <si>
    <t>4641773#1</t>
  </si>
  <si>
    <t>Munozconstruye</t>
  </si>
  <si>
    <t>4390615#1</t>
  </si>
  <si>
    <t>Cohenarchitecture</t>
  </si>
  <si>
    <t>1856715#1</t>
  </si>
  <si>
    <t>Rowa S A</t>
  </si>
  <si>
    <t xml:space="preserve">4535494#1
</t>
  </si>
  <si>
    <t>DCC Proyectos S.A</t>
  </si>
  <si>
    <t>4576392#1</t>
  </si>
  <si>
    <t>Ironblack</t>
  </si>
  <si>
    <t>4427483#1</t>
  </si>
  <si>
    <t>Dfsolucionescr</t>
  </si>
  <si>
    <t>448954#1</t>
  </si>
  <si>
    <t>Arke</t>
  </si>
  <si>
    <t>4631267#1</t>
  </si>
  <si>
    <t>Imacocons</t>
  </si>
  <si>
    <t>No online prescence.</t>
  </si>
  <si>
    <t>4645418#1</t>
  </si>
  <si>
    <t>Faenzaipc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</si>
  <si>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</si>
  <si>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</si>
  <si>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</si>
  <si>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</si>
  <si>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</si>
  <si>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4606703#1</t>
  </si>
  <si>
    <t>ININCO S.A</t>
  </si>
  <si>
    <t>4531050#1</t>
  </si>
  <si>
    <t>Constructorasoarco</t>
  </si>
  <si>
    <t>2243817#1</t>
  </si>
  <si>
    <t>Arquifoamgt</t>
  </si>
  <si>
    <t>Multiplied case - Ruvixx Strategic Old Accounts</t>
  </si>
  <si>
    <t>715742#1</t>
  </si>
  <si>
    <t>ROSART Eirl</t>
  </si>
  <si>
    <t>4545409#1</t>
  </si>
  <si>
    <t>Jamessolutionsni</t>
  </si>
  <si>
    <t>4645429#1</t>
  </si>
  <si>
    <t>Concegua</t>
  </si>
  <si>
    <t>2294246#1</t>
  </si>
  <si>
    <t>Programática de Costa Rica S.A.</t>
  </si>
  <si>
    <t>4366325#1</t>
  </si>
  <si>
    <t>Admdalvian</t>
  </si>
  <si>
    <t>4577041#1</t>
  </si>
  <si>
    <t>Jamiesoncarpinteria</t>
  </si>
  <si>
    <t>4414594#1</t>
  </si>
  <si>
    <t>Siderurgica Del Occidente S.A. Sidoc S.A</t>
  </si>
  <si>
    <t>3802131#2</t>
  </si>
  <si>
    <t>Desarrollo Y Nutricion Animal</t>
  </si>
  <si>
    <t>4551859#1</t>
  </si>
  <si>
    <t>Alcasrl</t>
  </si>
  <si>
    <t>4551881#1</t>
  </si>
  <si>
    <t>Losheroes</t>
  </si>
  <si>
    <t>4570499#1</t>
  </si>
  <si>
    <t>Kwparaguay</t>
  </si>
  <si>
    <t>3402597#1</t>
  </si>
  <si>
    <t>Prepanama</t>
  </si>
  <si>
    <t>4527503#1</t>
  </si>
  <si>
    <t>Cucina Ideale</t>
  </si>
  <si>
    <t>4542872#1</t>
  </si>
  <si>
    <t>SITCR</t>
  </si>
  <si>
    <t>454344#1</t>
  </si>
  <si>
    <t>Cortinaje by Angel Cabrera</t>
  </si>
  <si>
    <t>2222172#2</t>
  </si>
  <si>
    <t>Omnitronic S.A.</t>
  </si>
  <si>
    <t>4533593#1</t>
  </si>
  <si>
    <t>Mazcr</t>
  </si>
  <si>
    <t>1346636#1</t>
  </si>
  <si>
    <t>MINILUX</t>
  </si>
  <si>
    <t>4216035#1</t>
  </si>
  <si>
    <t>Solrealgroup</t>
  </si>
  <si>
    <t>2189826#1</t>
  </si>
  <si>
    <t>Grupo MDay</t>
  </si>
  <si>
    <t>4551455#1</t>
  </si>
  <si>
    <t>Dimultisv</t>
  </si>
  <si>
    <t>3867326#1</t>
  </si>
  <si>
    <t>Clipconsultora</t>
  </si>
  <si>
    <t>1451853#2</t>
  </si>
  <si>
    <t>SCH ConsultorÃ­a y ConstrucciÃ³n</t>
  </si>
  <si>
    <t>2353931#1</t>
  </si>
  <si>
    <t>Palma Orlando Agustin</t>
  </si>
  <si>
    <t>4530851#1</t>
  </si>
  <si>
    <t xml:space="preserve">Consorciototal </t>
  </si>
  <si>
    <t>2074614#1</t>
  </si>
  <si>
    <t>Ekore</t>
  </si>
  <si>
    <t>593940#1</t>
  </si>
  <si>
    <t>Cb2arq</t>
  </si>
  <si>
    <t>1265310#1</t>
  </si>
  <si>
    <t>CScreatividad Stands</t>
  </si>
  <si>
    <t>1293662#1</t>
  </si>
  <si>
    <t>Enriquegr</t>
  </si>
  <si>
    <t>4406430#1</t>
  </si>
  <si>
    <t>Estudioclio</t>
  </si>
  <si>
    <t>1347606#1</t>
  </si>
  <si>
    <t>Sandiego</t>
  </si>
  <si>
    <t>1061146#1</t>
  </si>
  <si>
    <t>ENGINEERING S.A.</t>
  </si>
  <si>
    <t>4544239#1</t>
  </si>
  <si>
    <t>Net</t>
  </si>
  <si>
    <t>4386543#1</t>
  </si>
  <si>
    <t>Industrias Merlet S.A. De C.V</t>
  </si>
  <si>
    <t>798135#1</t>
  </si>
  <si>
    <t>UNIBER</t>
  </si>
  <si>
    <t>4542878#1</t>
  </si>
  <si>
    <t>Buildest506</t>
  </si>
  <si>
    <t>4512570#1</t>
  </si>
  <si>
    <t>Rubbersrl</t>
  </si>
  <si>
    <t>4333772#1</t>
  </si>
  <si>
    <t>Rosul</t>
  </si>
  <si>
    <t>1793643#1</t>
  </si>
  <si>
    <t>Perfilsrl</t>
  </si>
  <si>
    <t>4548112#1</t>
  </si>
  <si>
    <t>Hassmanfurniture</t>
  </si>
  <si>
    <t>4565007#1</t>
  </si>
  <si>
    <t>Palyga</t>
  </si>
  <si>
    <t>4515528#1</t>
  </si>
  <si>
    <t>Pulsoarquitectura</t>
  </si>
  <si>
    <t>1362150#1</t>
  </si>
  <si>
    <t>CLC Arquitectos</t>
  </si>
  <si>
    <t>4337483#1</t>
  </si>
  <si>
    <t>Battery Master</t>
  </si>
  <si>
    <t>4600761#1</t>
  </si>
  <si>
    <t>Creardiseno</t>
  </si>
  <si>
    <t>1793331#1</t>
  </si>
  <si>
    <t>ISAD, S.A.</t>
  </si>
  <si>
    <t>1261839#1</t>
  </si>
  <si>
    <t>Norfor SA</t>
  </si>
  <si>
    <t xml:space="preserve">4470864#1
</t>
  </si>
  <si>
    <t>Pinm</t>
  </si>
  <si>
    <t>4649350#1</t>
  </si>
  <si>
    <t>Ingenieriabadran</t>
  </si>
  <si>
    <t>3900448#1</t>
  </si>
  <si>
    <t>Metalicaimperio</t>
  </si>
  <si>
    <t>1025747#1</t>
  </si>
  <si>
    <t>Urbano Express Argentina S.A.</t>
  </si>
  <si>
    <t>4332960#1</t>
  </si>
  <si>
    <t>Capu</t>
  </si>
  <si>
    <t>4648292#1</t>
  </si>
  <si>
    <t>Tcisa</t>
  </si>
  <si>
    <t>932564#1</t>
  </si>
  <si>
    <t>Plastikito</t>
  </si>
  <si>
    <t>4609793#1</t>
  </si>
  <si>
    <t>Primer Piso Arquitectos</t>
  </si>
  <si>
    <t>4591493#1</t>
  </si>
  <si>
    <t>Inblensa</t>
  </si>
  <si>
    <t>334515#3</t>
  </si>
  <si>
    <t>Gisan Group Sas</t>
  </si>
  <si>
    <t>4609792#1</t>
  </si>
  <si>
    <t>HDC Arquitectura</t>
  </si>
  <si>
    <t>4577668#1</t>
  </si>
  <si>
    <t>Enecomsi</t>
  </si>
  <si>
    <t>4471208#1</t>
  </si>
  <si>
    <t>Versatilarquitectos</t>
  </si>
  <si>
    <t>4524312#1</t>
  </si>
  <si>
    <t>Dypsagroup</t>
  </si>
  <si>
    <t>4494425#1</t>
  </si>
  <si>
    <t>Imativa Arquitectos</t>
  </si>
  <si>
    <t>4431030#1</t>
  </si>
  <si>
    <t>Producciones Cosmovision S A</t>
  </si>
  <si>
    <t>1739414#2</t>
  </si>
  <si>
    <t>Dalcor Sac</t>
  </si>
  <si>
    <t>923536#1</t>
  </si>
  <si>
    <t>REZ MASUD Inmobiliaria</t>
  </si>
  <si>
    <t>380099#1</t>
  </si>
  <si>
    <t>Colcar Merbus</t>
  </si>
  <si>
    <t>4299564#1</t>
  </si>
  <si>
    <t>Oblak Hnos. S.A.C.I.F.e I.</t>
  </si>
  <si>
    <t>4633384#1</t>
  </si>
  <si>
    <t>079velonet</t>
  </si>
  <si>
    <t xml:space="preserve">Cooperatives are constituted as non-profit entities.
</t>
  </si>
  <si>
    <t>2440224#1</t>
  </si>
  <si>
    <t>Kalifon Kevin</t>
  </si>
  <si>
    <t>4567420#1</t>
  </si>
  <si>
    <t>Grupo</t>
  </si>
  <si>
    <t>Re launch</t>
  </si>
  <si>
    <t>2954422#1</t>
  </si>
  <si>
    <t>HQ+ Arquitectos</t>
  </si>
  <si>
    <t>3885743#1</t>
  </si>
  <si>
    <t>Metrocubico</t>
  </si>
  <si>
    <t>4334914#1</t>
  </si>
  <si>
    <t>Tolder</t>
  </si>
  <si>
    <t>4546369#1</t>
  </si>
  <si>
    <t>Frigoconcepcion</t>
  </si>
  <si>
    <t>4384577#1</t>
  </si>
  <si>
    <t>Gallagro</t>
  </si>
  <si>
    <t>4649451#1</t>
  </si>
  <si>
    <t>Gapper</t>
  </si>
  <si>
    <t>4421998#1</t>
  </si>
  <si>
    <t>Rossettidesarrollos</t>
  </si>
  <si>
    <t>4523042#1</t>
  </si>
  <si>
    <t>ICE INGENIEROS S.A.</t>
  </si>
  <si>
    <t>4386493#1</t>
  </si>
  <si>
    <t>Pintegralco Servicios Integrales</t>
  </si>
  <si>
    <t>4538827#1</t>
  </si>
  <si>
    <t>Madenco</t>
  </si>
  <si>
    <t>4378665#1</t>
  </si>
  <si>
    <t>Armetalsrl</t>
  </si>
  <si>
    <t>4608487#1</t>
  </si>
  <si>
    <t>Manterolainteriorismo</t>
  </si>
  <si>
    <t>4583942#1</t>
  </si>
  <si>
    <t>Canko</t>
  </si>
  <si>
    <t>4578574#1</t>
  </si>
  <si>
    <t>Menesesvaldes</t>
  </si>
  <si>
    <t>4649249#1</t>
  </si>
  <si>
    <t>Estudiobz</t>
  </si>
  <si>
    <t>4569417#1</t>
  </si>
  <si>
    <t>Mrree</t>
  </si>
  <si>
    <t>4530386#1</t>
  </si>
  <si>
    <t>Inversioneshr</t>
  </si>
  <si>
    <t xml:space="preserve">4456504#1
</t>
  </si>
  <si>
    <t>Edb</t>
  </si>
  <si>
    <t>4524435#1</t>
  </si>
  <si>
    <t>Construvita</t>
  </si>
  <si>
    <t>4492319#1</t>
  </si>
  <si>
    <t>Incarpalm</t>
  </si>
  <si>
    <t>4497475#1</t>
  </si>
  <si>
    <t>Loginmkt</t>
  </si>
  <si>
    <t>4507231#1</t>
  </si>
  <si>
    <t>Buroqualytec</t>
  </si>
  <si>
    <t>4500991#1</t>
  </si>
  <si>
    <t>Fabriesmetal</t>
  </si>
  <si>
    <t>4501643#1</t>
  </si>
  <si>
    <t>Ecuabet</t>
  </si>
  <si>
    <t>4469365#1</t>
  </si>
  <si>
    <t>Grupohtc</t>
  </si>
  <si>
    <t>4528383#1</t>
  </si>
  <si>
    <t>Phoenixlog</t>
  </si>
  <si>
    <t>4495347#1</t>
  </si>
  <si>
    <t>Geoinglobe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</si>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</sst>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1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  <border>
      <left style="thin">
        <color rgb="FFFFF2CC"/>
      </left>
      <right style="thin">
        <color rgb="FFFFF2CC"/>
      </right>
      <top style="thin">
        <color rgb="FFFFF2CC"/>
      </top>
      <bottom style="thin">
        <color rgb="FFFFF2CC"/>
      </bottom>
    </border>
  </borders>
  <cellStyleXfs count="1">
    <xf borderId="0" fillId="0" fontId="0" numFmtId="0" applyAlignment="1" applyFont="1"/>
  </cellStyleXfs>
  <cellXfs count="515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30" fillId="16" fontId="31" numFmtId="49" xfId="0" applyAlignment="1" applyBorder="1" applyFont="1" applyNumberFormat="1">
      <alignment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5" fillId="0" fontId="6" numFmtId="0" xfId="0" applyAlignment="1" applyBorder="1" applyFon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5" fillId="12" fontId="31" numFmtId="0" xfId="0" applyAlignment="1" applyBorder="1" applyFon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3" fillId="17" fontId="31" numFmtId="49" xfId="0" applyAlignment="1" applyBorder="1" applyFont="1" applyNumberFormat="1">
      <alignment horizontal="left" shrinkToFit="0" vertical="center" wrapText="0"/>
    </xf>
    <xf borderId="5" fillId="12" fontId="31" numFmtId="49" xfId="0" applyAlignment="1" applyBorder="1" applyFont="1" applyNumberFormat="1">
      <alignment horizontal="left" shrinkToFit="0" vertical="center" wrapText="0"/>
    </xf>
    <xf borderId="12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2" fontId="31" numFmtId="164" xfId="0" applyAlignment="1" applyBorder="1" applyFont="1" applyNumberFormat="1">
      <alignment horizontal="right"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5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  <dxf>
      <font/>
      <fill>
        <patternFill patternType="solid">
          <fgColor rgb="FFD6CFE1"/>
          <bgColor rgb="FFD6CFE1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5" pivot="0" name="June-style 3">
      <tableStyleElement dxfId="7" type="headerRow"/>
      <tableStyleElement dxfId="3" type="firstRowStripe"/>
      <tableStyleElement dxfId="4" type="secondRowStripe"/>
      <tableStyleElement dxfId="14" type="totalRow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ec2e8131-8015-46b6-b93a-9cf04747fa33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2922574#1"/>
        <s v="482307#1"/>
        <s v="4334064#1"/>
        <s v="4405275#1"/>
        <s v="1548654#1"/>
        <s v="655587#1 "/>
        <s v="4390615#1"/>
        <s v="4427483#1"/>
        <s v="879806#1"/>
        <s v="2243817#1"/>
        <s v="2294246#1"/>
        <s v="3802131#2"/>
        <s v="3402597#1"/>
        <s v="454344#1"/>
        <s v="4216035#1"/>
        <s v="1451853#2"/>
        <s v="593940#1"/>
        <s v="1347606#1"/>
        <s v="4386543#1"/>
        <s v="4333772#1"/>
        <s v="4515528#1"/>
        <s v="1793331#1"/>
        <s v="3900448#1"/>
        <s v="932564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Addison House Panama"/>
        <s v="Arqge Arquitectos SRL"/>
        <s v="Elmntosarquitectura"/>
        <s v="Masconstructora"/>
        <s v="Duodesignlatam"/>
        <s v="Estudioca"/>
        <s v="Cohenarchitecture"/>
        <s v="Dfsolucionescr"/>
        <s v="Christian Gomez Espa~a collignon"/>
        <s v="Arquifoamgt"/>
        <s v="Programática de Costa Rica S.A."/>
        <s v="Desarrollo Y Nutricion Animal"/>
        <s v="Prepanama"/>
        <s v="Cortinaje by Angel Cabrera"/>
        <s v="Solrealgroup"/>
        <s v="SCH ConsultorÃ­a y ConstrucciÃ³n"/>
        <s v="Cb2arq"/>
        <s v="Sandiego"/>
        <s v="Industrias Merlet S.A. De C.V"/>
        <s v="Rosul"/>
        <s v="Pulsoarquitectura"/>
        <s v="ISAD, S.A."/>
        <s v="Metalicaimperio"/>
        <s v="Plastikito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Multiple Cases (Linked to a LOST case with recent events)"/>
        <s v="RO Status Closed - Not Won (Exhausted) with new machines and events"/>
        <s v="Ruvixx Strategic Old Accounts (recent events; RO Status NOT WON LOST)"/>
        <s v="Multiplied case - Ruvixx Strategic Old Accou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s v="4546369#1"/>
        <s v="4649451#1"/>
        <s v="4523042#1"/>
        <s v="4538827#1"/>
        <s v="4608487#1"/>
        <s v="4578574#1"/>
        <s v="456941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s v="Frigoconcepcion"/>
        <s v="Gapper"/>
        <s v="ICE INGENIEROS S.A."/>
        <s v="Madenco"/>
        <s v="Manterolainteriorismo"/>
        <s v="Menesesvaldes"/>
        <s v="Mrree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  <s v="Uru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Cooperatives are constituted as non-profit entities. 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164">
      <sharedItems containsDate="1" containsString="0" containsBlank="1">
        <d v="2026-06-09T00:00:00Z"/>
        <d v="2026-06-10T00:00:00Z"/>
        <d v="2026-06-11T00:00:00Z"/>
        <d v="2026-06-12T00:00:00Z"/>
        <d v="2026-06-13T00:00:00Z"/>
        <m/>
      </sharedItems>
    </cacheField>
    <cacheField name="External Case ID" numFmtId="49">
      <sharedItems containsBlank="1">
        <s v="4547363#1"/>
        <s v="4647518#1"/>
        <s v="4596296#1"/>
        <s v="4565439#1"/>
        <s v="4567346#1"/>
        <s v="4485567#1"/>
        <s v="4602739#1"/>
        <s v="4639918#1"/>
        <s v="3586580#1"/>
        <s v="4554074#1"/>
        <s v="591418#2"/>
        <s v="4532178#1"/>
        <s v="4546580#1"/>
        <s v="4552849#1"/>
        <s v="4645653#1"/>
        <s v="4575435#1"/>
        <s v="4606451#1"/>
        <s v="4553745#1"/>
        <s v="4546810#1"/>
        <s v="4529496#1"/>
        <s v="4546427#1"/>
        <s v="4535501#1"/>
        <s v="4614486#1"/>
        <s v="4573495#1"/>
        <s v="4554213#1"/>
        <s v="4552471#1"/>
        <s v="4641439#1"/>
        <s v="4601828#1"/>
        <s v="4649179#1"/>
        <s v="4544941#1"/>
        <s v="4536103#1"/>
        <s v="4577920#1"/>
        <s v="4605702#1"/>
        <s v="4604498#1"/>
        <s v="4649558#1"/>
        <s v="4571281#1"/>
        <s v="4570421#1"/>
        <s v="4536853#1"/>
        <s v="4638288#1"/>
        <s v="4641218#1"/>
        <s v="4579597#1"/>
        <s v="4620619#1"/>
        <s v="4579816#1"/>
        <s v="4637315#1"/>
        <s v="4606823#1"/>
        <s v="4580317#1"/>
        <s v="4546618#1"/>
        <s v="4588751#1"/>
        <s v="4550506#1"/>
        <s v="4531814#1"/>
        <s v="4614596#1"/>
        <s v="4593073#1"/>
        <s v="4539775#1"/>
        <s v="4553522#1"/>
        <s v="4575378#1"/>
        <s v="4557499#1"/>
        <s v="4547687#1"/>
        <s v="4442663#1"/>
        <s v="4523416#1"/>
        <s v="4581107#1"/>
        <s v="4605784#1"/>
        <s v="4564843#1"/>
        <s v="4605658#1"/>
        <s v="4604041#1"/>
        <s v="4606788#1"/>
        <s v="4567686#1"/>
        <s v="4577436#1"/>
        <s v="4573462#1"/>
        <s v="4535494#1&#10;"/>
        <s v="4631267#1"/>
        <s v="4606703#1"/>
        <s v="4545409#1"/>
        <s v="4577041#1"/>
        <s v="4551881#1"/>
        <s v="4542872#1"/>
        <s v="4533593#1"/>
        <s v="4551455#1"/>
        <s v="4530851#1"/>
        <s v="1293662#1"/>
        <s v="4544239#1"/>
        <s v="4542878#1"/>
        <s v="4548112#1"/>
        <s v="4337483#1"/>
        <s v="4470864#1&#10;"/>
        <s v="4332960#1"/>
        <s v="4591493#1"/>
        <s v="4577668#1"/>
        <s v="4494425#1"/>
        <m/>
      </sharedItems>
    </cacheField>
    <cacheField name="Case Name" numFmtId="49">
      <sharedItems containsBlank="1">
        <s v="Tadudesingstudio"/>
        <s v="Construccionesintegralescr"/>
        <s v="Sensatostudio"/>
        <s v="Decokasastudio"/>
        <s v="Rivalcr"/>
        <s v="Bzesigns"/>
        <s v="Espaciomura"/>
        <s v="Azulinversioneshn"/>
        <s v="Concrenic"/>
        <s v="ASECSA"/>
        <s v="Atmosfera"/>
        <s v="Multiserviciosgodmart"/>
        <s v="Insumatcr"/>
        <s v="Spacesaverlatam"/>
        <s v="11desarrollos"/>
        <s v="Woodinteriorspma"/>
        <s v="Copasapma"/>
        <s v="Hrcasinopuntacana"/>
        <s v="Monipetras"/>
        <s v="Tendenzza Acabados"/>
        <s v="Agrologico"/>
        <s v="Ysintern"/>
        <s v="Anaaltunadesign"/>
        <s v="Pieragregis"/>
        <s v="Grupoasocsa"/>
        <s v="Grupodalbast"/>
        <s v="Pmodernos"/>
        <s v="Primelivingcr"/>
        <s v="Reactiveart"/>
        <s v="Technofruits - STAR"/>
        <s v="Termovoltcr"/>
        <s v="Urbanaconstructora"/>
        <s v="Yasgroupsrl"/>
        <s v="Ihsa"/>
        <s v="Indethn"/>
        <s v="Rimgas"/>
        <s v="Lera"/>
        <s v="Integralad"/>
        <s v="Saladinmiller"/>
        <s v="Roel"/>
        <s v="Figurati"/>
        <s v="Hidasa"/>
        <s v="Mirarquitectos"/>
        <s v="Ajiza"/>
        <s v="Grupomayasv"/>
        <s v="Voidtechdr"/>
        <s v="Marcasastrales"/>
        <s v="Carpentercord"/>
        <s v="Uhi"/>
        <s v="Decoarq"/>
        <s v="Grupologospty"/>
        <s v="Sidcof"/>
        <s v="Almadasa"/>
        <s v="Textufil S.A. de C.V."/>
        <s v="Constructoramedina"/>
        <s v="Rimora"/>
        <s v="Apestegui Blair Consultores"/>
        <s v="Puc"/>
        <s v="Midh"/>
        <s v="Alratitostudio"/>
        <s v="Materiaxestudio"/>
        <s v="SISTECOM"/>
        <s v="Idcinfra"/>
        <s v="KLAP STUDIO"/>
        <s v="Irritech, S.A."/>
        <s v="Designerconic"/>
        <s v="Arqdecoestudio"/>
        <s v="Constructora Cumbre"/>
        <s v="DCC Proyectos S.A"/>
        <s v="Imacocons"/>
        <s v="ININCO S.A"/>
        <s v="Jamessolutionsni"/>
        <s v="Jamiesoncarpinteria"/>
        <s v="Losheroes"/>
        <s v="SITCR"/>
        <s v="Mazcr"/>
        <s v="Dimultisv"/>
        <s v="Consorciototal "/>
        <s v="Enriquegr"/>
        <s v="Net"/>
        <s v="Buildest506"/>
        <s v="Hassmanfurniture"/>
        <s v="Battery Master"/>
        <s v="Pinm"/>
        <s v="Capu"/>
        <s v="Inblensa"/>
        <s v="Enecomsi"/>
        <s v="Imativa Arquitectos"/>
        <m/>
      </sharedItems>
    </cacheField>
    <cacheField name="Country" numFmtId="0">
      <sharedItems containsBlank="1">
        <s v="Dominican Republic"/>
        <s v="Costa Rica"/>
        <m/>
        <s v="Belize"/>
        <s v="Honduras"/>
        <s v="Nicaragua"/>
        <s v="Mexico"/>
        <s v="Panama"/>
        <s v="El Salvador"/>
        <s v="Guatemala"/>
      </sharedItems>
    </cacheField>
    <cacheField name="Investigator" numFmtId="0">
      <sharedItems containsBlank="1">
        <s v="Clara"/>
        <s v="Maria Celeste"/>
        <s v="Noel"/>
        <s v="Francisco"/>
        <s v="Rafael"/>
        <s v="Enrique"/>
        <m/>
      </sharedItems>
    </cacheField>
    <cacheField name="QA Notes" numFmtId="0">
      <sharedItems containsBlank="1">
        <m/>
        <s v=" Disqualified (Data) "/>
        <s v="No contacts added. Sent back for revision."/>
        <s v="Case Rejected. Entity recently launched."/>
        <s v="No notes. Contact email is generic. Send back for revision and completion."/>
        <s v="Case Rejected. Wifi location too ar to consider part of the company's address. Also no other data was associated with the entity."/>
        <s v="Case disqualified, not enough data or information to associate machine with entity"/>
        <s v="Too little entity information with no online prescence to verify profile. Added Watch List tag for future observation."/>
        <s v="Reincidencia"/>
        <s v="Contacts with different domains. Sent back for revision."/>
        <s v="Gov. Rejected."/>
        <s v="Linked to a Lost Case"/>
        <s v="No online prescenc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164">
      <sharedItems containsDate="1" containsString="0" containsBlank="1">
        <d v="2026-06-09T00:00:00Z"/>
        <d v="2026-06-08T00:00:00Z"/>
        <d v="2026-06-10T00:00:00Z"/>
        <d v="2026-06-11T00:00:00Z"/>
        <d v="2026-06-12T00:00:00Z"/>
        <d v="2026-06-13T00:00:00Z"/>
        <m/>
      </sharedItems>
    </cacheField>
    <cacheField name="External Case ID" numFmtId="49">
      <sharedItems containsBlank="1">
        <s v="4598753#1"/>
        <s v="2037068#1"/>
        <s v="4538378#1"/>
        <s v="4606424#1"/>
        <s v="4649396#1"/>
        <s v="4649170#1"/>
        <s v="4642084#1"/>
        <s v="4619433#1"/>
        <s v="4538786#1"/>
        <s v="4608964#1"/>
        <s v="4621397#1"/>
        <s v="4641608#1 "/>
        <s v="4536392#1 "/>
        <s v="4538187#1 "/>
        <s v="1928325#1"/>
        <s v="2278808#1"/>
        <s v="1554504#2"/>
        <s v="4474665#1"/>
        <s v="2068537#2"/>
        <s v="3255332#1"/>
        <s v="4337372#1"/>
        <s v="2323080#1"/>
        <s v="2514614#1"/>
        <s v="4440948#1"/>
        <s v="4527743#1"/>
        <s v="4402198#1"/>
        <s v="4442904#1"/>
        <s v="991036#1"/>
        <s v="4477790#1"/>
        <s v="3585492#1"/>
        <s v="4649784#1"/>
        <s v="4570806#1"/>
        <s v="4649780#1"/>
        <s v="4643866#1"/>
        <s v="4212196#1"/>
        <s v="4610393#1"/>
        <s v="4573944#1"/>
        <s v="4605286#1"/>
        <s v="4592585#1"/>
        <s v="4643293#1"/>
        <s v="4544508#1"/>
        <s v="4627065#1"/>
        <s v="2286559#2"/>
        <s v="4524163#1"/>
        <s v="4470575#1"/>
        <s v="4529099#1"/>
        <s v="4365646#1"/>
        <s v="4507688#1"/>
        <s v="982008#1"/>
        <s v="4320677#1"/>
        <s v="4572126#1"/>
        <s v="4648597#1"/>
        <s v="4608461#1"/>
        <s v="4644969#1"/>
        <s v="4595260#1"/>
        <s v="4426903#1"/>
        <s v="4599603#1"/>
        <s v="4644128#1"/>
        <s v="4631260#1"/>
        <s v="4577495#1"/>
        <s v="4649776#1"/>
        <s v="4614599#1"/>
        <s v="4529943#1"/>
        <s v="1495029#1"/>
        <s v="3874134#1, 3259281#1"/>
        <s v="414142#2"/>
        <s v="4648224#1"/>
        <s v="4641773#1"/>
        <s v="4576392#1"/>
        <s v="4645418#1"/>
        <s v="4531050#1"/>
        <s v="4645429#1"/>
        <s v="4414594#1"/>
        <s v="4570499#1"/>
        <s v="963733#1"/>
        <s v="1346636#1"/>
        <s v="3867326#1"/>
        <s v="2074614#1"/>
        <s v="4406430#1"/>
        <s v="2418287#1"/>
        <s v="4512570#1"/>
        <s v="4565007#1"/>
        <s v="4600761#1"/>
        <s v="4649350#1"/>
        <s v="4648292#1"/>
        <s v="334515#3"/>
        <s v="4471208#1"/>
        <s v="4431030#1"/>
        <s v="923536#1"/>
        <s v="4299564#1"/>
        <s v="2440224#1"/>
        <s v="2954422#1"/>
        <s v="4334914#1"/>
        <s v="4384577#1"/>
        <s v="4421998#1"/>
        <s v="4386493#1"/>
        <s v="4378665#1"/>
        <s v="4583942#1"/>
        <s v="4649249#1"/>
        <s v="4530386#1"/>
        <s v="4456504#1 "/>
        <s v="4524435#1"/>
        <s v="4492319#1"/>
        <s v="4497475#1"/>
        <s v="4507231#1"/>
        <s v="4500991#1"/>
        <s v="4501643#1"/>
        <s v="4469365#1"/>
        <s v="4528383#1"/>
        <s v="4495347#1"/>
        <m/>
      </sharedItems>
    </cacheField>
    <cacheField name="Case Name" numFmtId="49">
      <sharedItems containsBlank="1">
        <s v="Bacarquitectura"/>
        <s v="Emyly"/>
        <s v="Ajsolutionsa"/>
        <s v="Automotoraolguin"/>
        <s v="Bajorelieve"/>
        <s v="Cirigliano "/>
        <s v="Colmena"/>
        <s v="Contactusinc"/>
        <s v="Geramats"/>
        <s v="Dotarquitectura"/>
        <s v="European Economic Community"/>
        <s v="Exacta Housing"/>
        <s v="GH COIN SAC"/>
        <s v="Grupovargu"/>
        <s v="Riboldi Guasti Mauro"/>
        <s v="Almacén Extraportuario El Sauce S.A."/>
        <s v="Frimont Sa"/>
        <s v="Grupochier"/>
        <s v="Ffavaloro"/>
        <s v="Abertecno Tecnologia en Aberturas"/>
        <s v="Plastiferro Tubos SA"/>
        <s v="Club Cerro Porteño - Oficial"/>
        <s v="Colortex"/>
        <s v="Teco"/>
        <s v="Casafacil2024"/>
        <s v="Salum &amp; Wenz Constructora"/>
        <s v="Amalgama S A"/>
        <s v="Ramada Buenos Aires hotel"/>
        <s v="Lumierearquitectura"/>
        <s v="ASM Construcciones"/>
        <s v="Vialterra"/>
        <s v="Transportes Rolitrans S.A."/>
        <s v="Sittca"/>
        <s v="Hbianchi"/>
        <s v="Ifssac"/>
        <s v="Ingomar - Soluciones en Caucho"/>
        <s v="Laposta"/>
        <s v="Grupoancon"/>
        <s v="Logyca"/>
        <s v="MUEBLES GL SAC"/>
        <s v="Ofinova"/>
        <s v="Mmaarq"/>
        <s v="Prochap"/>
        <s v="Oriontis"/>
        <s v="Dearcos"/>
        <s v="Construtex"/>
        <s v="XBRI Cubiertas"/>
        <s v="Angapet"/>
        <s v="Ximena Ximenez"/>
        <s v="Blindajesecurity"/>
        <s v="Mueblesdontonino"/>
        <s v="Sclem"/>
        <s v="Tarsingenieria"/>
        <s v="Tmimza"/>
        <s v="Vanguardia"/>
        <s v="Scout"/>
        <s v="US Open"/>
        <s v="Terbol S.A. Cochabamba"/>
        <s v="Mvicente"/>
        <s v="Cambiofacilecuador"/>
        <s v="Coripuno"/>
        <s v="Xtendo"/>
        <s v="Stanco"/>
        <s v="Pvarquitectura"/>
        <s v="Relievetaller"/>
        <s v="Organicacwd"/>
        <s v="Linseg"/>
        <s v="Munozconstruye"/>
        <s v="Ironblack"/>
        <s v="Faenzaipc"/>
        <s v="Constructorasoarco"/>
        <s v="Concegua"/>
        <s v="Siderurgica Del Occidente S.A. Sidoc S.A"/>
        <s v="Kwparaguay"/>
        <s v="Guzman Nacich S.A.I.C"/>
        <s v="MINILUX"/>
        <s v="Clipconsultora"/>
        <s v="Ekore"/>
        <s v="Estudioclio"/>
        <s v="Sea White SA"/>
        <s v="Rubbersrl"/>
        <s v="Palyga"/>
        <s v="Creardiseno"/>
        <s v="Ingenieriabadran"/>
        <s v="Tcisa"/>
        <s v="Gisan Group Sas"/>
        <s v="Versatilarquitectos"/>
        <s v="Producciones Cosmovision S A"/>
        <s v="REZ MASUD Inmobiliaria"/>
        <s v="Oblak Hnos. S.A.C.I.F.e I."/>
        <s v="Kalifon Kevin"/>
        <s v="HQ+ Arquitectos"/>
        <s v="Tolder"/>
        <s v="Gallagro"/>
        <s v="Rossettidesarrollos"/>
        <s v="Pintegralco Servicios Integrales"/>
        <s v="Armetalsrl"/>
        <s v="Canko"/>
        <s v="Estudiobz"/>
        <s v="Inversioneshr"/>
        <s v="Edb"/>
        <s v="Construvita"/>
        <s v="Incarpalm"/>
        <s v="Loginmkt"/>
        <s v="Buroqualytec"/>
        <s v="Fabriesmetal"/>
        <s v="Ecuabet"/>
        <s v="Grupohtc"/>
        <s v="Phoenixlog"/>
        <s v="Geoinglobe"/>
        <m/>
      </sharedItems>
    </cacheField>
    <cacheField name="Country" numFmtId="0">
      <sharedItems containsBlank="1">
        <s v="Argentina"/>
        <s v="Peru"/>
        <s v="Paraguay"/>
        <s v="Chile"/>
        <s v="Colombia"/>
        <s v="Ecuador"/>
        <s v="Uruguay"/>
        <s v="Bolivia"/>
        <m/>
      </sharedItems>
    </cacheField>
    <cacheField name="Investigator" numFmtId="0">
      <sharedItems containsBlank="1">
        <s v="Luis"/>
        <s v="Rafael"/>
        <s v="Mariadelaida"/>
        <s v="Daniela"/>
        <s v="Enrique"/>
        <m/>
      </sharedItems>
    </cacheField>
    <cacheField name="QA Notes" numFmtId="0">
      <sharedItems containsBlank="1">
        <m/>
        <s v="An additional case related to the entity was identified and investigated"/>
        <s v="This entity was assigned to Kasznar."/>
        <s v="An additional case related to the entity was identified and investigated. 3+ machines in total."/>
        <s v="Case disqualified, not enough data or information to associate the machine with the entity"/>
        <s v="An additional case related to the entity was identified and investigated. Case ID: 3259281#1.&#10;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5"/>
        <item x="3"/>
        <item x="1"/>
        <item x="2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t="default"/>
      </items>
    </pivotField>
    <pivotField name="Country" axis="axisRow" dataField="1" compact="0" outline="0" multipleItemSelectionAllowed="1" showAll="0" sortType="ascending">
      <items>
        <item x="2"/>
        <item x="3"/>
        <item x="1"/>
        <item x="0"/>
        <item x="8"/>
        <item x="9"/>
        <item x="4"/>
        <item x="6"/>
        <item x="5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0"/>
        <item x="2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t="default"/>
      </items>
    </pivotField>
    <pivotField name="Country" axis="axisRow" dataField="1" compact="0" outline="0" multipleItemSelectionAllowed="1" showAll="0" sortType="ascending">
      <items>
        <item x="8"/>
        <item x="0"/>
        <item x="7"/>
        <item x="3"/>
        <item x="4"/>
        <item x="5"/>
        <item x="2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totalsRowCount="1" ref="R1:X999" displayName="MCC_June_Week_2" name="MCC_June_Week_2" id="27">
  <autoFilter ref="$R$1:$X$999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ec2e8131-8015-46b6-b93a-9cf04747fa33}" id="{1e0c9c51-63af-414e-a617-380a278f6612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32</v>
      </c>
      <c r="F19" s="246">
        <f t="shared" ref="F19:F21" si="1">C19-E19</f>
        <v>-2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46</v>
      </c>
      <c r="L19" s="33">
        <f t="shared" ref="L19:L23" si="2">I19-K19</f>
        <v>-41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23</v>
      </c>
      <c r="F20" s="246">
        <f t="shared" si="1"/>
        <v>-8</v>
      </c>
      <c r="G20" s="10"/>
      <c r="H20" s="22" t="s">
        <v>18</v>
      </c>
      <c r="I20" s="36">
        <v>10.0</v>
      </c>
      <c r="J20" s="10"/>
      <c r="K20" s="33">
        <f>SUMIF($K$4:$K$17, H20,$L$4:$L$17)</f>
        <v>6</v>
      </c>
      <c r="L20" s="33">
        <f t="shared" si="2"/>
        <v>4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31</v>
      </c>
      <c r="F21" s="246">
        <f t="shared" si="1"/>
        <v>-16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11</v>
      </c>
      <c r="L21" s="33">
        <f t="shared" si="2"/>
        <v>9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21</v>
      </c>
      <c r="L22" s="33">
        <f t="shared" si="2"/>
        <v>-6</v>
      </c>
    </row>
    <row r="23" outlineLevel="1">
      <c r="D23" s="10"/>
      <c r="E23" s="37" t="s">
        <v>41</v>
      </c>
      <c r="F23" s="38">
        <f>SUM(F19:F21)</f>
        <v>-26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9</v>
      </c>
      <c r="L23" s="33">
        <f t="shared" si="2"/>
        <v>1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-33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11</v>
      </c>
      <c r="F55" s="246">
        <f t="shared" ref="F55:F57" si="3">C55-E55</f>
        <v>19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34</v>
      </c>
      <c r="L55" s="33">
        <f t="shared" ref="L55:L59" si="4">I55-K55</f>
        <v>-24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31</v>
      </c>
      <c r="F56" s="246">
        <f t="shared" si="3"/>
        <v>-11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13</v>
      </c>
      <c r="L56" s="33">
        <f t="shared" si="4"/>
        <v>-3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35</v>
      </c>
      <c r="F57" s="246">
        <f t="shared" si="3"/>
        <v>-15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7</v>
      </c>
      <c r="L58" s="33">
        <f t="shared" si="4"/>
        <v>13</v>
      </c>
    </row>
    <row r="59" outlineLevel="1">
      <c r="D59" s="10"/>
      <c r="E59" s="37" t="s">
        <v>41</v>
      </c>
      <c r="F59" s="38">
        <f>SUM(F55:F57)</f>
        <v>-7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26</v>
      </c>
      <c r="L59" s="33">
        <f t="shared" si="4"/>
        <v>-16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-38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4" width="22.63" outlineLevel="1"/>
    <col customWidth="1" hidden="1" min="15" max="15" width="26.88" outlineLevel="1"/>
    <col customWidth="1" hidden="1" min="16" max="16" width="22.63" outlineLevel="1"/>
    <col customWidth="1" min="17" max="17" width="5.5"/>
    <col customWidth="1" min="18" max="22" width="22.63" outlineLevel="1"/>
    <col customWidth="1" min="23" max="23" width="43.75" outlineLevel="1"/>
    <col customWidth="1" min="24" max="24" width="22.63" outlineLevel="1"/>
    <col customWidth="1" min="25" max="25" width="9.63" outlineLevel="1"/>
    <col customWidth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>
        <v>46182.0</v>
      </c>
      <c r="S2" s="326" t="s">
        <v>3670</v>
      </c>
      <c r="T2" s="326" t="s">
        <v>3671</v>
      </c>
      <c r="U2" s="370" t="s">
        <v>44</v>
      </c>
      <c r="V2" s="370" t="s">
        <v>9</v>
      </c>
      <c r="W2" s="195"/>
      <c r="X2" s="371" t="b">
        <v>1</v>
      </c>
      <c r="Z2" s="270">
        <v>46182.0</v>
      </c>
      <c r="AA2" s="109" t="s">
        <v>3672</v>
      </c>
      <c r="AB2" s="109" t="s">
        <v>3673</v>
      </c>
      <c r="AC2" s="58" t="s">
        <v>11</v>
      </c>
      <c r="AD2" s="58" t="s">
        <v>28</v>
      </c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3674</v>
      </c>
      <c r="D3" s="273" t="s">
        <v>3675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3676</v>
      </c>
      <c r="L3" s="109" t="s">
        <v>3677</v>
      </c>
      <c r="M3" s="58" t="s">
        <v>18</v>
      </c>
      <c r="N3" s="58" t="s">
        <v>20</v>
      </c>
      <c r="O3" s="61"/>
      <c r="P3" s="269" t="b">
        <v>1</v>
      </c>
      <c r="R3" s="369">
        <v>46182.0</v>
      </c>
      <c r="S3" s="326" t="s">
        <v>3678</v>
      </c>
      <c r="T3" s="326" t="s">
        <v>3679</v>
      </c>
      <c r="U3" s="370" t="s">
        <v>10</v>
      </c>
      <c r="V3" s="370" t="s">
        <v>9</v>
      </c>
      <c r="W3" s="195"/>
      <c r="X3" s="371" t="b">
        <v>1</v>
      </c>
      <c r="Z3" s="403">
        <v>46181.0</v>
      </c>
      <c r="AA3" s="294" t="s">
        <v>3680</v>
      </c>
      <c r="AB3" s="294" t="s">
        <v>3681</v>
      </c>
      <c r="AC3" s="295" t="s">
        <v>23</v>
      </c>
      <c r="AD3" s="391" t="s">
        <v>2337</v>
      </c>
      <c r="AE3" s="109"/>
      <c r="AF3" s="269" t="b">
        <v>1</v>
      </c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3682</v>
      </c>
      <c r="D4" s="373" t="s">
        <v>3683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3684</v>
      </c>
      <c r="L4" s="317" t="s">
        <v>3685</v>
      </c>
      <c r="M4" s="58" t="s">
        <v>18</v>
      </c>
      <c r="N4" s="58" t="s">
        <v>20</v>
      </c>
      <c r="O4" s="61"/>
      <c r="P4" s="269" t="b">
        <v>1</v>
      </c>
      <c r="R4" s="369">
        <v>46182.0</v>
      </c>
      <c r="S4" s="326" t="s">
        <v>3686</v>
      </c>
      <c r="T4" s="326" t="s">
        <v>3687</v>
      </c>
      <c r="U4" s="370"/>
      <c r="V4" s="370" t="s">
        <v>9</v>
      </c>
      <c r="W4" s="326" t="s">
        <v>3688</v>
      </c>
      <c r="X4" s="371"/>
      <c r="Z4" s="401">
        <v>46181.0</v>
      </c>
      <c r="AA4" s="273" t="s">
        <v>3689</v>
      </c>
      <c r="AB4" s="273" t="s">
        <v>3690</v>
      </c>
      <c r="AC4" s="342" t="s">
        <v>21</v>
      </c>
      <c r="AD4" s="402" t="s">
        <v>2337</v>
      </c>
      <c r="AE4" s="61"/>
      <c r="AF4" s="269" t="b">
        <v>1</v>
      </c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3691</v>
      </c>
      <c r="D5" s="373" t="s">
        <v>3692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3693</v>
      </c>
      <c r="L5" s="109" t="s">
        <v>3694</v>
      </c>
      <c r="M5" s="58"/>
      <c r="N5" s="58" t="s">
        <v>20</v>
      </c>
      <c r="O5" s="109" t="s">
        <v>3695</v>
      </c>
      <c r="P5" s="298"/>
      <c r="R5" s="369">
        <v>46182.0</v>
      </c>
      <c r="S5" s="326" t="s">
        <v>3696</v>
      </c>
      <c r="T5" s="326" t="s">
        <v>3697</v>
      </c>
      <c r="U5" s="370" t="s">
        <v>10</v>
      </c>
      <c r="V5" s="370" t="s">
        <v>9</v>
      </c>
      <c r="W5" s="195"/>
      <c r="X5" s="371" t="b">
        <v>1</v>
      </c>
      <c r="Z5" s="403">
        <v>46181.0</v>
      </c>
      <c r="AA5" s="294" t="s">
        <v>3698</v>
      </c>
      <c r="AB5" s="294" t="s">
        <v>3699</v>
      </c>
      <c r="AC5" s="391" t="s">
        <v>18</v>
      </c>
      <c r="AD5" s="391" t="s">
        <v>2337</v>
      </c>
      <c r="AE5" s="109"/>
      <c r="AF5" s="269" t="b">
        <v>1</v>
      </c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3700</v>
      </c>
      <c r="D6" s="273" t="s">
        <v>3701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3702</v>
      </c>
      <c r="L6" s="109" t="s">
        <v>3703</v>
      </c>
      <c r="M6" s="58"/>
      <c r="N6" s="58" t="s">
        <v>20</v>
      </c>
      <c r="O6" s="109" t="s">
        <v>3704</v>
      </c>
      <c r="P6" s="298"/>
      <c r="R6" s="369">
        <v>46182.0</v>
      </c>
      <c r="S6" s="326" t="s">
        <v>3705</v>
      </c>
      <c r="T6" s="326" t="s">
        <v>3706</v>
      </c>
      <c r="U6" s="370" t="s">
        <v>10</v>
      </c>
      <c r="V6" s="370" t="s">
        <v>9</v>
      </c>
      <c r="W6" s="326"/>
      <c r="X6" s="371" t="b">
        <v>1</v>
      </c>
      <c r="Z6" s="401">
        <v>46181.0</v>
      </c>
      <c r="AA6" s="273" t="s">
        <v>3707</v>
      </c>
      <c r="AB6" s="273" t="s">
        <v>3708</v>
      </c>
      <c r="AC6" s="402" t="s">
        <v>27</v>
      </c>
      <c r="AD6" s="402" t="s">
        <v>2337</v>
      </c>
      <c r="AE6" s="61"/>
      <c r="AF6" s="269" t="b">
        <v>1</v>
      </c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3709</v>
      </c>
      <c r="D7" s="373" t="s">
        <v>3710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3711</v>
      </c>
      <c r="L7" s="109" t="s">
        <v>3712</v>
      </c>
      <c r="M7" s="58" t="s">
        <v>11</v>
      </c>
      <c r="N7" s="58" t="s">
        <v>20</v>
      </c>
      <c r="O7" s="61"/>
      <c r="P7" s="269" t="b">
        <v>1</v>
      </c>
      <c r="R7" s="369">
        <v>46182.0</v>
      </c>
      <c r="S7" s="326" t="s">
        <v>3713</v>
      </c>
      <c r="T7" s="326" t="s">
        <v>3714</v>
      </c>
      <c r="U7" s="370" t="s">
        <v>950</v>
      </c>
      <c r="V7" s="370" t="s">
        <v>9</v>
      </c>
      <c r="W7" s="195"/>
      <c r="X7" s="371" t="b">
        <v>1</v>
      </c>
      <c r="Z7" s="403">
        <v>46181.0</v>
      </c>
      <c r="AA7" s="294" t="s">
        <v>3715</v>
      </c>
      <c r="AB7" s="294" t="s">
        <v>3716</v>
      </c>
      <c r="AC7" s="391" t="s">
        <v>18</v>
      </c>
      <c r="AD7" s="391" t="s">
        <v>2337</v>
      </c>
      <c r="AE7" s="109"/>
      <c r="AF7" s="269" t="b">
        <v>1</v>
      </c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3717</v>
      </c>
      <c r="D8" s="457" t="s">
        <v>3718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3719</v>
      </c>
      <c r="L8" s="109" t="s">
        <v>3720</v>
      </c>
      <c r="M8" s="58" t="s">
        <v>11</v>
      </c>
      <c r="N8" s="58" t="s">
        <v>20</v>
      </c>
      <c r="O8" s="61"/>
      <c r="P8" s="269" t="b">
        <v>1</v>
      </c>
      <c r="R8" s="458">
        <v>46182.0</v>
      </c>
      <c r="S8" s="459" t="s">
        <v>3721</v>
      </c>
      <c r="T8" s="460" t="s">
        <v>3722</v>
      </c>
      <c r="U8" s="461" t="s">
        <v>19</v>
      </c>
      <c r="V8" s="462" t="s">
        <v>2347</v>
      </c>
      <c r="W8" s="109"/>
      <c r="X8" s="269" t="b">
        <v>1</v>
      </c>
      <c r="Z8" s="401">
        <v>46181.0</v>
      </c>
      <c r="AA8" s="273" t="s">
        <v>3723</v>
      </c>
      <c r="AB8" s="273" t="s">
        <v>3724</v>
      </c>
      <c r="AC8" s="402" t="s">
        <v>18</v>
      </c>
      <c r="AD8" s="402" t="s">
        <v>2337</v>
      </c>
      <c r="AE8" s="61"/>
      <c r="AF8" s="269" t="b">
        <v>1</v>
      </c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3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3725</v>
      </c>
      <c r="D9" s="373" t="s">
        <v>3726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3727</v>
      </c>
      <c r="L9" s="294" t="s">
        <v>3728</v>
      </c>
      <c r="M9" s="295" t="s">
        <v>27</v>
      </c>
      <c r="N9" s="295" t="s">
        <v>2337</v>
      </c>
      <c r="O9" s="61"/>
      <c r="P9" s="269" t="b">
        <v>1</v>
      </c>
      <c r="R9" s="369">
        <v>46182.0</v>
      </c>
      <c r="S9" s="459" t="s">
        <v>3729</v>
      </c>
      <c r="T9" s="459" t="s">
        <v>3730</v>
      </c>
      <c r="U9" s="464" t="s">
        <v>19</v>
      </c>
      <c r="V9" s="465" t="s">
        <v>9</v>
      </c>
      <c r="W9" s="61"/>
      <c r="X9" s="269" t="b">
        <v>1</v>
      </c>
      <c r="Z9" s="403">
        <v>46181.0</v>
      </c>
      <c r="AA9" s="294" t="s">
        <v>3731</v>
      </c>
      <c r="AB9" s="294" t="s">
        <v>3732</v>
      </c>
      <c r="AC9" s="391" t="s">
        <v>27</v>
      </c>
      <c r="AD9" s="391" t="s">
        <v>2337</v>
      </c>
      <c r="AE9" s="61"/>
      <c r="AF9" s="269" t="b">
        <v>1</v>
      </c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6"/>
      <c r="AT9" s="452"/>
      <c r="AU9" s="109"/>
      <c r="AV9" s="298"/>
      <c r="AX9" s="379"/>
      <c r="AY9" s="384"/>
      <c r="AZ9" s="467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3733</v>
      </c>
      <c r="D10" s="413" t="s">
        <v>3734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3735</v>
      </c>
      <c r="L10" s="273" t="s">
        <v>3736</v>
      </c>
      <c r="M10" s="274" t="s">
        <v>15</v>
      </c>
      <c r="N10" s="274" t="s">
        <v>2337</v>
      </c>
      <c r="O10" s="109" t="s">
        <v>3737</v>
      </c>
      <c r="P10" s="298"/>
      <c r="R10" s="369">
        <v>46182.0</v>
      </c>
      <c r="S10" s="459" t="s">
        <v>3738</v>
      </c>
      <c r="T10" s="459" t="s">
        <v>3739</v>
      </c>
      <c r="U10" s="58" t="s">
        <v>32</v>
      </c>
      <c r="V10" s="58" t="s">
        <v>9</v>
      </c>
      <c r="W10" s="61"/>
      <c r="X10" s="269" t="b">
        <v>1</v>
      </c>
      <c r="Z10" s="401">
        <v>46181.0</v>
      </c>
      <c r="AA10" s="273" t="s">
        <v>3740</v>
      </c>
      <c r="AB10" s="273" t="s">
        <v>3741</v>
      </c>
      <c r="AC10" s="402" t="s">
        <v>18</v>
      </c>
      <c r="AD10" s="402" t="s">
        <v>2337</v>
      </c>
      <c r="AE10" s="61"/>
      <c r="AF10" s="269" t="b">
        <v>1</v>
      </c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8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3742</v>
      </c>
      <c r="D11" s="273" t="s">
        <v>3743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3744</v>
      </c>
      <c r="L11" s="294" t="s">
        <v>3745</v>
      </c>
      <c r="M11" s="295" t="s">
        <v>18</v>
      </c>
      <c r="N11" s="295" t="s">
        <v>2337</v>
      </c>
      <c r="O11" s="109" t="s">
        <v>3746</v>
      </c>
      <c r="P11" s="269" t="b">
        <v>1</v>
      </c>
      <c r="R11" s="270">
        <v>46182.0</v>
      </c>
      <c r="S11" s="273" t="s">
        <v>3747</v>
      </c>
      <c r="T11" s="413" t="s">
        <v>3748</v>
      </c>
      <c r="U11" s="402" t="s">
        <v>32</v>
      </c>
      <c r="V11" s="58" t="s">
        <v>12</v>
      </c>
      <c r="W11" s="109"/>
      <c r="X11" s="269" t="b">
        <v>1</v>
      </c>
      <c r="Z11" s="270">
        <v>46182.0</v>
      </c>
      <c r="AA11" s="109" t="s">
        <v>3749</v>
      </c>
      <c r="AB11" s="109" t="s">
        <v>3750</v>
      </c>
      <c r="AC11" s="58" t="s">
        <v>21</v>
      </c>
      <c r="AD11" s="58" t="s">
        <v>28</v>
      </c>
      <c r="AE11" s="61"/>
      <c r="AF11" s="269" t="b">
        <v>0</v>
      </c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3751</v>
      </c>
      <c r="D12" s="294" t="s">
        <v>3752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9" t="s">
        <v>3753</v>
      </c>
      <c r="L12" s="273" t="s">
        <v>3754</v>
      </c>
      <c r="M12" s="274" t="s">
        <v>27</v>
      </c>
      <c r="N12" s="274" t="s">
        <v>2337</v>
      </c>
      <c r="O12" s="109" t="s">
        <v>3746</v>
      </c>
      <c r="P12" s="269" t="b">
        <v>1</v>
      </c>
      <c r="R12" s="270">
        <v>46182.0</v>
      </c>
      <c r="S12" s="294" t="s">
        <v>3755</v>
      </c>
      <c r="T12" s="411" t="s">
        <v>3756</v>
      </c>
      <c r="U12" s="391" t="s">
        <v>22</v>
      </c>
      <c r="V12" s="58" t="s">
        <v>12</v>
      </c>
      <c r="W12" s="61"/>
      <c r="X12" s="269" t="b">
        <v>1</v>
      </c>
      <c r="Z12" s="270">
        <v>46182.0</v>
      </c>
      <c r="AA12" s="109" t="s">
        <v>3757</v>
      </c>
      <c r="AB12" s="109" t="s">
        <v>3758</v>
      </c>
      <c r="AC12" s="58" t="s">
        <v>30</v>
      </c>
      <c r="AD12" s="58" t="s">
        <v>28</v>
      </c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8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3759</v>
      </c>
      <c r="D13" s="273" t="s">
        <v>3760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3761</v>
      </c>
      <c r="L13" s="294" t="s">
        <v>3762</v>
      </c>
      <c r="M13" s="295" t="s">
        <v>27</v>
      </c>
      <c r="N13" s="295" t="s">
        <v>2337</v>
      </c>
      <c r="O13" s="61"/>
      <c r="P13" s="269" t="b">
        <v>1</v>
      </c>
      <c r="R13" s="270">
        <v>46182.0</v>
      </c>
      <c r="S13" s="273" t="s">
        <v>3763</v>
      </c>
      <c r="T13" s="413" t="s">
        <v>3764</v>
      </c>
      <c r="U13" s="402" t="s">
        <v>32</v>
      </c>
      <c r="V13" s="58" t="s">
        <v>12</v>
      </c>
      <c r="W13" s="61"/>
      <c r="X13" s="269" t="b">
        <v>1</v>
      </c>
      <c r="Z13" s="270">
        <v>46182.0</v>
      </c>
      <c r="AA13" s="109" t="s">
        <v>3765</v>
      </c>
      <c r="AB13" s="109" t="s">
        <v>3766</v>
      </c>
      <c r="AC13" s="58" t="s">
        <v>25</v>
      </c>
      <c r="AD13" s="58" t="s">
        <v>28</v>
      </c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70"/>
      <c r="BG13" s="453"/>
      <c r="BH13" s="453"/>
      <c r="BI13" s="471"/>
      <c r="BJ13" s="455"/>
      <c r="BK13" s="61"/>
      <c r="BL13" s="269"/>
    </row>
    <row r="14" ht="22.5" customHeight="1">
      <c r="A14" s="368"/>
      <c r="B14" s="270">
        <v>46175.0</v>
      </c>
      <c r="C14" s="312" t="s">
        <v>3767</v>
      </c>
      <c r="D14" s="472" t="s">
        <v>3768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3769</v>
      </c>
      <c r="L14" s="273" t="s">
        <v>3770</v>
      </c>
      <c r="M14" s="274" t="s">
        <v>11</v>
      </c>
      <c r="N14" s="274" t="s">
        <v>2337</v>
      </c>
      <c r="O14" s="61"/>
      <c r="P14" s="269" t="b">
        <v>1</v>
      </c>
      <c r="R14" s="270">
        <v>46182.0</v>
      </c>
      <c r="S14" s="294" t="s">
        <v>3771</v>
      </c>
      <c r="T14" s="411" t="s">
        <v>3772</v>
      </c>
      <c r="U14" s="391" t="s">
        <v>10</v>
      </c>
      <c r="V14" s="58" t="s">
        <v>12</v>
      </c>
      <c r="W14" s="109"/>
      <c r="X14" s="269" t="b">
        <v>1</v>
      </c>
      <c r="Z14" s="270">
        <v>46182.0</v>
      </c>
      <c r="AA14" s="109" t="s">
        <v>3773</v>
      </c>
      <c r="AB14" s="109" t="s">
        <v>3774</v>
      </c>
      <c r="AC14" s="58" t="s">
        <v>23</v>
      </c>
      <c r="AD14" s="58" t="s">
        <v>28</v>
      </c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3"/>
      <c r="BA14" s="58"/>
      <c r="BB14" s="58"/>
      <c r="BC14" s="61"/>
      <c r="BD14" s="269"/>
      <c r="BF14" s="473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3775</v>
      </c>
      <c r="D15" s="294" t="s">
        <v>3776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3777</v>
      </c>
      <c r="L15" s="294" t="s">
        <v>3778</v>
      </c>
      <c r="M15" s="295" t="s">
        <v>11</v>
      </c>
      <c r="N15" s="295" t="s">
        <v>2337</v>
      </c>
      <c r="O15" s="61"/>
      <c r="P15" s="269" t="b">
        <v>1</v>
      </c>
      <c r="R15" s="270">
        <v>46182.0</v>
      </c>
      <c r="S15" s="474" t="s">
        <v>3779</v>
      </c>
      <c r="T15" s="273" t="s">
        <v>3780</v>
      </c>
      <c r="U15" s="402" t="s">
        <v>24</v>
      </c>
      <c r="V15" s="402" t="s">
        <v>2344</v>
      </c>
      <c r="W15" s="61"/>
      <c r="X15" s="269" t="b">
        <v>1</v>
      </c>
      <c r="Z15" s="270">
        <v>46182.0</v>
      </c>
      <c r="AA15" s="384" t="s">
        <v>3781</v>
      </c>
      <c r="AB15" s="109" t="s">
        <v>3782</v>
      </c>
      <c r="AC15" s="58" t="s">
        <v>27</v>
      </c>
      <c r="AD15" s="58" t="s">
        <v>28</v>
      </c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70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3783</v>
      </c>
      <c r="D16" s="273" t="s">
        <v>3784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3785</v>
      </c>
      <c r="L16" s="273" t="s">
        <v>3786</v>
      </c>
      <c r="M16" s="274" t="s">
        <v>23</v>
      </c>
      <c r="N16" s="274" t="s">
        <v>2337</v>
      </c>
      <c r="O16" s="61"/>
      <c r="P16" s="269" t="b">
        <v>1</v>
      </c>
      <c r="R16" s="270">
        <v>46182.0</v>
      </c>
      <c r="S16" s="474" t="s">
        <v>3787</v>
      </c>
      <c r="T16" s="294" t="s">
        <v>3788</v>
      </c>
      <c r="U16" s="391" t="s">
        <v>13</v>
      </c>
      <c r="V16" s="391" t="s">
        <v>2344</v>
      </c>
      <c r="W16" s="61"/>
      <c r="X16" s="269" t="b">
        <v>1</v>
      </c>
      <c r="Z16" s="270">
        <v>46182.0</v>
      </c>
      <c r="AA16" s="109" t="s">
        <v>3789</v>
      </c>
      <c r="AB16" s="109" t="s">
        <v>3790</v>
      </c>
      <c r="AC16" s="58" t="s">
        <v>11</v>
      </c>
      <c r="AD16" s="58" t="s">
        <v>20</v>
      </c>
      <c r="AE16" s="61"/>
      <c r="AF16" s="269" t="b">
        <v>1</v>
      </c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3"/>
      <c r="BA16" s="58"/>
      <c r="BB16" s="58"/>
      <c r="BC16" s="61"/>
      <c r="BD16" s="269"/>
      <c r="BF16" s="473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3791</v>
      </c>
      <c r="D17" s="273" t="s">
        <v>3792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3793</v>
      </c>
      <c r="L17" s="294" t="s">
        <v>3794</v>
      </c>
      <c r="M17" s="381" t="s">
        <v>11</v>
      </c>
      <c r="N17" s="404" t="s">
        <v>2338</v>
      </c>
      <c r="O17" s="61"/>
      <c r="P17" s="269" t="b">
        <v>1</v>
      </c>
      <c r="R17" s="270">
        <v>46182.0</v>
      </c>
      <c r="S17" s="474" t="s">
        <v>3795</v>
      </c>
      <c r="T17" s="294" t="s">
        <v>3796</v>
      </c>
      <c r="U17" s="391"/>
      <c r="V17" s="391" t="s">
        <v>2344</v>
      </c>
      <c r="W17" s="109" t="s">
        <v>3797</v>
      </c>
      <c r="X17" s="269" t="b">
        <v>1</v>
      </c>
      <c r="Z17" s="270">
        <v>46182.0</v>
      </c>
      <c r="AA17" s="109" t="s">
        <v>725</v>
      </c>
      <c r="AB17" s="109" t="s">
        <v>726</v>
      </c>
      <c r="AC17" s="58" t="s">
        <v>18</v>
      </c>
      <c r="AD17" s="58" t="s">
        <v>20</v>
      </c>
      <c r="AE17" s="109"/>
      <c r="AF17" s="269" t="b">
        <v>1</v>
      </c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3"/>
      <c r="BA17" s="58"/>
      <c r="BB17" s="58"/>
      <c r="BC17" s="61"/>
      <c r="BD17" s="269"/>
      <c r="BF17" s="449"/>
      <c r="BG17" s="450"/>
      <c r="BH17" s="450"/>
      <c r="BI17" s="452"/>
      <c r="BJ17" s="475"/>
      <c r="BK17" s="61"/>
      <c r="BL17" s="269"/>
    </row>
    <row r="18" ht="22.5" customHeight="1">
      <c r="A18" s="368"/>
      <c r="B18" s="270">
        <v>46175.0</v>
      </c>
      <c r="C18" s="273" t="s">
        <v>3798</v>
      </c>
      <c r="D18" s="273" t="s">
        <v>3799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3800</v>
      </c>
      <c r="L18" s="273" t="s">
        <v>3801</v>
      </c>
      <c r="M18" s="399" t="s">
        <v>11</v>
      </c>
      <c r="N18" s="410" t="s">
        <v>2338</v>
      </c>
      <c r="O18" s="109" t="s">
        <v>3802</v>
      </c>
      <c r="P18" s="298"/>
      <c r="R18" s="270">
        <v>46182.0</v>
      </c>
      <c r="S18" s="474" t="s">
        <v>3803</v>
      </c>
      <c r="T18" s="273" t="s">
        <v>2186</v>
      </c>
      <c r="U18" s="402"/>
      <c r="V18" s="402" t="s">
        <v>2344</v>
      </c>
      <c r="W18" s="109" t="s">
        <v>3804</v>
      </c>
      <c r="X18" s="269"/>
      <c r="Z18" s="270">
        <v>46182.0</v>
      </c>
      <c r="AA18" s="109" t="s">
        <v>3805</v>
      </c>
      <c r="AB18" s="109" t="s">
        <v>3806</v>
      </c>
      <c r="AC18" s="58" t="s">
        <v>11</v>
      </c>
      <c r="AD18" s="58" t="s">
        <v>20</v>
      </c>
      <c r="AE18" s="109" t="s">
        <v>3807</v>
      </c>
      <c r="AF18" s="269" t="b">
        <v>1</v>
      </c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3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3808</v>
      </c>
      <c r="D19" s="294" t="s">
        <v>3809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3810</v>
      </c>
      <c r="L19" s="294" t="s">
        <v>3811</v>
      </c>
      <c r="M19" s="441" t="s">
        <v>23</v>
      </c>
      <c r="N19" s="404" t="s">
        <v>2338</v>
      </c>
      <c r="O19" s="109" t="s">
        <v>3746</v>
      </c>
      <c r="P19" s="269" t="b">
        <v>1</v>
      </c>
      <c r="R19" s="270">
        <v>46182.0</v>
      </c>
      <c r="S19" s="474" t="s">
        <v>3812</v>
      </c>
      <c r="T19" s="273" t="s">
        <v>3813</v>
      </c>
      <c r="U19" s="402"/>
      <c r="V19" s="402" t="s">
        <v>2344</v>
      </c>
      <c r="W19" s="109" t="s">
        <v>3814</v>
      </c>
      <c r="X19" s="269" t="b">
        <v>1</v>
      </c>
      <c r="Z19" s="270">
        <v>46182.0</v>
      </c>
      <c r="AA19" s="109" t="s">
        <v>3815</v>
      </c>
      <c r="AB19" s="109" t="s">
        <v>3816</v>
      </c>
      <c r="AC19" s="58" t="s">
        <v>18</v>
      </c>
      <c r="AD19" s="58" t="s">
        <v>20</v>
      </c>
      <c r="AE19" s="61"/>
      <c r="AF19" s="269" t="b">
        <v>1</v>
      </c>
      <c r="AH19" s="270"/>
      <c r="AI19" s="384"/>
      <c r="AJ19" s="373"/>
      <c r="AK19" s="81"/>
      <c r="AL19" s="58"/>
      <c r="AM19" s="61"/>
      <c r="AN19" s="269"/>
      <c r="AP19" s="470"/>
      <c r="AQ19" s="453"/>
      <c r="AR19" s="453"/>
      <c r="AS19" s="471"/>
      <c r="AT19" s="455"/>
      <c r="AU19" s="476"/>
      <c r="AV19" s="269"/>
      <c r="AX19" s="270"/>
      <c r="AY19" s="384"/>
      <c r="AZ19" s="463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3817</v>
      </c>
      <c r="D20" s="273" t="s">
        <v>3818</v>
      </c>
      <c r="E20" s="402"/>
      <c r="F20" s="274" t="s">
        <v>2344</v>
      </c>
      <c r="G20" s="109" t="s">
        <v>3819</v>
      </c>
      <c r="H20" s="269"/>
      <c r="J20" s="382">
        <v>46174.0</v>
      </c>
      <c r="K20" s="273" t="s">
        <v>3820</v>
      </c>
      <c r="L20" s="273" t="s">
        <v>3821</v>
      </c>
      <c r="M20" s="399" t="s">
        <v>23</v>
      </c>
      <c r="N20" s="274" t="s">
        <v>2338</v>
      </c>
      <c r="O20" s="61"/>
      <c r="P20" s="269" t="b">
        <v>1</v>
      </c>
      <c r="R20" s="270">
        <v>46183.0</v>
      </c>
      <c r="S20" s="273" t="s">
        <v>3822</v>
      </c>
      <c r="T20" s="413" t="s">
        <v>3823</v>
      </c>
      <c r="U20" s="402" t="s">
        <v>13</v>
      </c>
      <c r="V20" s="58" t="s">
        <v>12</v>
      </c>
      <c r="W20" s="61"/>
      <c r="X20" s="269" t="b">
        <v>1</v>
      </c>
      <c r="Z20" s="270">
        <v>46182.0</v>
      </c>
      <c r="AA20" s="109" t="s">
        <v>3824</v>
      </c>
      <c r="AB20" s="407" t="s">
        <v>3825</v>
      </c>
      <c r="AC20" s="58" t="s">
        <v>11</v>
      </c>
      <c r="AD20" s="58" t="s">
        <v>20</v>
      </c>
      <c r="AE20" s="109" t="s">
        <v>3807</v>
      </c>
      <c r="AF20" s="269" t="b">
        <v>1</v>
      </c>
      <c r="AH20" s="270"/>
      <c r="AI20" s="384"/>
      <c r="AJ20" s="373"/>
      <c r="AK20" s="58"/>
      <c r="AL20" s="58"/>
      <c r="AM20" s="61"/>
      <c r="AN20" s="269"/>
      <c r="AP20" s="473"/>
      <c r="AQ20" s="450"/>
      <c r="AR20" s="450"/>
      <c r="AS20" s="477"/>
      <c r="AT20" s="452"/>
      <c r="AU20" s="478"/>
      <c r="AV20" s="269"/>
      <c r="AX20" s="270"/>
      <c r="AY20" s="384"/>
      <c r="AZ20" s="463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3826</v>
      </c>
      <c r="D21" s="430" t="s">
        <v>3827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3828</v>
      </c>
      <c r="L21" s="294" t="s">
        <v>3829</v>
      </c>
      <c r="M21" s="441" t="s">
        <v>23</v>
      </c>
      <c r="N21" s="406" t="s">
        <v>2338</v>
      </c>
      <c r="O21" s="61"/>
      <c r="P21" s="269" t="b">
        <v>1</v>
      </c>
      <c r="R21" s="270">
        <v>46183.0</v>
      </c>
      <c r="S21" s="294" t="s">
        <v>3830</v>
      </c>
      <c r="T21" s="411" t="s">
        <v>3831</v>
      </c>
      <c r="U21" s="391" t="s">
        <v>10</v>
      </c>
      <c r="V21" s="58" t="s">
        <v>12</v>
      </c>
      <c r="W21" s="109"/>
      <c r="X21" s="269" t="b">
        <v>1</v>
      </c>
      <c r="Z21" s="270">
        <v>46182.0</v>
      </c>
      <c r="AA21" s="109" t="s">
        <v>3832</v>
      </c>
      <c r="AB21" s="109" t="s">
        <v>3833</v>
      </c>
      <c r="AC21" s="58" t="s">
        <v>11</v>
      </c>
      <c r="AD21" s="58" t="s">
        <v>20</v>
      </c>
      <c r="AE21" s="109"/>
      <c r="AF21" s="298"/>
      <c r="AH21" s="270"/>
      <c r="AI21" s="109"/>
      <c r="AJ21" s="373"/>
      <c r="AK21" s="58"/>
      <c r="AL21" s="58"/>
      <c r="AM21" s="61"/>
      <c r="AN21" s="269"/>
      <c r="AP21" s="470"/>
      <c r="AQ21" s="453"/>
      <c r="AR21" s="453"/>
      <c r="AS21" s="471"/>
      <c r="AT21" s="455"/>
      <c r="AU21" s="476"/>
      <c r="AV21" s="269"/>
      <c r="AX21" s="270"/>
      <c r="AY21" s="384"/>
      <c r="AZ21" s="479"/>
      <c r="BA21" s="58"/>
      <c r="BB21" s="58"/>
      <c r="BC21" s="61"/>
      <c r="BD21" s="269"/>
      <c r="BF21" s="470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3834</v>
      </c>
      <c r="D22" s="480" t="s">
        <v>3835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3836</v>
      </c>
      <c r="L22" s="273" t="s">
        <v>3837</v>
      </c>
      <c r="M22" s="274" t="s">
        <v>23</v>
      </c>
      <c r="N22" s="274" t="s">
        <v>2338</v>
      </c>
      <c r="O22" s="61"/>
      <c r="P22" s="269" t="b">
        <v>1</v>
      </c>
      <c r="R22" s="270">
        <v>46183.0</v>
      </c>
      <c r="S22" s="273" t="s">
        <v>3838</v>
      </c>
      <c r="T22" s="413" t="s">
        <v>3839</v>
      </c>
      <c r="U22" s="402" t="s">
        <v>32</v>
      </c>
      <c r="V22" s="58" t="s">
        <v>12</v>
      </c>
      <c r="W22" s="61"/>
      <c r="X22" s="269" t="b">
        <v>1</v>
      </c>
      <c r="Z22" s="270">
        <v>46182.0</v>
      </c>
      <c r="AA22" s="109" t="s">
        <v>3840</v>
      </c>
      <c r="AB22" s="109" t="s">
        <v>3841</v>
      </c>
      <c r="AC22" s="58" t="s">
        <v>11</v>
      </c>
      <c r="AD22" s="58" t="s">
        <v>20</v>
      </c>
      <c r="AE22" s="61"/>
      <c r="AF22" s="269" t="b">
        <v>1</v>
      </c>
      <c r="AH22" s="270"/>
      <c r="AI22" s="109"/>
      <c r="AJ22" s="373"/>
      <c r="AK22" s="58"/>
      <c r="AL22" s="58"/>
      <c r="AM22" s="61"/>
      <c r="AN22" s="269"/>
      <c r="AP22" s="473"/>
      <c r="AQ22" s="450"/>
      <c r="AR22" s="450"/>
      <c r="AS22" s="477"/>
      <c r="AT22" s="452"/>
      <c r="AU22" s="478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3842</v>
      </c>
      <c r="D23" s="405" t="s">
        <v>3843</v>
      </c>
      <c r="E23" s="481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3844</v>
      </c>
      <c r="L23" s="294" t="s">
        <v>3845</v>
      </c>
      <c r="M23" s="391" t="s">
        <v>23</v>
      </c>
      <c r="N23" s="391" t="s">
        <v>2337</v>
      </c>
      <c r="O23" s="61"/>
      <c r="P23" s="269" t="b">
        <v>1</v>
      </c>
      <c r="R23" s="270">
        <v>46183.0</v>
      </c>
      <c r="S23" s="294" t="s">
        <v>3846</v>
      </c>
      <c r="T23" s="411" t="s">
        <v>3847</v>
      </c>
      <c r="U23" s="391" t="s">
        <v>24</v>
      </c>
      <c r="V23" s="58" t="s">
        <v>12</v>
      </c>
      <c r="W23" s="61"/>
      <c r="X23" s="269" t="b">
        <v>1</v>
      </c>
      <c r="Z23" s="270">
        <v>46182.0</v>
      </c>
      <c r="AA23" s="109" t="s">
        <v>3848</v>
      </c>
      <c r="AB23" s="109" t="s">
        <v>3849</v>
      </c>
      <c r="AC23" s="58" t="s">
        <v>21</v>
      </c>
      <c r="AD23" s="58" t="s">
        <v>20</v>
      </c>
      <c r="AE23" s="61"/>
      <c r="AF23" s="269" t="b">
        <v>1</v>
      </c>
      <c r="AH23" s="270"/>
      <c r="AI23" s="47"/>
      <c r="AJ23" s="373"/>
      <c r="AK23" s="58"/>
      <c r="AL23" s="58"/>
      <c r="AM23" s="61"/>
      <c r="AN23" s="269"/>
      <c r="AP23" s="470"/>
      <c r="AQ23" s="453"/>
      <c r="AR23" s="453"/>
      <c r="AS23" s="471"/>
      <c r="AT23" s="455"/>
      <c r="AU23" s="476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3850</v>
      </c>
      <c r="D24" s="373" t="s">
        <v>3851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3852</v>
      </c>
      <c r="L24" s="273" t="s">
        <v>3853</v>
      </c>
      <c r="M24" s="402" t="s">
        <v>27</v>
      </c>
      <c r="N24" s="402" t="s">
        <v>2337</v>
      </c>
      <c r="O24" s="109"/>
      <c r="P24" s="269" t="b">
        <v>1</v>
      </c>
      <c r="R24" s="270">
        <v>46183.0</v>
      </c>
      <c r="S24" s="109" t="s">
        <v>3854</v>
      </c>
      <c r="T24" s="109" t="s">
        <v>3855</v>
      </c>
      <c r="U24" s="58"/>
      <c r="V24" s="58" t="s">
        <v>2347</v>
      </c>
      <c r="W24" s="109" t="s">
        <v>3856</v>
      </c>
      <c r="X24" s="269"/>
      <c r="Z24" s="270">
        <v>46182.0</v>
      </c>
      <c r="AA24" s="109" t="s">
        <v>3857</v>
      </c>
      <c r="AB24" s="109" t="s">
        <v>3858</v>
      </c>
      <c r="AC24" s="58" t="s">
        <v>11</v>
      </c>
      <c r="AD24" s="58" t="s">
        <v>20</v>
      </c>
      <c r="AE24" s="61"/>
      <c r="AF24" s="269" t="b">
        <v>1</v>
      </c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8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3859</v>
      </c>
      <c r="D25" s="430" t="s">
        <v>3860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3861</v>
      </c>
      <c r="L25" s="294" t="s">
        <v>3862</v>
      </c>
      <c r="M25" s="391" t="s">
        <v>23</v>
      </c>
      <c r="N25" s="391" t="s">
        <v>2337</v>
      </c>
      <c r="O25" s="61"/>
      <c r="P25" s="269" t="b">
        <v>1</v>
      </c>
      <c r="R25" s="270">
        <v>46183.0</v>
      </c>
      <c r="S25" s="109" t="s">
        <v>3863</v>
      </c>
      <c r="T25" s="109" t="s">
        <v>3864</v>
      </c>
      <c r="U25" s="58" t="s">
        <v>24</v>
      </c>
      <c r="V25" s="58" t="s">
        <v>2347</v>
      </c>
      <c r="W25" s="61"/>
      <c r="X25" s="269" t="b">
        <v>1</v>
      </c>
      <c r="Z25" s="270">
        <v>46182.0</v>
      </c>
      <c r="AA25" s="109" t="s">
        <v>3865</v>
      </c>
      <c r="AB25" s="109" t="s">
        <v>3866</v>
      </c>
      <c r="AC25" s="58" t="s">
        <v>21</v>
      </c>
      <c r="AD25" s="58" t="s">
        <v>20</v>
      </c>
      <c r="AE25" s="61"/>
      <c r="AF25" s="269" t="b">
        <v>1</v>
      </c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6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3867</v>
      </c>
      <c r="D26" s="294" t="s">
        <v>3868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3869</v>
      </c>
      <c r="L26" s="273" t="s">
        <v>3870</v>
      </c>
      <c r="M26" s="402" t="s">
        <v>23</v>
      </c>
      <c r="N26" s="402" t="s">
        <v>2337</v>
      </c>
      <c r="O26" s="61"/>
      <c r="P26" s="269" t="b">
        <v>1</v>
      </c>
      <c r="R26" s="270">
        <v>46183.0</v>
      </c>
      <c r="S26" s="109" t="s">
        <v>3871</v>
      </c>
      <c r="T26" s="109" t="s">
        <v>3872</v>
      </c>
      <c r="U26" s="58" t="s">
        <v>24</v>
      </c>
      <c r="V26" s="58" t="s">
        <v>9</v>
      </c>
      <c r="W26" s="61"/>
      <c r="X26" s="269" t="b">
        <v>1</v>
      </c>
      <c r="Z26" s="270">
        <v>46182.0</v>
      </c>
      <c r="AA26" s="109" t="s">
        <v>3873</v>
      </c>
      <c r="AB26" s="109" t="s">
        <v>3874</v>
      </c>
      <c r="AC26" s="58" t="s">
        <v>21</v>
      </c>
      <c r="AD26" s="58" t="s">
        <v>20</v>
      </c>
      <c r="AE26" s="109"/>
      <c r="AF26" s="269" t="b">
        <v>1</v>
      </c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8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3875</v>
      </c>
      <c r="D27" s="273" t="s">
        <v>3876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3877</v>
      </c>
      <c r="L27" s="294" t="s">
        <v>3878</v>
      </c>
      <c r="M27" s="391" t="s">
        <v>23</v>
      </c>
      <c r="N27" s="391" t="s">
        <v>2337</v>
      </c>
      <c r="O27" s="61"/>
      <c r="P27" s="269" t="b">
        <v>1</v>
      </c>
      <c r="R27" s="270">
        <v>46183.0</v>
      </c>
      <c r="S27" s="109" t="s">
        <v>3879</v>
      </c>
      <c r="T27" s="109" t="s">
        <v>3880</v>
      </c>
      <c r="U27" s="322" t="s">
        <v>44</v>
      </c>
      <c r="V27" s="58" t="s">
        <v>9</v>
      </c>
      <c r="W27" s="109"/>
      <c r="X27" s="269" t="b">
        <v>1</v>
      </c>
      <c r="Z27" s="270">
        <v>46182.0</v>
      </c>
      <c r="AA27" s="109" t="s">
        <v>3881</v>
      </c>
      <c r="AB27" s="109" t="s">
        <v>3882</v>
      </c>
      <c r="AC27" s="58" t="s">
        <v>21</v>
      </c>
      <c r="AD27" s="58" t="s">
        <v>20</v>
      </c>
      <c r="AE27" s="109" t="s">
        <v>3883</v>
      </c>
      <c r="AF27" s="269"/>
      <c r="AH27" s="270"/>
      <c r="AI27" s="109"/>
      <c r="AJ27" s="373"/>
      <c r="AK27" s="322"/>
      <c r="AL27" s="58"/>
      <c r="AM27" s="61"/>
      <c r="AN27" s="269"/>
      <c r="AP27" s="473"/>
      <c r="AQ27" s="450"/>
      <c r="AR27" s="450"/>
      <c r="AS27" s="477"/>
      <c r="AT27" s="452"/>
      <c r="AU27" s="478"/>
      <c r="AV27" s="269"/>
      <c r="AX27" s="270"/>
      <c r="AY27" s="450"/>
      <c r="AZ27" s="482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3884</v>
      </c>
      <c r="D28" s="373" t="s">
        <v>3885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3886</v>
      </c>
      <c r="L28" s="273" t="s">
        <v>3887</v>
      </c>
      <c r="M28" s="402" t="s">
        <v>23</v>
      </c>
      <c r="N28" s="402" t="s">
        <v>2337</v>
      </c>
      <c r="O28" s="61"/>
      <c r="P28" s="269" t="b">
        <v>1</v>
      </c>
      <c r="R28" s="270">
        <v>46183.0</v>
      </c>
      <c r="S28" s="109" t="s">
        <v>3888</v>
      </c>
      <c r="T28" s="109" t="s">
        <v>3889</v>
      </c>
      <c r="U28" s="58" t="s">
        <v>32</v>
      </c>
      <c r="V28" s="58" t="s">
        <v>9</v>
      </c>
      <c r="W28" s="61"/>
      <c r="X28" s="269" t="b">
        <v>1</v>
      </c>
      <c r="Z28" s="270">
        <v>46182.0</v>
      </c>
      <c r="AA28" s="109" t="s">
        <v>3890</v>
      </c>
      <c r="AB28" s="109" t="s">
        <v>3891</v>
      </c>
      <c r="AC28" s="58" t="s">
        <v>21</v>
      </c>
      <c r="AD28" s="58" t="s">
        <v>20</v>
      </c>
      <c r="AE28" s="61"/>
      <c r="AF28" s="269" t="b">
        <v>1</v>
      </c>
      <c r="AH28" s="270"/>
      <c r="AI28" s="109"/>
      <c r="AJ28" s="373"/>
      <c r="AK28" s="412"/>
      <c r="AL28" s="344"/>
      <c r="AM28" s="109"/>
      <c r="AN28" s="298"/>
      <c r="AP28" s="470"/>
      <c r="AQ28" s="453"/>
      <c r="AR28" s="453"/>
      <c r="AS28" s="471"/>
      <c r="AT28" s="455"/>
      <c r="AU28" s="476"/>
      <c r="AV28" s="269"/>
      <c r="AX28" s="270"/>
      <c r="AY28" s="453"/>
      <c r="AZ28" s="483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3892</v>
      </c>
      <c r="D29" s="373" t="s">
        <v>3893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3894</v>
      </c>
      <c r="L29" s="294" t="s">
        <v>3895</v>
      </c>
      <c r="M29" s="391" t="s">
        <v>23</v>
      </c>
      <c r="N29" s="391" t="s">
        <v>2337</v>
      </c>
      <c r="O29" s="61"/>
      <c r="P29" s="269" t="b">
        <v>1</v>
      </c>
      <c r="R29" s="270">
        <v>46183.0</v>
      </c>
      <c r="S29" s="109" t="s">
        <v>3896</v>
      </c>
      <c r="T29" s="109" t="s">
        <v>3897</v>
      </c>
      <c r="U29" s="58" t="s">
        <v>10</v>
      </c>
      <c r="V29" s="58" t="s">
        <v>9</v>
      </c>
      <c r="W29" s="61"/>
      <c r="X29" s="269" t="b">
        <v>1</v>
      </c>
      <c r="Z29" s="270">
        <v>46182.0</v>
      </c>
      <c r="AA29" s="109" t="s">
        <v>3898</v>
      </c>
      <c r="AB29" s="109" t="s">
        <v>3899</v>
      </c>
      <c r="AC29" s="58" t="s">
        <v>11</v>
      </c>
      <c r="AD29" s="58" t="s">
        <v>20</v>
      </c>
      <c r="AE29" s="61"/>
      <c r="AF29" s="269" t="b">
        <v>1</v>
      </c>
      <c r="AH29" s="270"/>
      <c r="AI29" s="109"/>
      <c r="AJ29" s="373"/>
      <c r="AK29" s="412"/>
      <c r="AL29" s="344"/>
      <c r="AM29" s="109"/>
      <c r="AN29" s="298"/>
      <c r="AP29" s="473"/>
      <c r="AQ29" s="450"/>
      <c r="AR29" s="450"/>
      <c r="AS29" s="477"/>
      <c r="AT29" s="452"/>
      <c r="AU29" s="478"/>
      <c r="AV29" s="269"/>
      <c r="AX29" s="270"/>
      <c r="AY29" s="450"/>
      <c r="AZ29" s="482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3900</v>
      </c>
      <c r="D30" s="373" t="s">
        <v>3901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3902</v>
      </c>
      <c r="L30" s="273" t="s">
        <v>3903</v>
      </c>
      <c r="M30" s="402" t="s">
        <v>23</v>
      </c>
      <c r="N30" s="402" t="s">
        <v>2337</v>
      </c>
      <c r="O30" s="61"/>
      <c r="P30" s="269" t="b">
        <v>1</v>
      </c>
      <c r="R30" s="270">
        <v>46183.0</v>
      </c>
      <c r="S30" s="109" t="s">
        <v>3904</v>
      </c>
      <c r="T30" s="109" t="s">
        <v>3905</v>
      </c>
      <c r="U30" s="58" t="s">
        <v>24</v>
      </c>
      <c r="V30" s="58" t="s">
        <v>9</v>
      </c>
      <c r="W30" s="61"/>
      <c r="X30" s="269" t="b">
        <v>1</v>
      </c>
      <c r="Z30" s="270">
        <v>46182.0</v>
      </c>
      <c r="AA30" s="109" t="s">
        <v>3906</v>
      </c>
      <c r="AB30" s="109" t="s">
        <v>3907</v>
      </c>
      <c r="AC30" s="58" t="s">
        <v>21</v>
      </c>
      <c r="AD30" s="58" t="s">
        <v>20</v>
      </c>
      <c r="AE30" s="109" t="s">
        <v>3908</v>
      </c>
      <c r="AF30" s="269" t="b">
        <v>1</v>
      </c>
      <c r="AH30" s="270"/>
      <c r="AI30" s="384"/>
      <c r="AJ30" s="373"/>
      <c r="AK30" s="58"/>
      <c r="AL30" s="58"/>
      <c r="AM30" s="61"/>
      <c r="AN30" s="269"/>
      <c r="AP30" s="470"/>
      <c r="AQ30" s="453"/>
      <c r="AR30" s="453"/>
      <c r="AS30" s="455"/>
      <c r="AT30" s="455"/>
      <c r="AU30" s="484"/>
      <c r="AV30" s="298"/>
      <c r="AX30" s="270"/>
      <c r="AY30" s="453"/>
      <c r="AZ30" s="483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3909</v>
      </c>
      <c r="D31" s="373" t="s">
        <v>3910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3911</v>
      </c>
      <c r="L31" s="273" t="s">
        <v>3912</v>
      </c>
      <c r="M31" s="398" t="s">
        <v>23</v>
      </c>
      <c r="N31" s="431" t="s">
        <v>2338</v>
      </c>
      <c r="O31" s="61"/>
      <c r="P31" s="269" t="b">
        <v>1</v>
      </c>
      <c r="R31" s="270">
        <v>46183.0</v>
      </c>
      <c r="S31" s="109" t="s">
        <v>3913</v>
      </c>
      <c r="T31" s="109" t="s">
        <v>3914</v>
      </c>
      <c r="U31" s="58" t="s">
        <v>16</v>
      </c>
      <c r="V31" s="58" t="s">
        <v>9</v>
      </c>
      <c r="W31" s="61"/>
      <c r="X31" s="269" t="b">
        <v>1</v>
      </c>
      <c r="Z31" s="270">
        <v>46182.0</v>
      </c>
      <c r="AA31" s="109" t="s">
        <v>3915</v>
      </c>
      <c r="AB31" s="109" t="s">
        <v>3916</v>
      </c>
      <c r="AC31" s="58" t="s">
        <v>11</v>
      </c>
      <c r="AD31" s="58" t="s">
        <v>20</v>
      </c>
      <c r="AE31" s="61"/>
      <c r="AF31" s="269" t="b">
        <v>1</v>
      </c>
      <c r="AH31" s="473"/>
      <c r="AI31" s="450"/>
      <c r="AJ31" s="450"/>
      <c r="AK31" s="477"/>
      <c r="AL31" s="452"/>
      <c r="AM31" s="61"/>
      <c r="AN31" s="269"/>
      <c r="AP31" s="449"/>
      <c r="AQ31" s="450"/>
      <c r="AR31" s="450"/>
      <c r="AS31" s="468"/>
      <c r="AT31" s="452"/>
      <c r="AU31" s="485"/>
      <c r="AV31" s="269"/>
      <c r="AX31" s="270"/>
      <c r="AY31" s="450"/>
      <c r="AZ31" s="482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3917</v>
      </c>
      <c r="D32" s="373" t="s">
        <v>3918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3919</v>
      </c>
      <c r="L32" s="294" t="s">
        <v>3920</v>
      </c>
      <c r="M32" s="396" t="s">
        <v>23</v>
      </c>
      <c r="N32" s="391" t="s">
        <v>2338</v>
      </c>
      <c r="O32" s="61"/>
      <c r="P32" s="269" t="b">
        <v>1</v>
      </c>
      <c r="R32" s="270">
        <v>46183.0</v>
      </c>
      <c r="S32" s="109" t="s">
        <v>3921</v>
      </c>
      <c r="T32" s="109" t="s">
        <v>3922</v>
      </c>
      <c r="U32" s="58" t="s">
        <v>10</v>
      </c>
      <c r="V32" s="58" t="s">
        <v>9</v>
      </c>
      <c r="W32" s="61"/>
      <c r="X32" s="269" t="b">
        <v>1</v>
      </c>
      <c r="Z32" s="270">
        <v>46182.0</v>
      </c>
      <c r="AA32" s="486" t="s">
        <v>3923</v>
      </c>
      <c r="AB32" s="460" t="s">
        <v>3924</v>
      </c>
      <c r="AC32" s="461" t="s">
        <v>18</v>
      </c>
      <c r="AD32" s="462" t="s">
        <v>14</v>
      </c>
      <c r="AE32" s="61"/>
      <c r="AF32" s="269" t="b">
        <v>1</v>
      </c>
      <c r="AH32" s="470"/>
      <c r="AI32" s="453"/>
      <c r="AJ32" s="453"/>
      <c r="AK32" s="471"/>
      <c r="AL32" s="455"/>
      <c r="AM32" s="61"/>
      <c r="AN32" s="269"/>
      <c r="AP32" s="449"/>
      <c r="AQ32" s="453"/>
      <c r="AR32" s="453"/>
      <c r="AS32" s="466"/>
      <c r="AT32" s="455"/>
      <c r="AU32" s="459"/>
      <c r="AV32" s="298"/>
      <c r="AX32" s="270"/>
      <c r="AY32" s="453"/>
      <c r="AZ32" s="483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3925</v>
      </c>
      <c r="D33" s="373" t="s">
        <v>3926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3927</v>
      </c>
      <c r="L33" s="273" t="s">
        <v>3928</v>
      </c>
      <c r="M33" s="398"/>
      <c r="N33" s="431" t="s">
        <v>2338</v>
      </c>
      <c r="O33" s="109" t="s">
        <v>3537</v>
      </c>
      <c r="P33" s="269"/>
      <c r="R33" s="270">
        <v>46183.0</v>
      </c>
      <c r="S33" s="109" t="s">
        <v>3929</v>
      </c>
      <c r="T33" s="109" t="s">
        <v>3930</v>
      </c>
      <c r="U33" s="58"/>
      <c r="V33" s="58" t="s">
        <v>9</v>
      </c>
      <c r="W33" s="427" t="s">
        <v>2432</v>
      </c>
      <c r="X33" s="269"/>
      <c r="Z33" s="270">
        <v>46182.0</v>
      </c>
      <c r="AA33" s="486" t="s">
        <v>3931</v>
      </c>
      <c r="AB33" s="486" t="s">
        <v>3932</v>
      </c>
      <c r="AC33" s="487" t="s">
        <v>21</v>
      </c>
      <c r="AD33" s="462" t="s">
        <v>14</v>
      </c>
      <c r="AE33" s="109" t="s">
        <v>982</v>
      </c>
      <c r="AF33" s="269"/>
      <c r="AH33" s="473"/>
      <c r="AI33" s="450"/>
      <c r="AJ33" s="450"/>
      <c r="AK33" s="452"/>
      <c r="AL33" s="452"/>
      <c r="AM33" s="109"/>
      <c r="AN33" s="269"/>
      <c r="AP33" s="449"/>
      <c r="AQ33" s="450"/>
      <c r="AR33" s="450"/>
      <c r="AS33" s="468"/>
      <c r="AT33" s="452"/>
      <c r="AU33" s="488"/>
      <c r="AV33" s="298"/>
      <c r="AX33" s="270"/>
      <c r="AY33" s="450"/>
      <c r="AZ33" s="482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3933</v>
      </c>
      <c r="D34" s="373" t="s">
        <v>3934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3935</v>
      </c>
      <c r="L34" s="294" t="s">
        <v>3936</v>
      </c>
      <c r="M34" s="396" t="s">
        <v>11</v>
      </c>
      <c r="N34" s="391" t="s">
        <v>2338</v>
      </c>
      <c r="O34" s="61"/>
      <c r="P34" s="269" t="b">
        <v>1</v>
      </c>
      <c r="R34" s="270">
        <v>46183.0</v>
      </c>
      <c r="S34" s="109" t="s">
        <v>3937</v>
      </c>
      <c r="T34" s="109" t="s">
        <v>3938</v>
      </c>
      <c r="U34" s="58" t="s">
        <v>24</v>
      </c>
      <c r="V34" s="58" t="s">
        <v>2347</v>
      </c>
      <c r="W34" s="61"/>
      <c r="X34" s="269" t="b">
        <v>1</v>
      </c>
      <c r="Z34" s="270">
        <v>46182.0</v>
      </c>
      <c r="AA34" s="109" t="s">
        <v>3939</v>
      </c>
      <c r="AB34" s="109" t="s">
        <v>3940</v>
      </c>
      <c r="AC34" s="58" t="s">
        <v>27</v>
      </c>
      <c r="AD34" s="462" t="s">
        <v>14</v>
      </c>
      <c r="AE34" s="61"/>
      <c r="AF34" s="269" t="b">
        <v>1</v>
      </c>
      <c r="AH34" s="449"/>
      <c r="AI34" s="453"/>
      <c r="AJ34" s="453"/>
      <c r="AK34" s="466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3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3941</v>
      </c>
      <c r="D35" s="373" t="s">
        <v>3942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3943</v>
      </c>
      <c r="L35" s="273" t="s">
        <v>3944</v>
      </c>
      <c r="M35" s="398"/>
      <c r="N35" s="431" t="s">
        <v>2338</v>
      </c>
      <c r="O35" s="109" t="s">
        <v>3945</v>
      </c>
      <c r="P35" s="269"/>
      <c r="R35" s="270">
        <v>46183.0</v>
      </c>
      <c r="S35" s="273" t="s">
        <v>3946</v>
      </c>
      <c r="T35" s="273" t="s">
        <v>3947</v>
      </c>
      <c r="U35" s="402" t="s">
        <v>32</v>
      </c>
      <c r="V35" s="274" t="s">
        <v>2344</v>
      </c>
      <c r="W35" s="61"/>
      <c r="X35" s="269" t="b">
        <v>1</v>
      </c>
      <c r="Z35" s="403">
        <v>46182.0</v>
      </c>
      <c r="AA35" s="294" t="s">
        <v>3948</v>
      </c>
      <c r="AB35" s="294" t="s">
        <v>3949</v>
      </c>
      <c r="AC35" s="391" t="s">
        <v>18</v>
      </c>
      <c r="AD35" s="391" t="s">
        <v>2337</v>
      </c>
      <c r="AE35" s="61"/>
      <c r="AF35" s="269" t="b">
        <v>1</v>
      </c>
      <c r="AH35" s="449"/>
      <c r="AI35" s="450"/>
      <c r="AJ35" s="450"/>
      <c r="AK35" s="468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82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3950</v>
      </c>
      <c r="D36" s="294" t="s">
        <v>3951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3952</v>
      </c>
      <c r="L36" s="294" t="s">
        <v>3953</v>
      </c>
      <c r="M36" s="396"/>
      <c r="N36" s="391" t="s">
        <v>2338</v>
      </c>
      <c r="O36" s="109" t="s">
        <v>3954</v>
      </c>
      <c r="P36" s="269"/>
      <c r="R36" s="270">
        <v>46183.0</v>
      </c>
      <c r="S36" s="294" t="s">
        <v>3955</v>
      </c>
      <c r="T36" s="294" t="s">
        <v>3956</v>
      </c>
      <c r="U36" s="391"/>
      <c r="V36" s="295" t="s">
        <v>2344</v>
      </c>
      <c r="W36" s="109" t="s">
        <v>3957</v>
      </c>
      <c r="X36" s="269"/>
      <c r="Z36" s="401">
        <v>46182.0</v>
      </c>
      <c r="AA36" s="273" t="s">
        <v>3958</v>
      </c>
      <c r="AB36" s="273" t="s">
        <v>3959</v>
      </c>
      <c r="AC36" s="402" t="s">
        <v>23</v>
      </c>
      <c r="AD36" s="402" t="s">
        <v>2337</v>
      </c>
      <c r="AE36" s="61"/>
      <c r="AF36" s="269" t="b">
        <v>1</v>
      </c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3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3960</v>
      </c>
      <c r="D37" s="430" t="s">
        <v>3961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3962</v>
      </c>
      <c r="L37" s="109" t="s">
        <v>3963</v>
      </c>
      <c r="M37" s="58" t="s">
        <v>11</v>
      </c>
      <c r="N37" s="58" t="s">
        <v>20</v>
      </c>
      <c r="O37" s="61"/>
      <c r="P37" s="269" t="b">
        <v>1</v>
      </c>
      <c r="R37" s="270">
        <v>46183.0</v>
      </c>
      <c r="S37" s="294" t="s">
        <v>3964</v>
      </c>
      <c r="T37" s="294" t="s">
        <v>3965</v>
      </c>
      <c r="U37" s="391" t="s">
        <v>16</v>
      </c>
      <c r="V37" s="295" t="s">
        <v>2344</v>
      </c>
      <c r="W37" s="61"/>
      <c r="X37" s="269" t="b">
        <v>1</v>
      </c>
      <c r="Z37" s="403">
        <v>46182.0</v>
      </c>
      <c r="AA37" s="294" t="s">
        <v>3966</v>
      </c>
      <c r="AB37" s="294" t="s">
        <v>3967</v>
      </c>
      <c r="AC37" s="391" t="s">
        <v>18</v>
      </c>
      <c r="AD37" s="391" t="s">
        <v>2337</v>
      </c>
      <c r="AE37" s="61"/>
      <c r="AF37" s="269" t="b">
        <v>1</v>
      </c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82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3968</v>
      </c>
      <c r="D38" s="373" t="s">
        <v>3969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3970</v>
      </c>
      <c r="L38" s="109" t="s">
        <v>3971</v>
      </c>
      <c r="M38" s="58" t="s">
        <v>11</v>
      </c>
      <c r="N38" s="58" t="s">
        <v>20</v>
      </c>
      <c r="O38" s="61"/>
      <c r="P38" s="269" t="b">
        <v>1</v>
      </c>
      <c r="R38" s="270">
        <v>46183.0</v>
      </c>
      <c r="S38" s="312" t="s">
        <v>3972</v>
      </c>
      <c r="T38" s="109" t="s">
        <v>3973</v>
      </c>
      <c r="U38" s="58" t="s">
        <v>10</v>
      </c>
      <c r="V38" s="58" t="s">
        <v>2347</v>
      </c>
      <c r="W38" s="109" t="s">
        <v>3974</v>
      </c>
      <c r="X38" s="269" t="b">
        <v>1</v>
      </c>
      <c r="Z38" s="401">
        <v>46182.0</v>
      </c>
      <c r="AA38" s="273" t="s">
        <v>3975</v>
      </c>
      <c r="AB38" s="273" t="s">
        <v>3976</v>
      </c>
      <c r="AC38" s="402" t="s">
        <v>30</v>
      </c>
      <c r="AD38" s="402" t="s">
        <v>2337</v>
      </c>
      <c r="AE38" s="61"/>
      <c r="AF38" s="269" t="b">
        <v>1</v>
      </c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3"/>
      <c r="BA38" s="58"/>
      <c r="BB38" s="58"/>
      <c r="BC38" s="61"/>
      <c r="BD38" s="269"/>
      <c r="BF38" s="449"/>
      <c r="BG38" s="450"/>
      <c r="BH38" s="450"/>
      <c r="BI38" s="451"/>
      <c r="BJ38" s="475"/>
      <c r="BK38" s="61"/>
      <c r="BL38" s="298"/>
    </row>
    <row r="39" ht="22.5" customHeight="1">
      <c r="A39" s="368"/>
      <c r="B39" s="270">
        <v>46177.0</v>
      </c>
      <c r="C39" s="273" t="s">
        <v>3977</v>
      </c>
      <c r="D39" s="273" t="s">
        <v>3978</v>
      </c>
      <c r="E39" s="402" t="s">
        <v>22</v>
      </c>
      <c r="F39" s="58" t="s">
        <v>12</v>
      </c>
      <c r="G39" s="61"/>
      <c r="H39" s="269" t="b">
        <v>1</v>
      </c>
      <c r="J39" s="270">
        <v>46175.0</v>
      </c>
      <c r="K39" s="109" t="s">
        <v>3979</v>
      </c>
      <c r="L39" s="109" t="s">
        <v>3980</v>
      </c>
      <c r="M39" s="58" t="s">
        <v>11</v>
      </c>
      <c r="N39" s="58" t="s">
        <v>20</v>
      </c>
      <c r="O39" s="61"/>
      <c r="P39" s="269"/>
      <c r="R39" s="270">
        <v>46183.0</v>
      </c>
      <c r="S39" s="273" t="s">
        <v>3981</v>
      </c>
      <c r="T39" s="273" t="s">
        <v>3982</v>
      </c>
      <c r="U39" s="402" t="s">
        <v>16</v>
      </c>
      <c r="V39" s="274" t="s">
        <v>2344</v>
      </c>
      <c r="W39" s="61"/>
      <c r="X39" s="269" t="b">
        <v>1</v>
      </c>
      <c r="Z39" s="403">
        <v>46182.0</v>
      </c>
      <c r="AA39" s="294" t="s">
        <v>3983</v>
      </c>
      <c r="AB39" s="294" t="s">
        <v>3984</v>
      </c>
      <c r="AC39" s="391" t="s">
        <v>30</v>
      </c>
      <c r="AD39" s="391" t="s">
        <v>2337</v>
      </c>
      <c r="AE39" s="109"/>
      <c r="AF39" s="269" t="b">
        <v>1</v>
      </c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82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3985</v>
      </c>
      <c r="D40" s="405" t="s">
        <v>3986</v>
      </c>
      <c r="E40" s="481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3987</v>
      </c>
      <c r="L40" s="109" t="s">
        <v>3988</v>
      </c>
      <c r="M40" s="58" t="s">
        <v>11</v>
      </c>
      <c r="N40" s="58" t="s">
        <v>20</v>
      </c>
      <c r="O40" s="61"/>
      <c r="P40" s="269" t="b">
        <v>1</v>
      </c>
      <c r="R40" s="270">
        <v>46183.0</v>
      </c>
      <c r="S40" s="273" t="s">
        <v>3989</v>
      </c>
      <c r="T40" s="273" t="s">
        <v>3990</v>
      </c>
      <c r="U40" s="489" t="s">
        <v>44</v>
      </c>
      <c r="V40" s="274" t="s">
        <v>2344</v>
      </c>
      <c r="W40" s="109"/>
      <c r="X40" s="269" t="b">
        <v>1</v>
      </c>
      <c r="Z40" s="401">
        <v>46182.0</v>
      </c>
      <c r="AA40" s="273" t="s">
        <v>3991</v>
      </c>
      <c r="AB40" s="273" t="s">
        <v>3992</v>
      </c>
      <c r="AC40" s="402" t="s">
        <v>27</v>
      </c>
      <c r="AD40" s="402" t="s">
        <v>2337</v>
      </c>
      <c r="AE40" s="61"/>
      <c r="AF40" s="269" t="b">
        <v>1</v>
      </c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3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3993</v>
      </c>
      <c r="D41" s="373" t="s">
        <v>3994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3995</v>
      </c>
      <c r="L41" s="109" t="s">
        <v>3996</v>
      </c>
      <c r="M41" s="58" t="s">
        <v>11</v>
      </c>
      <c r="N41" s="58" t="s">
        <v>20</v>
      </c>
      <c r="O41" s="109" t="s">
        <v>3997</v>
      </c>
      <c r="P41" s="269"/>
      <c r="R41" s="270">
        <v>46183.0</v>
      </c>
      <c r="S41" s="294" t="s">
        <v>3998</v>
      </c>
      <c r="T41" s="294" t="s">
        <v>3999</v>
      </c>
      <c r="U41" s="295" t="s">
        <v>19</v>
      </c>
      <c r="V41" s="295" t="s">
        <v>2344</v>
      </c>
      <c r="W41" s="109"/>
      <c r="X41" s="269" t="b">
        <v>1</v>
      </c>
      <c r="Z41" s="403">
        <v>46182.0</v>
      </c>
      <c r="AA41" s="294" t="s">
        <v>4000</v>
      </c>
      <c r="AB41" s="294" t="s">
        <v>4001</v>
      </c>
      <c r="AC41" s="391" t="s">
        <v>23</v>
      </c>
      <c r="AD41" s="391" t="s">
        <v>2337</v>
      </c>
      <c r="AE41" s="61"/>
      <c r="AF41" s="269" t="b">
        <v>1</v>
      </c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82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>
        <v>46177.0</v>
      </c>
      <c r="C42" s="109" t="s">
        <v>4002</v>
      </c>
      <c r="D42" s="373" t="s">
        <v>4003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4004</v>
      </c>
      <c r="L42" s="109" t="s">
        <v>4005</v>
      </c>
      <c r="M42" s="58" t="s">
        <v>11</v>
      </c>
      <c r="N42" s="58" t="s">
        <v>20</v>
      </c>
      <c r="O42" s="61"/>
      <c r="P42" s="269" t="b">
        <v>1</v>
      </c>
      <c r="R42" s="270">
        <v>46183.0</v>
      </c>
      <c r="S42" s="294" t="s">
        <v>4006</v>
      </c>
      <c r="T42" s="294" t="s">
        <v>4007</v>
      </c>
      <c r="U42" s="391" t="s">
        <v>16</v>
      </c>
      <c r="V42" s="295" t="s">
        <v>2344</v>
      </c>
      <c r="W42" s="61"/>
      <c r="X42" s="269" t="b">
        <v>1</v>
      </c>
      <c r="Z42" s="401">
        <v>46182.0</v>
      </c>
      <c r="AA42" s="273" t="s">
        <v>4008</v>
      </c>
      <c r="AB42" s="273" t="s">
        <v>4009</v>
      </c>
      <c r="AC42" s="402" t="s">
        <v>27</v>
      </c>
      <c r="AD42" s="402" t="s">
        <v>2337</v>
      </c>
      <c r="AE42" s="61"/>
      <c r="AF42" s="269" t="b">
        <v>1</v>
      </c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3"/>
      <c r="BA42" s="58"/>
      <c r="BB42" s="58"/>
      <c r="BC42" s="61"/>
      <c r="BD42" s="269"/>
      <c r="BF42" s="473"/>
      <c r="BG42" s="450"/>
      <c r="BH42" s="450"/>
      <c r="BI42" s="452"/>
      <c r="BJ42" s="452"/>
      <c r="BK42" s="61"/>
      <c r="BL42" s="298"/>
    </row>
    <row r="43" ht="22.5" customHeight="1">
      <c r="A43" s="368"/>
      <c r="B43" s="270">
        <v>46177.0</v>
      </c>
      <c r="C43" s="312" t="s">
        <v>4010</v>
      </c>
      <c r="D43" s="490" t="s">
        <v>4011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4012</v>
      </c>
      <c r="L43" s="109" t="s">
        <v>4013</v>
      </c>
      <c r="M43" s="58" t="s">
        <v>23</v>
      </c>
      <c r="N43" s="58" t="s">
        <v>20</v>
      </c>
      <c r="O43" s="61"/>
      <c r="P43" s="269" t="b">
        <v>1</v>
      </c>
      <c r="R43" s="270">
        <v>46184.0</v>
      </c>
      <c r="S43" s="384" t="s">
        <v>4014</v>
      </c>
      <c r="T43" s="109" t="s">
        <v>4015</v>
      </c>
      <c r="U43" s="58" t="s">
        <v>16</v>
      </c>
      <c r="V43" s="58" t="s">
        <v>9</v>
      </c>
      <c r="W43" s="61"/>
      <c r="X43" s="269" t="b">
        <v>1</v>
      </c>
      <c r="Z43" s="401">
        <v>46183.0</v>
      </c>
      <c r="AA43" s="109" t="s">
        <v>4016</v>
      </c>
      <c r="AB43" s="109" t="s">
        <v>4017</v>
      </c>
      <c r="AC43" s="58" t="s">
        <v>25</v>
      </c>
      <c r="AD43" s="58" t="s">
        <v>14</v>
      </c>
      <c r="AE43" s="109"/>
      <c r="AF43" s="269" t="b">
        <v>1</v>
      </c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70"/>
      <c r="BG43" s="453"/>
      <c r="BH43" s="453"/>
      <c r="BI43" s="455"/>
      <c r="BJ43" s="455"/>
      <c r="BK43" s="61"/>
      <c r="BL43" s="298"/>
    </row>
    <row r="44" ht="22.5" customHeight="1">
      <c r="A44" s="368"/>
      <c r="B44" s="270">
        <v>46177.0</v>
      </c>
      <c r="C44" s="109" t="s">
        <v>4018</v>
      </c>
      <c r="D44" s="373" t="s">
        <v>4019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4020</v>
      </c>
      <c r="L44" s="109" t="s">
        <v>4021</v>
      </c>
      <c r="M44" s="58" t="s">
        <v>23</v>
      </c>
      <c r="N44" s="58" t="s">
        <v>20</v>
      </c>
      <c r="O44" s="61"/>
      <c r="P44" s="269" t="b">
        <v>1</v>
      </c>
      <c r="R44" s="270">
        <v>46184.0</v>
      </c>
      <c r="S44" s="109" t="s">
        <v>4022</v>
      </c>
      <c r="T44" s="109" t="s">
        <v>4023</v>
      </c>
      <c r="U44" s="58" t="s">
        <v>22</v>
      </c>
      <c r="V44" s="58" t="s">
        <v>9</v>
      </c>
      <c r="W44" s="61"/>
      <c r="X44" s="269" t="b">
        <v>1</v>
      </c>
      <c r="Z44" s="270">
        <v>46183.0</v>
      </c>
      <c r="AA44" s="109" t="s">
        <v>4024</v>
      </c>
      <c r="AB44" s="109" t="s">
        <v>4025</v>
      </c>
      <c r="AC44" s="58" t="s">
        <v>11</v>
      </c>
      <c r="AD44" s="58" t="s">
        <v>20</v>
      </c>
      <c r="AE44" s="109"/>
      <c r="AF44" s="269" t="b">
        <v>1</v>
      </c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3"/>
      <c r="BG44" s="450"/>
      <c r="BH44" s="450"/>
      <c r="BI44" s="452"/>
      <c r="BJ44" s="452"/>
      <c r="BK44" s="61"/>
      <c r="BL44" s="298"/>
    </row>
    <row r="45" ht="22.5" customHeight="1">
      <c r="A45" s="368"/>
      <c r="B45" s="270">
        <v>46177.0</v>
      </c>
      <c r="C45" s="109" t="s">
        <v>4026</v>
      </c>
      <c r="D45" s="373" t="s">
        <v>4027</v>
      </c>
      <c r="E45" s="58" t="s">
        <v>22</v>
      </c>
      <c r="F45" s="58" t="s">
        <v>28</v>
      </c>
      <c r="G45" s="109"/>
      <c r="H45" s="269" t="b">
        <v>1</v>
      </c>
      <c r="J45" s="270">
        <v>46175.0</v>
      </c>
      <c r="K45" s="109" t="s">
        <v>4028</v>
      </c>
      <c r="L45" s="109" t="s">
        <v>4029</v>
      </c>
      <c r="M45" s="58" t="s">
        <v>11</v>
      </c>
      <c r="N45" s="58" t="s">
        <v>20</v>
      </c>
      <c r="O45" s="61"/>
      <c r="P45" s="269" t="b">
        <v>1</v>
      </c>
      <c r="R45" s="270">
        <v>46184.0</v>
      </c>
      <c r="S45" s="109" t="s">
        <v>4030</v>
      </c>
      <c r="T45" s="109" t="s">
        <v>4031</v>
      </c>
      <c r="U45" s="58" t="s">
        <v>44</v>
      </c>
      <c r="V45" s="58" t="s">
        <v>9</v>
      </c>
      <c r="W45" s="61"/>
      <c r="X45" s="269" t="b">
        <v>1</v>
      </c>
      <c r="Z45" s="270">
        <v>46183.0</v>
      </c>
      <c r="AA45" s="109" t="s">
        <v>4032</v>
      </c>
      <c r="AB45" s="109" t="s">
        <v>4033</v>
      </c>
      <c r="AC45" s="58" t="s">
        <v>21</v>
      </c>
      <c r="AD45" s="58" t="s">
        <v>20</v>
      </c>
      <c r="AE45" s="61"/>
      <c r="AF45" s="269" t="b">
        <v>1</v>
      </c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70"/>
      <c r="BG45" s="453"/>
      <c r="BH45" s="453"/>
      <c r="BI45" s="455"/>
      <c r="BJ45" s="455"/>
      <c r="BK45" s="61"/>
      <c r="BL45" s="298"/>
    </row>
    <row r="46" ht="22.5" customHeight="1">
      <c r="A46" s="368"/>
      <c r="B46" s="270">
        <v>46177.0</v>
      </c>
      <c r="C46" s="109" t="s">
        <v>4034</v>
      </c>
      <c r="D46" s="373" t="s">
        <v>4035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4036</v>
      </c>
      <c r="L46" s="109" t="s">
        <v>4037</v>
      </c>
      <c r="M46" s="58" t="s">
        <v>11</v>
      </c>
      <c r="N46" s="58" t="s">
        <v>20</v>
      </c>
      <c r="O46" s="61"/>
      <c r="P46" s="269" t="b">
        <v>1</v>
      </c>
      <c r="R46" s="270">
        <v>46184.0</v>
      </c>
      <c r="S46" s="109" t="s">
        <v>4038</v>
      </c>
      <c r="T46" s="109" t="s">
        <v>4039</v>
      </c>
      <c r="U46" s="58" t="s">
        <v>13</v>
      </c>
      <c r="V46" s="58" t="s">
        <v>9</v>
      </c>
      <c r="W46" s="61"/>
      <c r="X46" s="269" t="b">
        <v>1</v>
      </c>
      <c r="Z46" s="270">
        <v>46183.0</v>
      </c>
      <c r="AA46" s="109" t="s">
        <v>4040</v>
      </c>
      <c r="AB46" s="109" t="s">
        <v>4041</v>
      </c>
      <c r="AC46" s="58" t="s">
        <v>25</v>
      </c>
      <c r="AD46" s="58" t="s">
        <v>20</v>
      </c>
      <c r="AE46" s="61"/>
      <c r="AF46" s="269" t="b">
        <v>1</v>
      </c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3"/>
      <c r="BG46" s="450"/>
      <c r="BH46" s="450"/>
      <c r="BI46" s="452"/>
      <c r="BJ46" s="452"/>
      <c r="BK46" s="61"/>
      <c r="BL46" s="298"/>
    </row>
    <row r="47" ht="22.5" customHeight="1">
      <c r="A47" s="368"/>
      <c r="B47" s="270">
        <v>46177.0</v>
      </c>
      <c r="C47" s="109" t="s">
        <v>4042</v>
      </c>
      <c r="D47" s="373" t="s">
        <v>4043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4044</v>
      </c>
      <c r="L47" s="109" t="s">
        <v>4045</v>
      </c>
      <c r="M47" s="58" t="s">
        <v>11</v>
      </c>
      <c r="N47" s="58" t="s">
        <v>20</v>
      </c>
      <c r="O47" s="61"/>
      <c r="P47" s="269" t="b">
        <v>1</v>
      </c>
      <c r="R47" s="270">
        <v>46184.0</v>
      </c>
      <c r="S47" s="109" t="s">
        <v>4046</v>
      </c>
      <c r="T47" s="109" t="s">
        <v>4047</v>
      </c>
      <c r="U47" s="58" t="s">
        <v>44</v>
      </c>
      <c r="V47" s="58" t="s">
        <v>9</v>
      </c>
      <c r="W47" s="109"/>
      <c r="X47" s="269" t="b">
        <v>1</v>
      </c>
      <c r="Z47" s="270">
        <v>46183.0</v>
      </c>
      <c r="AA47" s="109" t="s">
        <v>4048</v>
      </c>
      <c r="AB47" s="109" t="s">
        <v>4049</v>
      </c>
      <c r="AC47" s="58" t="s">
        <v>21</v>
      </c>
      <c r="AD47" s="58" t="s">
        <v>20</v>
      </c>
      <c r="AE47" s="109" t="s">
        <v>3908</v>
      </c>
      <c r="AF47" s="269" t="b">
        <v>1</v>
      </c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70"/>
      <c r="BG47" s="453"/>
      <c r="BH47" s="453"/>
      <c r="BI47" s="455"/>
      <c r="BJ47" s="455"/>
      <c r="BK47" s="61"/>
      <c r="BL47" s="298"/>
    </row>
    <row r="48" ht="22.5" customHeight="1">
      <c r="A48" s="368"/>
      <c r="B48" s="270">
        <v>46177.0</v>
      </c>
      <c r="C48" s="109" t="s">
        <v>4050</v>
      </c>
      <c r="D48" s="373" t="s">
        <v>4051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4052</v>
      </c>
      <c r="L48" s="109" t="s">
        <v>4053</v>
      </c>
      <c r="M48" s="58" t="s">
        <v>11</v>
      </c>
      <c r="N48" s="58" t="s">
        <v>20</v>
      </c>
      <c r="O48" s="61"/>
      <c r="P48" s="269" t="b">
        <v>1</v>
      </c>
      <c r="R48" s="270">
        <v>46184.0</v>
      </c>
      <c r="S48" s="109" t="s">
        <v>4054</v>
      </c>
      <c r="T48" s="109" t="s">
        <v>4055</v>
      </c>
      <c r="U48" s="58" t="s">
        <v>44</v>
      </c>
      <c r="V48" s="58" t="s">
        <v>9</v>
      </c>
      <c r="W48" s="61"/>
      <c r="X48" s="269" t="b">
        <v>1</v>
      </c>
      <c r="Z48" s="270">
        <v>46183.0</v>
      </c>
      <c r="AA48" s="109" t="s">
        <v>4056</v>
      </c>
      <c r="AB48" s="109" t="s">
        <v>4057</v>
      </c>
      <c r="AC48" s="58" t="s">
        <v>21</v>
      </c>
      <c r="AD48" s="58" t="s">
        <v>20</v>
      </c>
      <c r="AE48" s="61"/>
      <c r="AF48" s="269" t="b">
        <v>1</v>
      </c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4058</v>
      </c>
      <c r="D49" s="373" t="s">
        <v>4059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4060</v>
      </c>
      <c r="L49" s="109" t="s">
        <v>4061</v>
      </c>
      <c r="M49" s="58" t="s">
        <v>11</v>
      </c>
      <c r="N49" s="58" t="s">
        <v>20</v>
      </c>
      <c r="O49" s="61"/>
      <c r="P49" s="269" t="b">
        <v>1</v>
      </c>
      <c r="R49" s="270">
        <v>46184.0</v>
      </c>
      <c r="S49" s="109" t="s">
        <v>4062</v>
      </c>
      <c r="T49" s="109" t="s">
        <v>4063</v>
      </c>
      <c r="U49" s="58" t="s">
        <v>44</v>
      </c>
      <c r="V49" s="58" t="s">
        <v>9</v>
      </c>
      <c r="W49" s="61"/>
      <c r="X49" s="269" t="b">
        <v>1</v>
      </c>
      <c r="Z49" s="270">
        <v>46183.0</v>
      </c>
      <c r="AA49" s="109" t="s">
        <v>4064</v>
      </c>
      <c r="AB49" s="109" t="s">
        <v>4065</v>
      </c>
      <c r="AC49" s="58" t="s">
        <v>15</v>
      </c>
      <c r="AD49" s="58" t="s">
        <v>20</v>
      </c>
      <c r="AE49" s="61"/>
      <c r="AF49" s="269" t="b">
        <v>1</v>
      </c>
      <c r="AH49" s="491"/>
      <c r="AI49" s="453"/>
      <c r="AJ49" s="453"/>
      <c r="AK49" s="471"/>
      <c r="AL49" s="455"/>
      <c r="AM49" s="61"/>
      <c r="AN49" s="269"/>
      <c r="AP49" s="449"/>
      <c r="AQ49" s="450"/>
      <c r="AR49" s="460"/>
      <c r="AS49" s="468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4066</v>
      </c>
      <c r="D50" s="373" t="s">
        <v>4067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4068</v>
      </c>
      <c r="L50" s="109" t="s">
        <v>4069</v>
      </c>
      <c r="M50" s="58" t="s">
        <v>11</v>
      </c>
      <c r="N50" s="58" t="s">
        <v>20</v>
      </c>
      <c r="O50" s="61"/>
      <c r="P50" s="269" t="b">
        <v>1</v>
      </c>
      <c r="R50" s="270">
        <v>46184.0</v>
      </c>
      <c r="S50" s="109" t="s">
        <v>4070</v>
      </c>
      <c r="T50" s="109" t="s">
        <v>4071</v>
      </c>
      <c r="U50" s="58" t="s">
        <v>16</v>
      </c>
      <c r="V50" s="58" t="s">
        <v>9</v>
      </c>
      <c r="W50" s="109"/>
      <c r="X50" s="269" t="b">
        <v>1</v>
      </c>
      <c r="Z50" s="270">
        <v>46183.0</v>
      </c>
      <c r="AA50" s="109" t="s">
        <v>4072</v>
      </c>
      <c r="AB50" s="109" t="s">
        <v>4073</v>
      </c>
      <c r="AC50" s="58" t="s">
        <v>15</v>
      </c>
      <c r="AD50" s="58" t="s">
        <v>20</v>
      </c>
      <c r="AE50" s="61"/>
      <c r="AF50" s="269" t="b">
        <v>1</v>
      </c>
      <c r="AH50" s="492"/>
      <c r="AI50" s="450"/>
      <c r="AJ50" s="450"/>
      <c r="AK50" s="477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4074</v>
      </c>
      <c r="D51" s="373" t="s">
        <v>4075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4076</v>
      </c>
      <c r="L51" s="109" t="s">
        <v>4077</v>
      </c>
      <c r="M51" s="58" t="s">
        <v>11</v>
      </c>
      <c r="N51" s="58" t="s">
        <v>20</v>
      </c>
      <c r="O51" s="61"/>
      <c r="P51" s="269" t="b">
        <v>1</v>
      </c>
      <c r="R51" s="270">
        <v>46184.0</v>
      </c>
      <c r="S51" s="294" t="s">
        <v>4078</v>
      </c>
      <c r="T51" s="294" t="s">
        <v>4079</v>
      </c>
      <c r="U51" s="295" t="s">
        <v>19</v>
      </c>
      <c r="V51" s="58" t="s">
        <v>12</v>
      </c>
      <c r="W51" s="109"/>
      <c r="X51" s="269" t="b">
        <v>1</v>
      </c>
      <c r="Z51" s="270">
        <v>46183.0</v>
      </c>
      <c r="AA51" s="109" t="s">
        <v>4080</v>
      </c>
      <c r="AB51" s="109" t="s">
        <v>4081</v>
      </c>
      <c r="AC51" s="58" t="s">
        <v>15</v>
      </c>
      <c r="AD51" s="58" t="s">
        <v>20</v>
      </c>
      <c r="AE51" s="61"/>
      <c r="AF51" s="269" t="b">
        <v>1</v>
      </c>
      <c r="AH51" s="491"/>
      <c r="AI51" s="453"/>
      <c r="AJ51" s="453"/>
      <c r="AK51" s="471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4082</v>
      </c>
      <c r="D52" s="373" t="s">
        <v>4083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4084</v>
      </c>
      <c r="L52" s="109" t="s">
        <v>4085</v>
      </c>
      <c r="M52" s="58" t="s">
        <v>11</v>
      </c>
      <c r="N52" s="58" t="s">
        <v>20</v>
      </c>
      <c r="O52" s="61"/>
      <c r="P52" s="269" t="b">
        <v>1</v>
      </c>
      <c r="R52" s="270">
        <v>46184.0</v>
      </c>
      <c r="S52" s="273" t="s">
        <v>4086</v>
      </c>
      <c r="T52" s="273" t="s">
        <v>4087</v>
      </c>
      <c r="U52" s="402" t="s">
        <v>24</v>
      </c>
      <c r="V52" s="58" t="s">
        <v>12</v>
      </c>
      <c r="W52" s="61"/>
      <c r="X52" s="269" t="b">
        <v>1</v>
      </c>
      <c r="Z52" s="380">
        <v>46183.0</v>
      </c>
      <c r="AA52" s="273" t="s">
        <v>4088</v>
      </c>
      <c r="AB52" s="273" t="s">
        <v>4089</v>
      </c>
      <c r="AC52" s="395" t="s">
        <v>18</v>
      </c>
      <c r="AD52" s="58" t="s">
        <v>2338</v>
      </c>
      <c r="AE52" s="61"/>
      <c r="AF52" s="269" t="b">
        <v>1</v>
      </c>
      <c r="AH52" s="492"/>
      <c r="AI52" s="450"/>
      <c r="AJ52" s="450"/>
      <c r="AK52" s="477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4090</v>
      </c>
      <c r="D53" s="490" t="s">
        <v>4091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4092</v>
      </c>
      <c r="L53" s="109" t="s">
        <v>4093</v>
      </c>
      <c r="M53" s="58" t="s">
        <v>11</v>
      </c>
      <c r="N53" s="58" t="s">
        <v>20</v>
      </c>
      <c r="O53" s="61"/>
      <c r="P53" s="269" t="b">
        <v>1</v>
      </c>
      <c r="R53" s="270">
        <v>46184.0</v>
      </c>
      <c r="S53" s="294" t="s">
        <v>4094</v>
      </c>
      <c r="T53" s="294" t="s">
        <v>4095</v>
      </c>
      <c r="U53" s="391" t="s">
        <v>32</v>
      </c>
      <c r="V53" s="58" t="s">
        <v>12</v>
      </c>
      <c r="W53" s="61"/>
      <c r="X53" s="269" t="b">
        <v>1</v>
      </c>
      <c r="Z53" s="380">
        <v>46183.0</v>
      </c>
      <c r="AA53" s="294" t="s">
        <v>4096</v>
      </c>
      <c r="AB53" s="294" t="s">
        <v>4097</v>
      </c>
      <c r="AC53" s="409" t="s">
        <v>18</v>
      </c>
      <c r="AD53" s="58" t="s">
        <v>2338</v>
      </c>
      <c r="AE53" s="61"/>
      <c r="AF53" s="269" t="b">
        <v>1</v>
      </c>
      <c r="AH53" s="491"/>
      <c r="AI53" s="453"/>
      <c r="AJ53" s="453"/>
      <c r="AK53" s="471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7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90" t="s">
        <v>4098</v>
      </c>
      <c r="D54" s="392" t="s">
        <v>4099</v>
      </c>
      <c r="E54" s="58" t="s">
        <v>19</v>
      </c>
      <c r="F54" s="58" t="s">
        <v>2349</v>
      </c>
      <c r="G54" s="427" t="s">
        <v>4100</v>
      </c>
      <c r="H54" s="269"/>
      <c r="J54" s="403">
        <v>46176.0</v>
      </c>
      <c r="K54" s="294" t="s">
        <v>4101</v>
      </c>
      <c r="L54" s="294" t="s">
        <v>4102</v>
      </c>
      <c r="M54" s="391" t="s">
        <v>30</v>
      </c>
      <c r="N54" s="391" t="s">
        <v>2337</v>
      </c>
      <c r="O54" s="109"/>
      <c r="P54" s="269" t="b">
        <v>1</v>
      </c>
      <c r="R54" s="270">
        <v>46184.0</v>
      </c>
      <c r="S54" s="273" t="s">
        <v>4103</v>
      </c>
      <c r="T54" s="273" t="s">
        <v>4104</v>
      </c>
      <c r="U54" s="402" t="s">
        <v>10</v>
      </c>
      <c r="V54" s="58" t="s">
        <v>12</v>
      </c>
      <c r="W54" s="61"/>
      <c r="X54" s="269" t="b">
        <v>1</v>
      </c>
      <c r="Z54" s="380">
        <v>46183.0</v>
      </c>
      <c r="AA54" s="273" t="s">
        <v>4105</v>
      </c>
      <c r="AB54" s="273" t="s">
        <v>4106</v>
      </c>
      <c r="AC54" s="395" t="s">
        <v>11</v>
      </c>
      <c r="AD54" s="58" t="s">
        <v>2338</v>
      </c>
      <c r="AE54" s="61"/>
      <c r="AF54" s="269" t="b">
        <v>1</v>
      </c>
      <c r="AH54" s="449"/>
      <c r="AI54" s="450"/>
      <c r="AJ54" s="450"/>
      <c r="AK54" s="451"/>
      <c r="AL54" s="452"/>
      <c r="AM54" s="493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94" t="s">
        <v>4107</v>
      </c>
      <c r="D55" s="430" t="s">
        <v>4108</v>
      </c>
      <c r="E55" s="431" t="s">
        <v>19</v>
      </c>
      <c r="F55" s="58" t="s">
        <v>12</v>
      </c>
      <c r="G55" s="109" t="s">
        <v>4109</v>
      </c>
      <c r="H55" s="269" t="b">
        <v>1</v>
      </c>
      <c r="J55" s="401">
        <v>46176.0</v>
      </c>
      <c r="K55" s="273" t="s">
        <v>4110</v>
      </c>
      <c r="L55" s="273" t="s">
        <v>4111</v>
      </c>
      <c r="M55" s="402" t="s">
        <v>21</v>
      </c>
      <c r="N55" s="402" t="s">
        <v>2337</v>
      </c>
      <c r="O55" s="61"/>
      <c r="P55" s="269" t="b">
        <v>1</v>
      </c>
      <c r="R55" s="270">
        <v>46184.0</v>
      </c>
      <c r="S55" s="294" t="s">
        <v>4112</v>
      </c>
      <c r="T55" s="294" t="s">
        <v>4113</v>
      </c>
      <c r="U55" s="391" t="s">
        <v>13</v>
      </c>
      <c r="V55" s="58" t="s">
        <v>12</v>
      </c>
      <c r="W55" s="109"/>
      <c r="X55" s="269" t="b">
        <v>1</v>
      </c>
      <c r="Z55" s="380">
        <v>46183.0</v>
      </c>
      <c r="AA55" s="495" t="s">
        <v>4114</v>
      </c>
      <c r="AB55" s="294" t="s">
        <v>4115</v>
      </c>
      <c r="AC55" s="409" t="s">
        <v>11</v>
      </c>
      <c r="AD55" s="58" t="s">
        <v>2338</v>
      </c>
      <c r="AE55" s="61"/>
      <c r="AF55" s="269" t="b">
        <v>1</v>
      </c>
      <c r="AH55" s="449"/>
      <c r="AI55" s="453"/>
      <c r="AJ55" s="453"/>
      <c r="AK55" s="466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4116</v>
      </c>
      <c r="D56" s="373" t="s">
        <v>4117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4118</v>
      </c>
      <c r="L56" s="294" t="s">
        <v>4119</v>
      </c>
      <c r="M56" s="391" t="s">
        <v>27</v>
      </c>
      <c r="N56" s="391" t="s">
        <v>2337</v>
      </c>
      <c r="O56" s="61"/>
      <c r="P56" s="269" t="b">
        <v>1</v>
      </c>
      <c r="R56" s="270">
        <v>46184.0</v>
      </c>
      <c r="S56" s="430" t="s">
        <v>4120</v>
      </c>
      <c r="T56" s="430" t="s">
        <v>4121</v>
      </c>
      <c r="U56" s="431" t="s">
        <v>13</v>
      </c>
      <c r="V56" s="58" t="s">
        <v>12</v>
      </c>
      <c r="W56" s="109"/>
      <c r="X56" s="269" t="b">
        <v>1</v>
      </c>
      <c r="Z56" s="380">
        <v>46183.0</v>
      </c>
      <c r="AA56" s="496" t="s">
        <v>4122</v>
      </c>
      <c r="AB56" s="273" t="s">
        <v>4123</v>
      </c>
      <c r="AC56" s="395" t="s">
        <v>11</v>
      </c>
      <c r="AD56" s="58" t="s">
        <v>2338</v>
      </c>
      <c r="AE56" s="61"/>
      <c r="AF56" s="269" t="b">
        <v>1</v>
      </c>
      <c r="AH56" s="449"/>
      <c r="AI56" s="450"/>
      <c r="AJ56" s="450"/>
      <c r="AK56" s="468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4124</v>
      </c>
      <c r="D57" s="373" t="s">
        <v>4125</v>
      </c>
      <c r="E57" s="58" t="s">
        <v>16</v>
      </c>
      <c r="F57" s="58" t="s">
        <v>20</v>
      </c>
      <c r="G57" s="109" t="s">
        <v>4109</v>
      </c>
      <c r="H57" s="269" t="b">
        <v>1</v>
      </c>
      <c r="J57" s="401">
        <v>46176.0</v>
      </c>
      <c r="K57" s="273" t="s">
        <v>4126</v>
      </c>
      <c r="L57" s="273" t="s">
        <v>4127</v>
      </c>
      <c r="M57" s="402" t="s">
        <v>30</v>
      </c>
      <c r="N57" s="402" t="s">
        <v>2337</v>
      </c>
      <c r="O57" s="61"/>
      <c r="P57" s="269" t="b">
        <v>1</v>
      </c>
      <c r="R57" s="270">
        <v>46184.0</v>
      </c>
      <c r="S57" s="294" t="s">
        <v>4128</v>
      </c>
      <c r="T57" s="294" t="s">
        <v>4129</v>
      </c>
      <c r="U57" s="295" t="s">
        <v>22</v>
      </c>
      <c r="V57" s="58" t="s">
        <v>12</v>
      </c>
      <c r="W57" s="493"/>
      <c r="X57" s="269" t="b">
        <v>1</v>
      </c>
      <c r="Z57" s="380">
        <v>46183.0</v>
      </c>
      <c r="AA57" s="294" t="s">
        <v>4130</v>
      </c>
      <c r="AB57" s="294" t="s">
        <v>4131</v>
      </c>
      <c r="AC57" s="409" t="s">
        <v>23</v>
      </c>
      <c r="AD57" s="391" t="s">
        <v>2338</v>
      </c>
      <c r="AE57" s="61"/>
      <c r="AF57" s="269"/>
      <c r="AH57" s="449"/>
      <c r="AI57" s="453"/>
      <c r="AJ57" s="453"/>
      <c r="AK57" s="466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4132</v>
      </c>
      <c r="D58" s="430" t="s">
        <v>4133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4134</v>
      </c>
      <c r="L58" s="294" t="s">
        <v>4135</v>
      </c>
      <c r="M58" s="391" t="s">
        <v>15</v>
      </c>
      <c r="N58" s="391" t="s">
        <v>2337</v>
      </c>
      <c r="O58" s="61"/>
      <c r="P58" s="269" t="b">
        <v>1</v>
      </c>
      <c r="R58" s="270">
        <v>46184.0</v>
      </c>
      <c r="S58" s="273" t="s">
        <v>4136</v>
      </c>
      <c r="T58" s="273" t="s">
        <v>4137</v>
      </c>
      <c r="U58" s="402" t="s">
        <v>10</v>
      </c>
      <c r="V58" s="58" t="s">
        <v>12</v>
      </c>
      <c r="W58" s="109"/>
      <c r="X58" s="269" t="b">
        <v>1</v>
      </c>
      <c r="Z58" s="382">
        <v>46183.0</v>
      </c>
      <c r="AA58" s="496" t="s">
        <v>4138</v>
      </c>
      <c r="AB58" s="273" t="s">
        <v>4139</v>
      </c>
      <c r="AC58" s="395" t="s">
        <v>11</v>
      </c>
      <c r="AD58" s="402" t="s">
        <v>2338</v>
      </c>
      <c r="AE58" s="61"/>
      <c r="AF58" s="269" t="b">
        <v>1</v>
      </c>
      <c r="AH58" s="473"/>
      <c r="AI58" s="450"/>
      <c r="AJ58" s="450"/>
      <c r="AK58" s="477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4140</v>
      </c>
      <c r="D59" s="373" t="s">
        <v>4141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4142</v>
      </c>
      <c r="L59" s="294" t="s">
        <v>4143</v>
      </c>
      <c r="M59" s="396" t="s">
        <v>23</v>
      </c>
      <c r="N59" s="391" t="s">
        <v>2338</v>
      </c>
      <c r="O59" s="61"/>
      <c r="P59" s="269" t="b">
        <v>1</v>
      </c>
      <c r="R59" s="270">
        <v>46184.0</v>
      </c>
      <c r="S59" s="273" t="s">
        <v>4144</v>
      </c>
      <c r="T59" s="273" t="s">
        <v>4145</v>
      </c>
      <c r="U59" s="402" t="s">
        <v>950</v>
      </c>
      <c r="V59" s="274" t="s">
        <v>2344</v>
      </c>
      <c r="W59" s="109" t="s">
        <v>4146</v>
      </c>
      <c r="X59" s="269"/>
      <c r="Z59" s="380">
        <v>46183.0</v>
      </c>
      <c r="AA59" s="294" t="s">
        <v>4147</v>
      </c>
      <c r="AB59" s="294" t="s">
        <v>4148</v>
      </c>
      <c r="AC59" s="409" t="s">
        <v>15</v>
      </c>
      <c r="AD59" s="391" t="s">
        <v>2338</v>
      </c>
      <c r="AE59" s="61"/>
      <c r="AF59" s="269" t="b">
        <v>1</v>
      </c>
      <c r="AH59" s="470"/>
      <c r="AI59" s="453"/>
      <c r="AJ59" s="453"/>
      <c r="AK59" s="471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4149</v>
      </c>
      <c r="D60" s="373" t="s">
        <v>4150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4151</v>
      </c>
      <c r="L60" s="273" t="s">
        <v>4152</v>
      </c>
      <c r="M60" s="398" t="s">
        <v>27</v>
      </c>
      <c r="N60" s="431" t="s">
        <v>2338</v>
      </c>
      <c r="O60" s="61"/>
      <c r="P60" s="269" t="b">
        <v>1</v>
      </c>
      <c r="R60" s="270">
        <v>46184.0</v>
      </c>
      <c r="S60" s="294" t="s">
        <v>4153</v>
      </c>
      <c r="T60" s="294" t="s">
        <v>4154</v>
      </c>
      <c r="U60" s="295"/>
      <c r="V60" s="295" t="s">
        <v>2344</v>
      </c>
      <c r="W60" s="109" t="s">
        <v>4155</v>
      </c>
      <c r="X60" s="298"/>
      <c r="Z60" s="382">
        <v>46183.0</v>
      </c>
      <c r="AA60" s="273" t="s">
        <v>4156</v>
      </c>
      <c r="AB60" s="273" t="s">
        <v>4157</v>
      </c>
      <c r="AC60" s="395"/>
      <c r="AD60" s="431" t="s">
        <v>2338</v>
      </c>
      <c r="AE60" s="109" t="s">
        <v>982</v>
      </c>
      <c r="AF60" s="269"/>
      <c r="AH60" s="473"/>
      <c r="AI60" s="450"/>
      <c r="AJ60" s="450"/>
      <c r="AK60" s="477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4158</v>
      </c>
      <c r="D61" s="373" t="s">
        <v>4159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4160</v>
      </c>
      <c r="L61" s="294" t="s">
        <v>4161</v>
      </c>
      <c r="M61" s="396" t="s">
        <v>18</v>
      </c>
      <c r="N61" s="391" t="s">
        <v>2338</v>
      </c>
      <c r="O61" s="61"/>
      <c r="P61" s="269" t="b">
        <v>1</v>
      </c>
      <c r="R61" s="270">
        <v>46185.0</v>
      </c>
      <c r="S61" s="384" t="s">
        <v>4162</v>
      </c>
      <c r="T61" s="439" t="s">
        <v>4163</v>
      </c>
      <c r="U61" s="58"/>
      <c r="V61" s="58" t="s">
        <v>2347</v>
      </c>
      <c r="W61" s="427" t="s">
        <v>2432</v>
      </c>
      <c r="X61" s="298"/>
      <c r="Z61" s="380">
        <v>46183.0</v>
      </c>
      <c r="AA61" s="294" t="s">
        <v>4164</v>
      </c>
      <c r="AB61" s="294" t="s">
        <v>4165</v>
      </c>
      <c r="AC61" s="409" t="s">
        <v>30</v>
      </c>
      <c r="AD61" s="391" t="s">
        <v>2338</v>
      </c>
      <c r="AE61" s="61"/>
      <c r="AF61" s="269" t="b">
        <v>1</v>
      </c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4166</v>
      </c>
      <c r="D62" s="373" t="s">
        <v>4167</v>
      </c>
      <c r="E62" s="58" t="s">
        <v>10</v>
      </c>
      <c r="F62" s="58" t="s">
        <v>14</v>
      </c>
      <c r="G62" s="109" t="s">
        <v>4168</v>
      </c>
      <c r="H62" s="269"/>
      <c r="J62" s="382">
        <v>46176.0</v>
      </c>
      <c r="K62" s="273" t="s">
        <v>4169</v>
      </c>
      <c r="L62" s="273" t="s">
        <v>4170</v>
      </c>
      <c r="M62" s="398" t="s">
        <v>30</v>
      </c>
      <c r="N62" s="431" t="s">
        <v>2338</v>
      </c>
      <c r="O62" s="61"/>
      <c r="P62" s="269" t="b">
        <v>1</v>
      </c>
      <c r="R62" s="270">
        <v>46185.0</v>
      </c>
      <c r="S62" s="109" t="s">
        <v>4171</v>
      </c>
      <c r="T62" s="109" t="s">
        <v>4172</v>
      </c>
      <c r="U62" s="58" t="s">
        <v>13</v>
      </c>
      <c r="V62" s="58" t="s">
        <v>2347</v>
      </c>
      <c r="W62" s="61"/>
      <c r="X62" s="269" t="b">
        <v>1</v>
      </c>
      <c r="Z62" s="382">
        <v>46183.0</v>
      </c>
      <c r="AA62" s="273" t="s">
        <v>4173</v>
      </c>
      <c r="AB62" s="273" t="s">
        <v>4174</v>
      </c>
      <c r="AC62" s="395" t="s">
        <v>23</v>
      </c>
      <c r="AD62" s="431" t="s">
        <v>2338</v>
      </c>
      <c r="AE62" s="61"/>
      <c r="AF62" s="269" t="b">
        <v>1</v>
      </c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4175</v>
      </c>
      <c r="D63" s="373" t="s">
        <v>4176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4177</v>
      </c>
      <c r="L63" s="294" t="s">
        <v>4178</v>
      </c>
      <c r="M63" s="441" t="s">
        <v>30</v>
      </c>
      <c r="N63" s="295" t="s">
        <v>2338</v>
      </c>
      <c r="O63" s="61"/>
      <c r="P63" s="269" t="b">
        <v>1</v>
      </c>
      <c r="R63" s="403">
        <v>46185.0</v>
      </c>
      <c r="S63" s="294" t="s">
        <v>4179</v>
      </c>
      <c r="T63" s="294" t="s">
        <v>4180</v>
      </c>
      <c r="U63" s="391" t="s">
        <v>24</v>
      </c>
      <c r="V63" s="295" t="s">
        <v>2337</v>
      </c>
      <c r="W63" s="61"/>
      <c r="X63" s="269" t="b">
        <v>1</v>
      </c>
      <c r="Z63" s="380">
        <v>46183.0</v>
      </c>
      <c r="AA63" s="294" t="s">
        <v>4181</v>
      </c>
      <c r="AB63" s="294" t="s">
        <v>4182</v>
      </c>
      <c r="AC63" s="409"/>
      <c r="AD63" s="391" t="s">
        <v>2338</v>
      </c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46178.0</v>
      </c>
      <c r="C64" s="109" t="s">
        <v>4183</v>
      </c>
      <c r="D64" s="373" t="s">
        <v>4184</v>
      </c>
      <c r="E64" s="58" t="s">
        <v>24</v>
      </c>
      <c r="F64" s="58" t="s">
        <v>14</v>
      </c>
      <c r="G64" s="109"/>
      <c r="H64" s="269" t="b">
        <v>1</v>
      </c>
      <c r="J64" s="382">
        <v>46176.0</v>
      </c>
      <c r="K64" s="273" t="s">
        <v>4185</v>
      </c>
      <c r="L64" s="273" t="s">
        <v>4186</v>
      </c>
      <c r="M64" s="398"/>
      <c r="N64" s="431" t="s">
        <v>2338</v>
      </c>
      <c r="O64" s="109" t="s">
        <v>4187</v>
      </c>
      <c r="P64" s="269"/>
      <c r="R64" s="403">
        <v>46185.0</v>
      </c>
      <c r="S64" s="294" t="s">
        <v>4188</v>
      </c>
      <c r="T64" s="294" t="s">
        <v>4189</v>
      </c>
      <c r="U64" s="391" t="s">
        <v>16</v>
      </c>
      <c r="V64" s="295" t="s">
        <v>2344</v>
      </c>
      <c r="W64" s="61"/>
      <c r="X64" s="269" t="b">
        <v>1</v>
      </c>
      <c r="Z64" s="382">
        <v>46183.0</v>
      </c>
      <c r="AA64" s="496" t="s">
        <v>4190</v>
      </c>
      <c r="AB64" s="273" t="s">
        <v>4191</v>
      </c>
      <c r="AC64" s="395" t="s">
        <v>11</v>
      </c>
      <c r="AD64" s="431" t="s">
        <v>2338</v>
      </c>
      <c r="AE64" s="61"/>
      <c r="AF64" s="269" t="b">
        <v>1</v>
      </c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46178.0</v>
      </c>
      <c r="C65" s="109" t="s">
        <v>4192</v>
      </c>
      <c r="D65" s="373" t="s">
        <v>4193</v>
      </c>
      <c r="E65" s="58" t="s">
        <v>44</v>
      </c>
      <c r="F65" s="58" t="s">
        <v>14</v>
      </c>
      <c r="G65" s="109"/>
      <c r="H65" s="269" t="b">
        <v>1</v>
      </c>
      <c r="J65" s="270">
        <v>46177.0</v>
      </c>
      <c r="K65" s="384" t="s">
        <v>4194</v>
      </c>
      <c r="L65" s="109" t="s">
        <v>4195</v>
      </c>
      <c r="M65" s="58" t="s">
        <v>23</v>
      </c>
      <c r="N65" s="58" t="s">
        <v>28</v>
      </c>
      <c r="O65" s="61"/>
      <c r="P65" s="269" t="b">
        <v>1</v>
      </c>
      <c r="R65" s="403">
        <v>46185.0</v>
      </c>
      <c r="S65" s="109" t="s">
        <v>4196</v>
      </c>
      <c r="T65" s="47" t="s">
        <v>4197</v>
      </c>
      <c r="U65" s="58" t="s">
        <v>16</v>
      </c>
      <c r="V65" s="58" t="s">
        <v>9</v>
      </c>
      <c r="W65" s="61"/>
      <c r="X65" s="269" t="b">
        <v>1</v>
      </c>
      <c r="Z65" s="382">
        <v>46183.0</v>
      </c>
      <c r="AA65" s="109" t="s">
        <v>4198</v>
      </c>
      <c r="AB65" s="109" t="s">
        <v>4199</v>
      </c>
      <c r="AC65" s="58" t="s">
        <v>27</v>
      </c>
      <c r="AD65" s="58" t="s">
        <v>14</v>
      </c>
      <c r="AE65" s="61"/>
      <c r="AF65" s="269" t="b">
        <v>1</v>
      </c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4200</v>
      </c>
      <c r="D66" s="373" t="s">
        <v>4201</v>
      </c>
      <c r="E66" s="58" t="s">
        <v>22</v>
      </c>
      <c r="F66" s="58" t="s">
        <v>9</v>
      </c>
      <c r="G66" s="61"/>
      <c r="H66" s="269" t="b">
        <v>1</v>
      </c>
      <c r="J66" s="270">
        <v>46177.0</v>
      </c>
      <c r="K66" s="384" t="s">
        <v>4202</v>
      </c>
      <c r="L66" s="109" t="s">
        <v>4203</v>
      </c>
      <c r="M66" s="58" t="s">
        <v>21</v>
      </c>
      <c r="N66" s="58" t="s">
        <v>20</v>
      </c>
      <c r="O66" s="61"/>
      <c r="P66" s="269" t="b">
        <v>1</v>
      </c>
      <c r="R66" s="403">
        <v>46185.0</v>
      </c>
      <c r="S66" s="384" t="s">
        <v>4204</v>
      </c>
      <c r="T66" s="47" t="s">
        <v>4205</v>
      </c>
      <c r="U66" s="58" t="s">
        <v>16</v>
      </c>
      <c r="V66" s="58" t="s">
        <v>9</v>
      </c>
      <c r="W66" s="109"/>
      <c r="X66" s="269" t="b">
        <v>1</v>
      </c>
      <c r="Z66" s="382">
        <v>46183.0</v>
      </c>
      <c r="AA66" s="109" t="s">
        <v>4206</v>
      </c>
      <c r="AB66" s="109" t="s">
        <v>4207</v>
      </c>
      <c r="AC66" s="58" t="s">
        <v>27</v>
      </c>
      <c r="AD66" s="58" t="s">
        <v>14</v>
      </c>
      <c r="AE66" s="109" t="s">
        <v>4208</v>
      </c>
      <c r="AF66" s="269" t="b">
        <v>1</v>
      </c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>
        <v>46181.0</v>
      </c>
      <c r="C67" s="109" t="s">
        <v>4209</v>
      </c>
      <c r="D67" s="373" t="s">
        <v>4210</v>
      </c>
      <c r="E67" s="58" t="s">
        <v>10</v>
      </c>
      <c r="F67" s="58" t="s">
        <v>9</v>
      </c>
      <c r="G67" s="109" t="s">
        <v>4211</v>
      </c>
      <c r="H67" s="269" t="b">
        <v>1</v>
      </c>
      <c r="J67" s="270">
        <v>46177.0</v>
      </c>
      <c r="K67" s="109" t="s">
        <v>4212</v>
      </c>
      <c r="L67" s="109" t="s">
        <v>4213</v>
      </c>
      <c r="M67" s="58" t="s">
        <v>11</v>
      </c>
      <c r="N67" s="58" t="s">
        <v>20</v>
      </c>
      <c r="O67" s="61"/>
      <c r="P67" s="269" t="b">
        <v>1</v>
      </c>
      <c r="R67" s="403">
        <v>46185.0</v>
      </c>
      <c r="S67" s="384" t="s">
        <v>4214</v>
      </c>
      <c r="T67" s="109" t="s">
        <v>4215</v>
      </c>
      <c r="U67" s="58" t="s">
        <v>32</v>
      </c>
      <c r="V67" s="58" t="s">
        <v>9</v>
      </c>
      <c r="W67" s="61"/>
      <c r="X67" s="269" t="b">
        <v>1</v>
      </c>
      <c r="Z67" s="403">
        <v>46183.0</v>
      </c>
      <c r="AA67" s="294" t="s">
        <v>4216</v>
      </c>
      <c r="AB67" s="294" t="s">
        <v>4217</v>
      </c>
      <c r="AC67" s="391" t="s">
        <v>21</v>
      </c>
      <c r="AD67" s="391" t="s">
        <v>2337</v>
      </c>
      <c r="AE67" s="61"/>
      <c r="AF67" s="269" t="b">
        <v>1</v>
      </c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4218</v>
      </c>
      <c r="D68" s="373" t="s">
        <v>4219</v>
      </c>
      <c r="E68" s="58" t="s">
        <v>24</v>
      </c>
      <c r="F68" s="58" t="s">
        <v>9</v>
      </c>
      <c r="G68" s="109"/>
      <c r="H68" s="269" t="b">
        <v>1</v>
      </c>
      <c r="J68" s="270">
        <v>46177.0</v>
      </c>
      <c r="K68" s="109" t="s">
        <v>4220</v>
      </c>
      <c r="L68" s="109" t="s">
        <v>4221</v>
      </c>
      <c r="M68" s="58" t="s">
        <v>11</v>
      </c>
      <c r="N68" s="58" t="s">
        <v>20</v>
      </c>
      <c r="O68" s="109"/>
      <c r="P68" s="269" t="b">
        <v>1</v>
      </c>
      <c r="R68" s="403">
        <v>46185.0</v>
      </c>
      <c r="S68" s="109" t="s">
        <v>4222</v>
      </c>
      <c r="T68" s="109" t="s">
        <v>4223</v>
      </c>
      <c r="U68" s="58" t="s">
        <v>13</v>
      </c>
      <c r="V68" s="58" t="s">
        <v>9</v>
      </c>
      <c r="W68" s="61"/>
      <c r="X68" s="269" t="b">
        <v>1</v>
      </c>
      <c r="Z68" s="401">
        <v>46183.0</v>
      </c>
      <c r="AA68" s="273" t="s">
        <v>4224</v>
      </c>
      <c r="AB68" s="273" t="s">
        <v>4225</v>
      </c>
      <c r="AC68" s="402" t="s">
        <v>15</v>
      </c>
      <c r="AD68" s="402" t="s">
        <v>2337</v>
      </c>
      <c r="AE68" s="109"/>
      <c r="AF68" s="269" t="b">
        <v>1</v>
      </c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4226</v>
      </c>
      <c r="D69" s="373" t="s">
        <v>4227</v>
      </c>
      <c r="E69" s="58" t="s">
        <v>10</v>
      </c>
      <c r="F69" s="58" t="s">
        <v>9</v>
      </c>
      <c r="G69" s="109" t="s">
        <v>4228</v>
      </c>
      <c r="H69" s="269"/>
      <c r="J69" s="270">
        <v>46177.0</v>
      </c>
      <c r="K69" s="109" t="s">
        <v>4229</v>
      </c>
      <c r="L69" s="109" t="s">
        <v>4230</v>
      </c>
      <c r="M69" s="58" t="s">
        <v>11</v>
      </c>
      <c r="N69" s="58" t="s">
        <v>20</v>
      </c>
      <c r="O69" s="61"/>
      <c r="P69" s="269" t="b">
        <v>1</v>
      </c>
      <c r="R69" s="403">
        <v>46185.0</v>
      </c>
      <c r="S69" s="109" t="s">
        <v>4231</v>
      </c>
      <c r="T69" s="109" t="s">
        <v>4232</v>
      </c>
      <c r="U69" s="58" t="s">
        <v>44</v>
      </c>
      <c r="V69" s="58" t="s">
        <v>9</v>
      </c>
      <c r="W69" s="109" t="s">
        <v>4233</v>
      </c>
      <c r="X69" s="269" t="b">
        <v>1</v>
      </c>
      <c r="Z69" s="403">
        <v>46183.0</v>
      </c>
      <c r="AA69" s="294" t="s">
        <v>4234</v>
      </c>
      <c r="AB69" s="294" t="s">
        <v>4235</v>
      </c>
      <c r="AC69" s="391" t="s">
        <v>25</v>
      </c>
      <c r="AD69" s="391" t="s">
        <v>2337</v>
      </c>
      <c r="AE69" s="61"/>
      <c r="AF69" s="269" t="b">
        <v>1</v>
      </c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4236</v>
      </c>
      <c r="D70" s="373" t="s">
        <v>4237</v>
      </c>
      <c r="E70" s="58" t="s">
        <v>16</v>
      </c>
      <c r="F70" s="58" t="s">
        <v>9</v>
      </c>
      <c r="G70" s="61"/>
      <c r="H70" s="269" t="b">
        <v>1</v>
      </c>
      <c r="J70" s="270">
        <v>46177.0</v>
      </c>
      <c r="K70" s="109" t="s">
        <v>4238</v>
      </c>
      <c r="L70" s="109" t="s">
        <v>4239</v>
      </c>
      <c r="M70" s="58" t="s">
        <v>11</v>
      </c>
      <c r="N70" s="58" t="s">
        <v>20</v>
      </c>
      <c r="O70" s="61"/>
      <c r="P70" s="269" t="b">
        <v>1</v>
      </c>
      <c r="R70" s="403">
        <v>46185.0</v>
      </c>
      <c r="S70" s="469" t="s">
        <v>4240</v>
      </c>
      <c r="T70" s="469" t="s">
        <v>4241</v>
      </c>
      <c r="U70" s="489" t="s">
        <v>10</v>
      </c>
      <c r="V70" s="489" t="s">
        <v>9</v>
      </c>
      <c r="W70" s="61"/>
      <c r="X70" s="269" t="b">
        <v>1</v>
      </c>
      <c r="Z70" s="401">
        <v>46183.0</v>
      </c>
      <c r="AA70" s="273" t="s">
        <v>4242</v>
      </c>
      <c r="AB70" s="273" t="s">
        <v>4243</v>
      </c>
      <c r="AC70" s="402" t="s">
        <v>18</v>
      </c>
      <c r="AD70" s="402" t="s">
        <v>2337</v>
      </c>
      <c r="AE70" s="61"/>
      <c r="AF70" s="269" t="b">
        <v>1</v>
      </c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4244</v>
      </c>
      <c r="D71" s="373" t="s">
        <v>4245</v>
      </c>
      <c r="E71" s="58" t="s">
        <v>10</v>
      </c>
      <c r="F71" s="58" t="s">
        <v>9</v>
      </c>
      <c r="G71" s="61"/>
      <c r="H71" s="269" t="b">
        <v>1</v>
      </c>
      <c r="J71" s="270">
        <v>46177.0</v>
      </c>
      <c r="K71" s="109" t="s">
        <v>4246</v>
      </c>
      <c r="L71" s="109" t="s">
        <v>4247</v>
      </c>
      <c r="M71" s="58" t="s">
        <v>21</v>
      </c>
      <c r="N71" s="58" t="s">
        <v>20</v>
      </c>
      <c r="O71" s="109"/>
      <c r="P71" s="269" t="b">
        <v>1</v>
      </c>
      <c r="R71" s="403">
        <v>46185.0</v>
      </c>
      <c r="S71" s="273" t="s">
        <v>4248</v>
      </c>
      <c r="T71" s="273" t="s">
        <v>4249</v>
      </c>
      <c r="U71" s="274"/>
      <c r="V71" s="274" t="s">
        <v>2344</v>
      </c>
      <c r="W71" s="109" t="s">
        <v>4250</v>
      </c>
      <c r="X71" s="298"/>
      <c r="Z71" s="403">
        <v>46183.0</v>
      </c>
      <c r="AA71" s="294" t="s">
        <v>4251</v>
      </c>
      <c r="AB71" s="294" t="s">
        <v>4252</v>
      </c>
      <c r="AC71" s="391" t="s">
        <v>30</v>
      </c>
      <c r="AD71" s="391" t="s">
        <v>2337</v>
      </c>
      <c r="AE71" s="61"/>
      <c r="AF71" s="269" t="b">
        <v>1</v>
      </c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109" t="s">
        <v>4253</v>
      </c>
      <c r="D72" s="373" t="s">
        <v>4254</v>
      </c>
      <c r="E72" s="58" t="s">
        <v>22</v>
      </c>
      <c r="F72" s="58" t="s">
        <v>9</v>
      </c>
      <c r="G72" s="109" t="s">
        <v>4255</v>
      </c>
      <c r="H72" s="298"/>
      <c r="J72" s="270">
        <v>46177.0</v>
      </c>
      <c r="K72" s="109" t="s">
        <v>4256</v>
      </c>
      <c r="L72" s="109" t="s">
        <v>4257</v>
      </c>
      <c r="M72" s="58" t="s">
        <v>11</v>
      </c>
      <c r="N72" s="58" t="s">
        <v>20</v>
      </c>
      <c r="O72" s="109"/>
      <c r="P72" s="269" t="b">
        <v>1</v>
      </c>
      <c r="R72" s="403">
        <v>46185.0</v>
      </c>
      <c r="S72" s="294" t="s">
        <v>4258</v>
      </c>
      <c r="T72" s="294" t="s">
        <v>4259</v>
      </c>
      <c r="U72" s="295" t="s">
        <v>24</v>
      </c>
      <c r="V72" s="295" t="s">
        <v>2344</v>
      </c>
      <c r="W72" s="61"/>
      <c r="X72" s="269" t="b">
        <v>1</v>
      </c>
      <c r="Z72" s="401">
        <v>46183.0</v>
      </c>
      <c r="AA72" s="273" t="s">
        <v>4260</v>
      </c>
      <c r="AB72" s="273" t="s">
        <v>4261</v>
      </c>
      <c r="AC72" s="402" t="s">
        <v>27</v>
      </c>
      <c r="AD72" s="402" t="s">
        <v>2337</v>
      </c>
      <c r="AE72" s="61"/>
      <c r="AF72" s="269" t="b">
        <v>1</v>
      </c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109" t="s">
        <v>4262</v>
      </c>
      <c r="D73" s="373" t="s">
        <v>4263</v>
      </c>
      <c r="E73" s="58" t="s">
        <v>16</v>
      </c>
      <c r="F73" s="58" t="s">
        <v>2347</v>
      </c>
      <c r="G73" s="109" t="s">
        <v>4264</v>
      </c>
      <c r="H73" s="269" t="b">
        <v>1</v>
      </c>
      <c r="J73" s="270">
        <v>46177.0</v>
      </c>
      <c r="K73" s="109" t="s">
        <v>4265</v>
      </c>
      <c r="L73" s="109" t="s">
        <v>4266</v>
      </c>
      <c r="M73" s="58" t="s">
        <v>23</v>
      </c>
      <c r="N73" s="58" t="s">
        <v>20</v>
      </c>
      <c r="O73" s="61"/>
      <c r="P73" s="269" t="b">
        <v>1</v>
      </c>
      <c r="R73" s="403">
        <v>46185.0</v>
      </c>
      <c r="S73" s="273" t="s">
        <v>4267</v>
      </c>
      <c r="T73" s="273" t="s">
        <v>4268</v>
      </c>
      <c r="U73" s="274" t="s">
        <v>32</v>
      </c>
      <c r="V73" s="274" t="s">
        <v>2344</v>
      </c>
      <c r="W73" s="109"/>
      <c r="X73" s="269" t="b">
        <v>1</v>
      </c>
      <c r="Z73" s="403">
        <v>46183.0</v>
      </c>
      <c r="AA73" s="294" t="s">
        <v>4269</v>
      </c>
      <c r="AB73" s="294" t="s">
        <v>4270</v>
      </c>
      <c r="AC73" s="391" t="s">
        <v>30</v>
      </c>
      <c r="AD73" s="391" t="s">
        <v>2337</v>
      </c>
      <c r="AE73" s="61"/>
      <c r="AF73" s="269" t="b">
        <v>1</v>
      </c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109" t="s">
        <v>4271</v>
      </c>
      <c r="D74" s="373" t="s">
        <v>4272</v>
      </c>
      <c r="E74" s="58" t="s">
        <v>10</v>
      </c>
      <c r="F74" s="58" t="s">
        <v>9</v>
      </c>
      <c r="G74" s="61"/>
      <c r="H74" s="269" t="b">
        <v>1</v>
      </c>
      <c r="J74" s="401">
        <v>46177.0</v>
      </c>
      <c r="K74" s="273" t="s">
        <v>4273</v>
      </c>
      <c r="L74" s="273" t="s">
        <v>4274</v>
      </c>
      <c r="M74" s="402" t="s">
        <v>11</v>
      </c>
      <c r="N74" s="402" t="s">
        <v>2337</v>
      </c>
      <c r="O74" s="109" t="s">
        <v>3746</v>
      </c>
      <c r="P74" s="269" t="b">
        <v>1</v>
      </c>
      <c r="R74" s="403">
        <v>46185.0</v>
      </c>
      <c r="S74" s="294" t="s">
        <v>4275</v>
      </c>
      <c r="T74" s="294" t="s">
        <v>4276</v>
      </c>
      <c r="U74" s="295" t="s">
        <v>22</v>
      </c>
      <c r="V74" s="295" t="s">
        <v>2344</v>
      </c>
      <c r="W74" s="61"/>
      <c r="X74" s="269" t="b">
        <v>1</v>
      </c>
      <c r="Z74" s="403">
        <v>46183.0</v>
      </c>
      <c r="AA74" s="109" t="s">
        <v>4277</v>
      </c>
      <c r="AB74" s="109" t="s">
        <v>4278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>
        <v>46181.0</v>
      </c>
      <c r="C75" s="109" t="s">
        <v>4279</v>
      </c>
      <c r="D75" s="373" t="s">
        <v>4280</v>
      </c>
      <c r="E75" s="58" t="s">
        <v>16</v>
      </c>
      <c r="F75" s="58" t="s">
        <v>2347</v>
      </c>
      <c r="G75" s="61"/>
      <c r="H75" s="269" t="b">
        <v>1</v>
      </c>
      <c r="J75" s="403">
        <v>46177.0</v>
      </c>
      <c r="K75" s="294" t="s">
        <v>4281</v>
      </c>
      <c r="L75" s="294" t="s">
        <v>4282</v>
      </c>
      <c r="M75" s="391" t="s">
        <v>11</v>
      </c>
      <c r="N75" s="391" t="s">
        <v>2337</v>
      </c>
      <c r="O75" s="61"/>
      <c r="P75" s="269" t="b">
        <v>1</v>
      </c>
      <c r="R75" s="403">
        <v>46185.0</v>
      </c>
      <c r="S75" s="273" t="s">
        <v>4283</v>
      </c>
      <c r="T75" s="273" t="s">
        <v>4284</v>
      </c>
      <c r="U75" s="274" t="s">
        <v>13</v>
      </c>
      <c r="V75" s="274" t="s">
        <v>2344</v>
      </c>
      <c r="W75" s="61"/>
      <c r="X75" s="269" t="b">
        <v>1</v>
      </c>
      <c r="Z75" s="497">
        <v>46184.0</v>
      </c>
      <c r="AA75" s="498" t="s">
        <v>4285</v>
      </c>
      <c r="AB75" s="498" t="s">
        <v>4286</v>
      </c>
      <c r="AC75" s="465" t="s">
        <v>21</v>
      </c>
      <c r="AD75" s="465" t="s">
        <v>20</v>
      </c>
      <c r="AE75" s="61"/>
      <c r="AF75" s="269" t="b">
        <v>1</v>
      </c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>
        <v>46181.0</v>
      </c>
      <c r="C76" s="294" t="s">
        <v>4287</v>
      </c>
      <c r="D76" s="294" t="s">
        <v>4288</v>
      </c>
      <c r="E76" s="391" t="s">
        <v>24</v>
      </c>
      <c r="F76" s="58" t="s">
        <v>12</v>
      </c>
      <c r="G76" s="61"/>
      <c r="H76" s="269" t="b">
        <v>1</v>
      </c>
      <c r="J76" s="401">
        <v>46177.0</v>
      </c>
      <c r="K76" s="273" t="s">
        <v>4289</v>
      </c>
      <c r="L76" s="273" t="s">
        <v>4290</v>
      </c>
      <c r="M76" s="402" t="s">
        <v>11</v>
      </c>
      <c r="N76" s="402" t="s">
        <v>2337</v>
      </c>
      <c r="O76" s="61"/>
      <c r="P76" s="269" t="b">
        <v>1</v>
      </c>
      <c r="R76" s="382">
        <v>46185.0</v>
      </c>
      <c r="S76" s="273" t="s">
        <v>4291</v>
      </c>
      <c r="T76" s="273" t="s">
        <v>4292</v>
      </c>
      <c r="U76" s="383" t="s">
        <v>10</v>
      </c>
      <c r="V76" s="410" t="s">
        <v>2338</v>
      </c>
      <c r="W76" s="109"/>
      <c r="X76" s="269" t="b">
        <v>1</v>
      </c>
      <c r="Z76" s="499">
        <v>46184.0</v>
      </c>
      <c r="AA76" s="460" t="s">
        <v>130</v>
      </c>
      <c r="AB76" s="460" t="s">
        <v>131</v>
      </c>
      <c r="AC76" s="461" t="s">
        <v>11</v>
      </c>
      <c r="AD76" s="461" t="s">
        <v>20</v>
      </c>
      <c r="AE76" s="61"/>
      <c r="AF76" s="269" t="b">
        <v>1</v>
      </c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>
        <v>46181.0</v>
      </c>
      <c r="C77" s="273" t="s">
        <v>4293</v>
      </c>
      <c r="D77" s="273" t="s">
        <v>4294</v>
      </c>
      <c r="E77" s="402" t="s">
        <v>44</v>
      </c>
      <c r="F77" s="58" t="s">
        <v>12</v>
      </c>
      <c r="G77" s="61"/>
      <c r="H77" s="269" t="b">
        <v>1</v>
      </c>
      <c r="J77" s="403">
        <v>46177.0</v>
      </c>
      <c r="K77" s="294" t="s">
        <v>4295</v>
      </c>
      <c r="L77" s="294" t="s">
        <v>4296</v>
      </c>
      <c r="M77" s="391" t="s">
        <v>11</v>
      </c>
      <c r="N77" s="391" t="s">
        <v>2337</v>
      </c>
      <c r="O77" s="61"/>
      <c r="P77" s="269" t="b">
        <v>1</v>
      </c>
      <c r="R77" s="380">
        <v>46185.0</v>
      </c>
      <c r="S77" s="294" t="s">
        <v>4297</v>
      </c>
      <c r="T77" s="294" t="s">
        <v>4298</v>
      </c>
      <c r="U77" s="441" t="s">
        <v>10</v>
      </c>
      <c r="V77" s="295" t="s">
        <v>2338</v>
      </c>
      <c r="W77" s="61"/>
      <c r="X77" s="269" t="b">
        <v>1</v>
      </c>
      <c r="Z77" s="497">
        <v>46184.0</v>
      </c>
      <c r="AA77" s="498" t="s">
        <v>4299</v>
      </c>
      <c r="AB77" s="498" t="s">
        <v>4300</v>
      </c>
      <c r="AC77" s="465" t="s">
        <v>11</v>
      </c>
      <c r="AD77" s="465" t="s">
        <v>20</v>
      </c>
      <c r="AE77" s="61"/>
      <c r="AF77" s="269" t="b">
        <v>1</v>
      </c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>
        <v>46181.0</v>
      </c>
      <c r="C78" s="294" t="s">
        <v>4301</v>
      </c>
      <c r="D78" s="294" t="s">
        <v>4302</v>
      </c>
      <c r="E78" s="391" t="s">
        <v>24</v>
      </c>
      <c r="F78" s="58" t="s">
        <v>12</v>
      </c>
      <c r="G78" s="61"/>
      <c r="H78" s="269" t="b">
        <v>1</v>
      </c>
      <c r="J78" s="401">
        <v>46177.0</v>
      </c>
      <c r="K78" s="273" t="s">
        <v>4303</v>
      </c>
      <c r="L78" s="273" t="s">
        <v>4304</v>
      </c>
      <c r="M78" s="402" t="s">
        <v>11</v>
      </c>
      <c r="N78" s="402" t="s">
        <v>2337</v>
      </c>
      <c r="O78" s="61"/>
      <c r="P78" s="269" t="b">
        <v>1</v>
      </c>
      <c r="R78" s="270">
        <v>46185.0</v>
      </c>
      <c r="S78" s="312" t="s">
        <v>4305</v>
      </c>
      <c r="T78" s="109" t="s">
        <v>4306</v>
      </c>
      <c r="U78" s="58"/>
      <c r="V78" s="58" t="s">
        <v>2347</v>
      </c>
      <c r="W78" s="427" t="s">
        <v>2432</v>
      </c>
      <c r="X78" s="298"/>
      <c r="Z78" s="499">
        <v>46184.0</v>
      </c>
      <c r="AA78" s="460" t="s">
        <v>4307</v>
      </c>
      <c r="AB78" s="460" t="s">
        <v>4308</v>
      </c>
      <c r="AC78" s="461" t="s">
        <v>11</v>
      </c>
      <c r="AD78" s="461" t="s">
        <v>20</v>
      </c>
      <c r="AE78" s="61"/>
      <c r="AF78" s="269" t="b">
        <v>1</v>
      </c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>
        <v>46181.0</v>
      </c>
      <c r="C79" s="273" t="s">
        <v>4309</v>
      </c>
      <c r="D79" s="273" t="s">
        <v>4310</v>
      </c>
      <c r="E79" s="402" t="s">
        <v>10</v>
      </c>
      <c r="F79" s="58" t="s">
        <v>12</v>
      </c>
      <c r="G79" s="61"/>
      <c r="H79" s="269" t="b">
        <v>1</v>
      </c>
      <c r="J79" s="403">
        <v>46177.0</v>
      </c>
      <c r="K79" s="294" t="s">
        <v>4311</v>
      </c>
      <c r="L79" s="294" t="s">
        <v>4312</v>
      </c>
      <c r="M79" s="391" t="s">
        <v>11</v>
      </c>
      <c r="N79" s="391" t="s">
        <v>2337</v>
      </c>
      <c r="O79" s="61"/>
      <c r="P79" s="269" t="b">
        <v>1</v>
      </c>
      <c r="R79" s="270">
        <v>46185.0</v>
      </c>
      <c r="S79" s="384" t="s">
        <v>4313</v>
      </c>
      <c r="T79" s="109" t="s">
        <v>4314</v>
      </c>
      <c r="U79" s="58" t="s">
        <v>22</v>
      </c>
      <c r="V79" s="58" t="s">
        <v>2347</v>
      </c>
      <c r="W79" s="61"/>
      <c r="X79" s="269" t="b">
        <v>1</v>
      </c>
      <c r="Z79" s="497">
        <v>46184.0</v>
      </c>
      <c r="AA79" s="498" t="s">
        <v>4315</v>
      </c>
      <c r="AB79" s="498" t="s">
        <v>4316</v>
      </c>
      <c r="AC79" s="465" t="s">
        <v>11</v>
      </c>
      <c r="AD79" s="465" t="s">
        <v>20</v>
      </c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>
        <v>46181.0</v>
      </c>
      <c r="C80" s="294" t="s">
        <v>4317</v>
      </c>
      <c r="D80" s="294" t="s">
        <v>4318</v>
      </c>
      <c r="E80" s="391" t="s">
        <v>10</v>
      </c>
      <c r="F80" s="58" t="s">
        <v>12</v>
      </c>
      <c r="G80" s="61"/>
      <c r="H80" s="269"/>
      <c r="J80" s="401">
        <v>46177.0</v>
      </c>
      <c r="K80" s="273" t="s">
        <v>4319</v>
      </c>
      <c r="L80" s="273" t="s">
        <v>4320</v>
      </c>
      <c r="M80" s="402" t="s">
        <v>11</v>
      </c>
      <c r="N80" s="402" t="s">
        <v>2337</v>
      </c>
      <c r="O80" s="61"/>
      <c r="P80" s="269" t="b">
        <v>1</v>
      </c>
      <c r="R80" s="270">
        <v>46186.0</v>
      </c>
      <c r="S80" s="384" t="s">
        <v>4321</v>
      </c>
      <c r="T80" s="109" t="s">
        <v>4322</v>
      </c>
      <c r="U80" s="58" t="s">
        <v>22</v>
      </c>
      <c r="V80" s="58" t="s">
        <v>2347</v>
      </c>
      <c r="W80" s="109"/>
      <c r="X80" s="298"/>
      <c r="Z80" s="500">
        <v>46184.0</v>
      </c>
      <c r="AA80" s="498" t="s">
        <v>4323</v>
      </c>
      <c r="AB80" s="460" t="s">
        <v>4324</v>
      </c>
      <c r="AC80" s="461" t="s">
        <v>11</v>
      </c>
      <c r="AD80" s="461" t="s">
        <v>20</v>
      </c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>
        <v>46181.0</v>
      </c>
      <c r="C81" s="312" t="s">
        <v>4325</v>
      </c>
      <c r="D81" s="373" t="s">
        <v>4326</v>
      </c>
      <c r="E81" s="58" t="s">
        <v>16</v>
      </c>
      <c r="F81" s="58" t="s">
        <v>14</v>
      </c>
      <c r="G81" s="61"/>
      <c r="H81" s="269"/>
      <c r="J81" s="270">
        <v>46178.0</v>
      </c>
      <c r="K81" s="109" t="s">
        <v>4327</v>
      </c>
      <c r="L81" s="109" t="s">
        <v>4328</v>
      </c>
      <c r="M81" s="58" t="s">
        <v>21</v>
      </c>
      <c r="N81" s="58" t="s">
        <v>20</v>
      </c>
      <c r="O81" s="61"/>
      <c r="P81" s="269" t="b">
        <v>1</v>
      </c>
      <c r="R81" s="270">
        <v>46186.0</v>
      </c>
      <c r="S81" s="294" t="s">
        <v>4329</v>
      </c>
      <c r="T81" s="294" t="s">
        <v>4330</v>
      </c>
      <c r="U81" s="295" t="s">
        <v>13</v>
      </c>
      <c r="V81" s="58" t="s">
        <v>12</v>
      </c>
      <c r="W81" s="61"/>
      <c r="X81" s="298"/>
      <c r="Z81" s="500">
        <v>46184.0</v>
      </c>
      <c r="AA81" s="460" t="s">
        <v>81</v>
      </c>
      <c r="AB81" s="460" t="s">
        <v>82</v>
      </c>
      <c r="AC81" s="501" t="s">
        <v>11</v>
      </c>
      <c r="AD81" s="501" t="s">
        <v>20</v>
      </c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>
        <v>46181.0</v>
      </c>
      <c r="C82" s="109" t="s">
        <v>4331</v>
      </c>
      <c r="D82" s="373" t="s">
        <v>4332</v>
      </c>
      <c r="E82" s="58" t="s">
        <v>13</v>
      </c>
      <c r="F82" s="58" t="s">
        <v>14</v>
      </c>
      <c r="G82" s="61"/>
      <c r="H82" s="269"/>
      <c r="J82" s="270">
        <v>46178.0</v>
      </c>
      <c r="K82" s="109" t="s">
        <v>4333</v>
      </c>
      <c r="L82" s="109" t="s">
        <v>4334</v>
      </c>
      <c r="M82" s="58" t="s">
        <v>11</v>
      </c>
      <c r="N82" s="58" t="s">
        <v>20</v>
      </c>
      <c r="O82" s="61"/>
      <c r="P82" s="269" t="b">
        <v>1</v>
      </c>
      <c r="R82" s="270">
        <v>46186.0</v>
      </c>
      <c r="S82" s="273" t="s">
        <v>4335</v>
      </c>
      <c r="T82" s="273" t="s">
        <v>4336</v>
      </c>
      <c r="U82" s="274" t="s">
        <v>10</v>
      </c>
      <c r="V82" s="58" t="s">
        <v>12</v>
      </c>
      <c r="W82" s="61"/>
      <c r="X82" s="298"/>
      <c r="Z82" s="500">
        <v>46184.0</v>
      </c>
      <c r="AA82" s="498" t="s">
        <v>4337</v>
      </c>
      <c r="AB82" s="498" t="s">
        <v>4338</v>
      </c>
      <c r="AC82" s="464" t="s">
        <v>11</v>
      </c>
      <c r="AD82" s="464" t="s">
        <v>20</v>
      </c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>
        <v>46181.0</v>
      </c>
      <c r="C83" s="109" t="s">
        <v>4339</v>
      </c>
      <c r="D83" s="373" t="s">
        <v>4340</v>
      </c>
      <c r="E83" s="58" t="s">
        <v>16</v>
      </c>
      <c r="F83" s="58" t="s">
        <v>14</v>
      </c>
      <c r="G83" s="61"/>
      <c r="H83" s="269"/>
      <c r="J83" s="270">
        <v>46178.0</v>
      </c>
      <c r="K83" s="109" t="s">
        <v>4341</v>
      </c>
      <c r="L83" s="109" t="s">
        <v>4342</v>
      </c>
      <c r="M83" s="58" t="s">
        <v>11</v>
      </c>
      <c r="N83" s="58" t="s">
        <v>20</v>
      </c>
      <c r="O83" s="61"/>
      <c r="P83" s="269" t="b">
        <v>1</v>
      </c>
      <c r="R83" s="270">
        <v>46186.0</v>
      </c>
      <c r="S83" s="294" t="s">
        <v>4343</v>
      </c>
      <c r="T83" s="411" t="s">
        <v>4344</v>
      </c>
      <c r="U83" s="295" t="s">
        <v>22</v>
      </c>
      <c r="V83" s="58" t="s">
        <v>12</v>
      </c>
      <c r="W83" s="61"/>
      <c r="X83" s="298"/>
      <c r="Z83" s="401">
        <v>46184.0</v>
      </c>
      <c r="AA83" s="273" t="s">
        <v>4345</v>
      </c>
      <c r="AB83" s="273" t="s">
        <v>4346</v>
      </c>
      <c r="AC83" s="402" t="s">
        <v>21</v>
      </c>
      <c r="AD83" s="402" t="s">
        <v>2337</v>
      </c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>
        <v>46181.0</v>
      </c>
      <c r="C84" s="294" t="s">
        <v>4347</v>
      </c>
      <c r="D84" s="294" t="s">
        <v>4348</v>
      </c>
      <c r="E84" s="391" t="s">
        <v>44</v>
      </c>
      <c r="F84" s="370" t="s">
        <v>12</v>
      </c>
      <c r="G84" s="195"/>
      <c r="H84" s="371"/>
      <c r="J84" s="270">
        <v>46178.0</v>
      </c>
      <c r="K84" s="109" t="s">
        <v>4349</v>
      </c>
      <c r="L84" s="109" t="s">
        <v>4350</v>
      </c>
      <c r="M84" s="58" t="s">
        <v>11</v>
      </c>
      <c r="N84" s="58" t="s">
        <v>20</v>
      </c>
      <c r="O84" s="61"/>
      <c r="P84" s="269" t="b">
        <v>1</v>
      </c>
      <c r="R84" s="270">
        <v>46186.0</v>
      </c>
      <c r="S84" s="273" t="s">
        <v>4351</v>
      </c>
      <c r="T84" s="413" t="s">
        <v>4352</v>
      </c>
      <c r="U84" s="274" t="s">
        <v>22</v>
      </c>
      <c r="V84" s="58" t="s">
        <v>12</v>
      </c>
      <c r="W84" s="61"/>
      <c r="X84" s="298"/>
      <c r="Z84" s="403">
        <v>46184.0</v>
      </c>
      <c r="AA84" s="294" t="s">
        <v>4353</v>
      </c>
      <c r="AB84" s="294" t="s">
        <v>4354</v>
      </c>
      <c r="AC84" s="391" t="s">
        <v>27</v>
      </c>
      <c r="AD84" s="391" t="s">
        <v>2337</v>
      </c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>
        <v>46181.0</v>
      </c>
      <c r="C85" s="326" t="s">
        <v>4355</v>
      </c>
      <c r="D85" s="326" t="s">
        <v>4356</v>
      </c>
      <c r="E85" s="370" t="s">
        <v>24</v>
      </c>
      <c r="F85" s="370" t="s">
        <v>14</v>
      </c>
      <c r="G85" s="195"/>
      <c r="H85" s="371"/>
      <c r="J85" s="270">
        <v>46178.0</v>
      </c>
      <c r="K85" s="109" t="s">
        <v>4357</v>
      </c>
      <c r="L85" s="109" t="s">
        <v>4358</v>
      </c>
      <c r="M85" s="58" t="s">
        <v>11</v>
      </c>
      <c r="N85" s="58" t="s">
        <v>20</v>
      </c>
      <c r="O85" s="109"/>
      <c r="P85" s="269" t="b">
        <v>1</v>
      </c>
      <c r="R85" s="270">
        <v>46186.0</v>
      </c>
      <c r="S85" s="294" t="s">
        <v>4359</v>
      </c>
      <c r="T85" s="411" t="s">
        <v>4360</v>
      </c>
      <c r="U85" s="295" t="s">
        <v>22</v>
      </c>
      <c r="V85" s="58" t="s">
        <v>12</v>
      </c>
      <c r="W85" s="61"/>
      <c r="X85" s="298"/>
      <c r="Z85" s="401">
        <v>46184.0</v>
      </c>
      <c r="AA85" s="273" t="s">
        <v>4361</v>
      </c>
      <c r="AB85" s="273" t="s">
        <v>4362</v>
      </c>
      <c r="AC85" s="402" t="s">
        <v>11</v>
      </c>
      <c r="AD85" s="402" t="s">
        <v>2337</v>
      </c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>
        <v>46181.0</v>
      </c>
      <c r="C86" s="273" t="s">
        <v>4363</v>
      </c>
      <c r="D86" s="273" t="s">
        <v>4364</v>
      </c>
      <c r="E86" s="402" t="s">
        <v>10</v>
      </c>
      <c r="F86" s="274" t="s">
        <v>2344</v>
      </c>
      <c r="G86" s="326"/>
      <c r="H86" s="371"/>
      <c r="J86" s="270">
        <v>46178.0</v>
      </c>
      <c r="K86" s="109" t="s">
        <v>4365</v>
      </c>
      <c r="L86" s="109" t="s">
        <v>4366</v>
      </c>
      <c r="M86" s="58" t="s">
        <v>11</v>
      </c>
      <c r="N86" s="58" t="s">
        <v>20</v>
      </c>
      <c r="O86" s="109"/>
      <c r="P86" s="269" t="b">
        <v>1</v>
      </c>
      <c r="R86" s="270">
        <v>46186.0</v>
      </c>
      <c r="S86" s="273" t="s">
        <v>4367</v>
      </c>
      <c r="T86" s="413" t="s">
        <v>4368</v>
      </c>
      <c r="U86" s="274" t="s">
        <v>22</v>
      </c>
      <c r="V86" s="58" t="s">
        <v>12</v>
      </c>
      <c r="W86" s="61"/>
      <c r="X86" s="298"/>
      <c r="Z86" s="403">
        <v>46184.0</v>
      </c>
      <c r="AA86" s="294" t="s">
        <v>4369</v>
      </c>
      <c r="AB86" s="294" t="s">
        <v>4370</v>
      </c>
      <c r="AC86" s="391" t="s">
        <v>21</v>
      </c>
      <c r="AD86" s="391" t="s">
        <v>2337</v>
      </c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>
        <v>46181.0</v>
      </c>
      <c r="C87" s="294" t="s">
        <v>4371</v>
      </c>
      <c r="D87" s="294" t="s">
        <v>4372</v>
      </c>
      <c r="E87" s="391" t="s">
        <v>16</v>
      </c>
      <c r="F87" s="295" t="s">
        <v>2344</v>
      </c>
      <c r="G87" s="195"/>
      <c r="H87" s="371"/>
      <c r="J87" s="380">
        <v>46178.0</v>
      </c>
      <c r="K87" s="430" t="s">
        <v>4373</v>
      </c>
      <c r="L87" s="430" t="s">
        <v>4374</v>
      </c>
      <c r="M87" s="431" t="s">
        <v>11</v>
      </c>
      <c r="N87" s="58" t="s">
        <v>2338</v>
      </c>
      <c r="O87" s="61"/>
      <c r="P87" s="269" t="b">
        <v>1</v>
      </c>
      <c r="R87" s="270">
        <v>46186.0</v>
      </c>
      <c r="S87" s="294" t="s">
        <v>4375</v>
      </c>
      <c r="T87" s="294" t="s">
        <v>4376</v>
      </c>
      <c r="U87" s="295" t="s">
        <v>32</v>
      </c>
      <c r="V87" s="58" t="s">
        <v>12</v>
      </c>
      <c r="W87" s="61"/>
      <c r="X87" s="298"/>
      <c r="Z87" s="403">
        <v>46184.0</v>
      </c>
      <c r="AA87" s="109" t="s">
        <v>4377</v>
      </c>
      <c r="AB87" s="109" t="s">
        <v>4378</v>
      </c>
      <c r="AC87" s="58" t="s">
        <v>27</v>
      </c>
      <c r="AD87" s="58" t="s">
        <v>14</v>
      </c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270">
        <v>46181.0</v>
      </c>
      <c r="C88" s="326"/>
      <c r="D88" s="326"/>
      <c r="E88" s="370"/>
      <c r="F88" s="385"/>
      <c r="G88" s="195"/>
      <c r="H88" s="371"/>
      <c r="J88" s="382">
        <v>46178.0</v>
      </c>
      <c r="K88" s="405" t="s">
        <v>4379</v>
      </c>
      <c r="L88" s="405" t="s">
        <v>4380</v>
      </c>
      <c r="M88" s="481" t="s">
        <v>11</v>
      </c>
      <c r="N88" s="58" t="s">
        <v>2338</v>
      </c>
      <c r="O88" s="61"/>
      <c r="P88" s="269" t="b">
        <v>1</v>
      </c>
      <c r="R88" s="270">
        <v>46186.0</v>
      </c>
      <c r="S88" s="273" t="s">
        <v>4381</v>
      </c>
      <c r="T88" s="273" t="s">
        <v>4382</v>
      </c>
      <c r="U88" s="274" t="s">
        <v>19</v>
      </c>
      <c r="V88" s="58" t="s">
        <v>12</v>
      </c>
      <c r="W88" s="61"/>
      <c r="X88" s="298"/>
      <c r="Z88" s="401">
        <v>46184.0</v>
      </c>
      <c r="AA88" s="273" t="s">
        <v>4383</v>
      </c>
      <c r="AB88" s="273" t="s">
        <v>4384</v>
      </c>
      <c r="AC88" s="402" t="s">
        <v>23</v>
      </c>
      <c r="AD88" s="402" t="s">
        <v>2337</v>
      </c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270">
        <v>46181.0</v>
      </c>
      <c r="C89" s="326"/>
      <c r="D89" s="326"/>
      <c r="E89" s="370"/>
      <c r="F89" s="385"/>
      <c r="G89" s="195"/>
      <c r="H89" s="371"/>
      <c r="J89" s="380">
        <v>46178.0</v>
      </c>
      <c r="K89" s="273" t="s">
        <v>4385</v>
      </c>
      <c r="L89" s="273" t="s">
        <v>4386</v>
      </c>
      <c r="M89" s="402" t="s">
        <v>11</v>
      </c>
      <c r="N89" s="58" t="s">
        <v>2338</v>
      </c>
      <c r="O89" s="61"/>
      <c r="P89" s="269" t="b">
        <v>1</v>
      </c>
      <c r="R89" s="270">
        <v>46186.0</v>
      </c>
      <c r="S89" s="109" t="s">
        <v>4387</v>
      </c>
      <c r="T89" s="109" t="s">
        <v>4388</v>
      </c>
      <c r="U89" s="58" t="s">
        <v>22</v>
      </c>
      <c r="V89" s="58" t="s">
        <v>2347</v>
      </c>
      <c r="W89" s="109"/>
      <c r="X89" s="298"/>
      <c r="Z89" s="401">
        <v>46184.0</v>
      </c>
      <c r="AA89" s="460" t="s">
        <v>4389</v>
      </c>
      <c r="AB89" s="460" t="s">
        <v>4390</v>
      </c>
      <c r="AC89" s="461" t="s">
        <v>27</v>
      </c>
      <c r="AD89" s="461" t="s">
        <v>14</v>
      </c>
      <c r="AE89" s="478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4391</v>
      </c>
      <c r="L90" s="294" t="s">
        <v>4392</v>
      </c>
      <c r="M90" s="396" t="s">
        <v>23</v>
      </c>
      <c r="N90" s="58" t="s">
        <v>2338</v>
      </c>
      <c r="O90" s="61"/>
      <c r="P90" s="269" t="b">
        <v>1</v>
      </c>
      <c r="R90" s="270"/>
      <c r="S90" s="384"/>
      <c r="T90" s="61"/>
      <c r="U90" s="344"/>
      <c r="V90" s="344"/>
      <c r="W90" s="61"/>
      <c r="X90" s="298"/>
      <c r="Z90" s="497">
        <v>46185.0</v>
      </c>
      <c r="AA90" s="498" t="s">
        <v>4393</v>
      </c>
      <c r="AB90" s="498" t="s">
        <v>4394</v>
      </c>
      <c r="AC90" s="465" t="s">
        <v>11</v>
      </c>
      <c r="AD90" s="465" t="s">
        <v>20</v>
      </c>
      <c r="AE90" s="476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4395</v>
      </c>
      <c r="L91" s="294" t="s">
        <v>4396</v>
      </c>
      <c r="M91" s="396" t="s">
        <v>11</v>
      </c>
      <c r="N91" s="391" t="s">
        <v>2338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99">
        <v>46185.0</v>
      </c>
      <c r="AA91" s="460" t="s">
        <v>4397</v>
      </c>
      <c r="AB91" s="460" t="s">
        <v>4398</v>
      </c>
      <c r="AC91" s="461" t="s">
        <v>11</v>
      </c>
      <c r="AD91" s="461" t="s">
        <v>20</v>
      </c>
      <c r="AE91" s="502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4399</v>
      </c>
      <c r="L92" s="273" t="s">
        <v>4400</v>
      </c>
      <c r="M92" s="503" t="s">
        <v>11</v>
      </c>
      <c r="N92" s="402" t="s">
        <v>2338</v>
      </c>
      <c r="O92" s="109" t="s">
        <v>4401</v>
      </c>
      <c r="P92" s="269"/>
      <c r="R92" s="270"/>
      <c r="S92" s="384"/>
      <c r="T92" s="109"/>
      <c r="U92" s="344"/>
      <c r="V92" s="344"/>
      <c r="W92" s="61"/>
      <c r="X92" s="298"/>
      <c r="Z92" s="497">
        <v>46185.0</v>
      </c>
      <c r="AA92" s="498" t="s">
        <v>4402</v>
      </c>
      <c r="AB92" s="498" t="s">
        <v>4403</v>
      </c>
      <c r="AC92" s="465" t="s">
        <v>11</v>
      </c>
      <c r="AD92" s="465" t="s">
        <v>20</v>
      </c>
      <c r="AE92" s="476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4404</v>
      </c>
      <c r="L93" s="430" t="s">
        <v>4405</v>
      </c>
      <c r="M93" s="504" t="s">
        <v>11</v>
      </c>
      <c r="N93" s="431" t="s">
        <v>2338</v>
      </c>
      <c r="O93" s="109" t="s">
        <v>4406</v>
      </c>
      <c r="P93" s="269" t="b">
        <v>1</v>
      </c>
      <c r="R93" s="270"/>
      <c r="S93" s="384"/>
      <c r="T93" s="109"/>
      <c r="U93" s="344"/>
      <c r="V93" s="344"/>
      <c r="W93" s="61"/>
      <c r="X93" s="298"/>
      <c r="Z93" s="499">
        <v>46185.0</v>
      </c>
      <c r="AA93" s="460" t="s">
        <v>4407</v>
      </c>
      <c r="AB93" s="460" t="s">
        <v>4408</v>
      </c>
      <c r="AC93" s="461" t="s">
        <v>11</v>
      </c>
      <c r="AD93" s="461" t="s">
        <v>20</v>
      </c>
      <c r="AE93" s="502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505">
        <v>46181.0</v>
      </c>
      <c r="K94" s="506" t="s">
        <v>4409</v>
      </c>
      <c r="L94" s="506" t="s">
        <v>4410</v>
      </c>
      <c r="M94" s="507" t="s">
        <v>11</v>
      </c>
      <c r="N94" s="508" t="s">
        <v>28</v>
      </c>
      <c r="O94" s="506" t="s">
        <v>3974</v>
      </c>
      <c r="P94" s="509"/>
      <c r="R94" s="270"/>
      <c r="S94" s="384"/>
      <c r="T94" s="109"/>
      <c r="U94" s="344"/>
      <c r="V94" s="344"/>
      <c r="W94" s="61"/>
      <c r="X94" s="298"/>
      <c r="Z94" s="270">
        <v>46185.0</v>
      </c>
      <c r="AA94" s="109" t="s">
        <v>4411</v>
      </c>
      <c r="AB94" s="109" t="s">
        <v>4412</v>
      </c>
      <c r="AC94" s="271" t="s">
        <v>11</v>
      </c>
      <c r="AD94" s="58" t="s">
        <v>20</v>
      </c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380">
        <v>46181.0</v>
      </c>
      <c r="K95" s="294" t="s">
        <v>4413</v>
      </c>
      <c r="L95" s="294" t="s">
        <v>4414</v>
      </c>
      <c r="M95" s="409" t="s">
        <v>21</v>
      </c>
      <c r="N95" s="391" t="s">
        <v>2338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46185.0</v>
      </c>
      <c r="AA95" s="109" t="s">
        <v>4415</v>
      </c>
      <c r="AB95" s="109" t="s">
        <v>4416</v>
      </c>
      <c r="AC95" s="58" t="s">
        <v>11</v>
      </c>
      <c r="AD95" s="58" t="s">
        <v>20</v>
      </c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382">
        <v>46181.0</v>
      </c>
      <c r="K96" s="394" t="s">
        <v>4417</v>
      </c>
      <c r="L96" s="273" t="s">
        <v>4418</v>
      </c>
      <c r="M96" s="395" t="s">
        <v>23</v>
      </c>
      <c r="N96" s="402" t="s">
        <v>2338</v>
      </c>
      <c r="O96" s="61"/>
      <c r="P96" s="269" t="b">
        <v>1</v>
      </c>
      <c r="R96" s="270"/>
      <c r="S96" s="109"/>
      <c r="T96" s="109"/>
      <c r="U96" s="344"/>
      <c r="V96" s="344"/>
      <c r="W96" s="61"/>
      <c r="X96" s="298"/>
      <c r="Z96" s="270">
        <v>46185.0</v>
      </c>
      <c r="AA96" s="109" t="s">
        <v>4419</v>
      </c>
      <c r="AB96" s="109" t="s">
        <v>4420</v>
      </c>
      <c r="AC96" s="58" t="s">
        <v>11</v>
      </c>
      <c r="AD96" s="58" t="s">
        <v>20</v>
      </c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380">
        <v>46181.0</v>
      </c>
      <c r="K97" s="294" t="s">
        <v>4421</v>
      </c>
      <c r="L97" s="294" t="s">
        <v>4422</v>
      </c>
      <c r="M97" s="409" t="s">
        <v>15</v>
      </c>
      <c r="N97" s="391" t="s">
        <v>2338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46185.0</v>
      </c>
      <c r="AA97" s="109" t="s">
        <v>4423</v>
      </c>
      <c r="AB97" s="109" t="s">
        <v>4424</v>
      </c>
      <c r="AC97" s="58" t="s">
        <v>11</v>
      </c>
      <c r="AD97" s="58" t="s">
        <v>20</v>
      </c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382">
        <v>46181.0</v>
      </c>
      <c r="K98" s="273" t="s">
        <v>4425</v>
      </c>
      <c r="L98" s="273" t="s">
        <v>4426</v>
      </c>
      <c r="M98" s="395" t="s">
        <v>30</v>
      </c>
      <c r="N98" s="431" t="s">
        <v>2338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46185.0</v>
      </c>
      <c r="AA98" s="109" t="s">
        <v>4427</v>
      </c>
      <c r="AB98" s="109" t="s">
        <v>4428</v>
      </c>
      <c r="AC98" s="58" t="s">
        <v>11</v>
      </c>
      <c r="AD98" s="58" t="s">
        <v>20</v>
      </c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380">
        <v>46181.0</v>
      </c>
      <c r="K99" s="294" t="s">
        <v>4429</v>
      </c>
      <c r="L99" s="294" t="s">
        <v>4430</v>
      </c>
      <c r="M99" s="409" t="s">
        <v>18</v>
      </c>
      <c r="N99" s="391" t="s">
        <v>2338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46185.0</v>
      </c>
      <c r="AA99" s="294" t="s">
        <v>4431</v>
      </c>
      <c r="AB99" s="294" t="s">
        <v>4432</v>
      </c>
      <c r="AC99" s="409" t="s">
        <v>18</v>
      </c>
      <c r="AD99" s="391" t="s">
        <v>2338</v>
      </c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382">
        <v>46181.0</v>
      </c>
      <c r="K100" s="273" t="s">
        <v>4433</v>
      </c>
      <c r="L100" s="273" t="s">
        <v>4434</v>
      </c>
      <c r="M100" s="395" t="s">
        <v>18</v>
      </c>
      <c r="N100" s="431" t="s">
        <v>2338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46185.0</v>
      </c>
      <c r="AA100" s="273" t="s">
        <v>4435</v>
      </c>
      <c r="AB100" s="273" t="s">
        <v>4436</v>
      </c>
      <c r="AC100" s="395" t="s">
        <v>11</v>
      </c>
      <c r="AD100" s="431" t="s">
        <v>2338</v>
      </c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380">
        <v>46181.0</v>
      </c>
      <c r="K101" s="294" t="s">
        <v>4437</v>
      </c>
      <c r="L101" s="294" t="s">
        <v>4438</v>
      </c>
      <c r="M101" s="409" t="s">
        <v>25</v>
      </c>
      <c r="N101" s="391" t="s">
        <v>2338</v>
      </c>
      <c r="O101" s="61"/>
      <c r="P101" s="269" t="b">
        <v>1</v>
      </c>
      <c r="R101" s="194"/>
      <c r="S101" s="61"/>
      <c r="T101" s="61"/>
      <c r="U101" s="81"/>
      <c r="V101" s="81"/>
      <c r="W101" s="61"/>
      <c r="X101" s="298"/>
      <c r="Z101" s="270">
        <v>46185.0</v>
      </c>
      <c r="AA101" s="294" t="s">
        <v>4439</v>
      </c>
      <c r="AB101" s="294" t="s">
        <v>4440</v>
      </c>
      <c r="AC101" s="409" t="s">
        <v>27</v>
      </c>
      <c r="AD101" s="391" t="s">
        <v>2338</v>
      </c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500">
        <v>46185.0</v>
      </c>
      <c r="AA102" s="498" t="s">
        <v>4441</v>
      </c>
      <c r="AB102" s="498" t="s">
        <v>4442</v>
      </c>
      <c r="AC102" s="461" t="s">
        <v>21</v>
      </c>
      <c r="AD102" s="461" t="s">
        <v>28</v>
      </c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01">
        <v>46186.0</v>
      </c>
      <c r="AA103" s="273" t="s">
        <v>4443</v>
      </c>
      <c r="AB103" s="273" t="s">
        <v>4444</v>
      </c>
      <c r="AC103" s="274" t="s">
        <v>30</v>
      </c>
      <c r="AD103" s="274" t="s">
        <v>2337</v>
      </c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03">
        <v>46186.0</v>
      </c>
      <c r="AA104" s="294" t="s">
        <v>4445</v>
      </c>
      <c r="AB104" s="294" t="s">
        <v>4446</v>
      </c>
      <c r="AC104" s="295" t="s">
        <v>30</v>
      </c>
      <c r="AD104" s="295" t="s">
        <v>2337</v>
      </c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01">
        <v>46186.0</v>
      </c>
      <c r="AA105" s="273" t="s">
        <v>4447</v>
      </c>
      <c r="AB105" s="273" t="s">
        <v>4448</v>
      </c>
      <c r="AC105" s="274" t="s">
        <v>30</v>
      </c>
      <c r="AD105" s="274" t="s">
        <v>2337</v>
      </c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03">
        <v>46186.0</v>
      </c>
      <c r="AA106" s="294" t="s">
        <v>4449</v>
      </c>
      <c r="AB106" s="294" t="s">
        <v>4450</v>
      </c>
      <c r="AC106" s="295" t="s">
        <v>30</v>
      </c>
      <c r="AD106" s="295" t="s">
        <v>2337</v>
      </c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401">
        <v>46186.0</v>
      </c>
      <c r="AA107" s="273" t="s">
        <v>4451</v>
      </c>
      <c r="AB107" s="273" t="s">
        <v>4452</v>
      </c>
      <c r="AC107" s="402" t="s">
        <v>30</v>
      </c>
      <c r="AD107" s="402" t="s">
        <v>2337</v>
      </c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403">
        <v>46186.0</v>
      </c>
      <c r="AA108" s="294" t="s">
        <v>4453</v>
      </c>
      <c r="AB108" s="294" t="s">
        <v>4454</v>
      </c>
      <c r="AC108" s="295" t="s">
        <v>30</v>
      </c>
      <c r="AD108" s="295" t="s">
        <v>2337</v>
      </c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401">
        <v>46186.0</v>
      </c>
      <c r="AA109" s="273" t="s">
        <v>4455</v>
      </c>
      <c r="AB109" s="273" t="s">
        <v>4456</v>
      </c>
      <c r="AC109" s="274" t="s">
        <v>30</v>
      </c>
      <c r="AD109" s="274" t="s">
        <v>2337</v>
      </c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403">
        <v>46186.0</v>
      </c>
      <c r="AA110" s="294" t="s">
        <v>4457</v>
      </c>
      <c r="AB110" s="294" t="s">
        <v>4458</v>
      </c>
      <c r="AC110" s="295" t="s">
        <v>11</v>
      </c>
      <c r="AD110" s="295" t="s">
        <v>2337</v>
      </c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344"/>
      <c r="W111" s="61"/>
      <c r="X111" s="298"/>
      <c r="Z111" s="401">
        <v>46186.0</v>
      </c>
      <c r="AA111" s="273" t="s">
        <v>4459</v>
      </c>
      <c r="AB111" s="273" t="s">
        <v>4460</v>
      </c>
      <c r="AC111" s="274" t="s">
        <v>27</v>
      </c>
      <c r="AD111" s="274" t="s">
        <v>2337</v>
      </c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59"/>
      <c r="S999" s="59"/>
      <c r="T999" s="59"/>
      <c r="U999" s="59"/>
      <c r="V999" s="59"/>
      <c r="W999" s="59"/>
      <c r="X999" s="59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10"/>
      <c r="C1003" s="511" t="s">
        <v>3164</v>
      </c>
      <c r="D1003" s="109" t="s">
        <v>3165</v>
      </c>
      <c r="E1003" s="512" t="s">
        <v>13</v>
      </c>
      <c r="F1003" s="512" t="s">
        <v>2347</v>
      </c>
      <c r="G1003" s="513"/>
      <c r="H1003" s="514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10"/>
      <c r="C1004" s="109" t="s">
        <v>4461</v>
      </c>
      <c r="D1004" s="109" t="s">
        <v>4462</v>
      </c>
      <c r="E1004" s="512" t="s">
        <v>22</v>
      </c>
      <c r="F1004" s="512" t="s">
        <v>2347</v>
      </c>
      <c r="G1004" s="513"/>
      <c r="H1004" s="514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10"/>
      <c r="C1005" s="109" t="s">
        <v>4463</v>
      </c>
      <c r="D1005" s="109" t="s">
        <v>4464</v>
      </c>
      <c r="E1005" s="512" t="s">
        <v>22</v>
      </c>
      <c r="F1005" s="512" t="s">
        <v>2347</v>
      </c>
      <c r="G1005" s="513"/>
      <c r="H1005" s="514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10"/>
      <c r="C1006" s="109" t="s">
        <v>4465</v>
      </c>
      <c r="D1006" s="109" t="s">
        <v>4466</v>
      </c>
      <c r="E1006" s="512" t="s">
        <v>22</v>
      </c>
      <c r="F1006" s="512" t="s">
        <v>2347</v>
      </c>
      <c r="G1006" s="513"/>
      <c r="H1006" s="514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10"/>
      <c r="C1007" s="109"/>
      <c r="D1007" s="109"/>
      <c r="E1007" s="512"/>
      <c r="F1007" s="512"/>
      <c r="G1007" s="513"/>
      <c r="H1007" s="514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10"/>
      <c r="C1008" s="109"/>
      <c r="D1008" s="109"/>
      <c r="E1008" s="512"/>
      <c r="F1008" s="512"/>
      <c r="G1008" s="513"/>
      <c r="H1008" s="514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"Luis,Jesus,Clara,Noel,Daniela,Mariadelaida,Eduardo,Alexis,Diana,Enrique,Rafael,Francisco,Aegis/Clara,Aegis/Noel,Aegis/Luis,Aegis/Jesus,Aegis/Mariadelaida,Aegis/Daniela,Aegis/Enrique,Aegis/Rafael,Aegis/Franciso,Aegis/Alexis,Aegis/Jesus,Aegis/Diana,Maria Ce"&amp;"leste"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