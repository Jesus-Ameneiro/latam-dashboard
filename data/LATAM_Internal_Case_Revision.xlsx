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tc={b8cefd95-466e-42d4-970f-216545fef728}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8cefd95-466e-42d4-970f-216545fef72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<sst xmlns="http://schemas.openxmlformats.org/spreadsheetml/2006/main" count="10708" uniqueCount="4872">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</sst>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f5c5fd1-0e31-4c3d-b748-7f158ee0f88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f5c5fd1-0e31-4c3d-b748-7f158ee0f88e}" id="{b8cefd95-466e-42d4-970f-216545fef72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39</v>
      </c>
      <c r="L91" s="33">
        <f t="shared" ref="L91:L95" si="6">I91-K91</f>
        <v>-14</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21</v>
      </c>
      <c r="G95" s="10"/>
      <c r="H95" s="23" t="s">
        <v>2340</v>
      </c>
      <c r="I95" s="36">
        <v>20.0</v>
      </c>
      <c r="J95" s="10"/>
      <c r="K95" s="33">
        <f>SUM(SUMIF($K$76:$K$89, "Bolivia",$L$76:$L$89), SUMIF($K$76:$K$89, "Paraguay",$L$76:$L$89), SUMIF($K$76:$K$89, "Uruguay",$L$76:$L$89))</f>
        <v>19</v>
      </c>
      <c r="L95" s="33">
        <f t="shared" si="6"/>
        <v>1</v>
      </c>
    </row>
    <row r="96" outlineLevel="1">
      <c r="D96" s="10"/>
      <c r="G96" s="10"/>
      <c r="H96" s="10"/>
      <c r="I96" s="15"/>
      <c r="J96" s="10"/>
      <c r="K96" s="37" t="s">
        <v>40</v>
      </c>
      <c r="L96" s="247">
        <f>sum(I91:I95)</f>
        <v>120</v>
      </c>
    </row>
    <row r="97" outlineLevel="1">
      <c r="G97" s="10"/>
      <c r="H97" s="10"/>
      <c r="I97" s="10"/>
      <c r="J97" s="10"/>
      <c r="K97" s="37" t="s">
        <v>41</v>
      </c>
      <c r="L97" s="38">
        <f>SUM(L91:L95)</f>
        <v>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4848</v>
      </c>
      <c r="AB104" s="273" t="s">
        <v>4849</v>
      </c>
      <c r="AC104" s="274" t="s">
        <v>30</v>
      </c>
      <c r="AD104" s="274"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4850</v>
      </c>
      <c r="AB105" s="294" t="s">
        <v>4851</v>
      </c>
      <c r="AC105" s="295" t="s">
        <v>11</v>
      </c>
      <c r="AD105" s="295"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4852</v>
      </c>
      <c r="AB106" s="273" t="s">
        <v>4853</v>
      </c>
      <c r="AC106" s="274" t="s">
        <v>27</v>
      </c>
      <c r="AD106" s="274"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4854</v>
      </c>
      <c r="AB107" s="294" t="s">
        <v>4855</v>
      </c>
      <c r="AC107" s="295"/>
      <c r="AD107" s="295" t="s">
        <v>2337</v>
      </c>
      <c r="AE107" s="61"/>
      <c r="AF107" s="269" t="b">
        <v>0</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4856</v>
      </c>
      <c r="AB108" s="273" t="s">
        <v>4857</v>
      </c>
      <c r="AC108" s="274" t="s">
        <v>27</v>
      </c>
      <c r="AD108" s="274" t="s">
        <v>2337</v>
      </c>
      <c r="AE108" s="61"/>
      <c r="AF108" s="269" t="b">
        <v>1</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4858</v>
      </c>
      <c r="AB109" s="273" t="s">
        <v>4859</v>
      </c>
      <c r="AC109" s="383" t="s">
        <v>27</v>
      </c>
      <c r="AD109" s="410" t="s">
        <v>2338</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4860</v>
      </c>
      <c r="AB110" s="294" t="s">
        <v>4861</v>
      </c>
      <c r="AC110" s="381" t="s">
        <v>11</v>
      </c>
      <c r="AD110" s="295"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4862</v>
      </c>
      <c r="AB111" s="294" t="s">
        <v>4863</v>
      </c>
      <c r="AC111" s="381" t="s">
        <v>30</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4864</v>
      </c>
      <c r="AB112" s="273" t="s">
        <v>4865</v>
      </c>
      <c r="AC112" s="383"/>
      <c r="AD112" s="293" t="s">
        <v>2338</v>
      </c>
      <c r="AE112" s="109" t="s">
        <v>982</v>
      </c>
      <c r="AF112" s="298"/>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4"/>
      <c r="C998" s="525" t="s">
        <v>3164</v>
      </c>
      <c r="D998" s="109" t="s">
        <v>3165</v>
      </c>
      <c r="E998" s="526" t="s">
        <v>13</v>
      </c>
      <c r="F998" s="526" t="s">
        <v>2347</v>
      </c>
      <c r="G998" s="527"/>
      <c r="H998" s="528" t="b">
        <v>0</v>
      </c>
      <c r="I998" s="258"/>
      <c r="J998" s="194"/>
      <c r="K998" s="61"/>
      <c r="L998" s="61"/>
      <c r="M998" s="81"/>
      <c r="N998" s="81"/>
      <c r="O998" s="61"/>
      <c r="P998" s="269" t="b">
        <v>0</v>
      </c>
      <c r="Q998" s="258"/>
      <c r="Y998" s="258"/>
      <c r="AO998" s="258"/>
      <c r="AW998" s="258"/>
      <c r="BE998" s="258"/>
    </row>
    <row r="999" ht="22.5" customHeight="1">
      <c r="A999" s="368"/>
      <c r="B999" s="524"/>
      <c r="C999" s="109" t="s">
        <v>4866</v>
      </c>
      <c r="D999" s="109" t="s">
        <v>4867</v>
      </c>
      <c r="E999" s="526" t="s">
        <v>22</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4868</v>
      </c>
      <c r="D1000" s="109" t="s">
        <v>4869</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4870</v>
      </c>
      <c r="D1001" s="109" t="s">
        <v>4871</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c r="D1002" s="109"/>
      <c r="E1002" s="526"/>
      <c r="F1002" s="526"/>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