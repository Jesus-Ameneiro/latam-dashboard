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tc={90e89116-d16c-475e-8579-fa6fabfdba27}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0e89116-d16c-475e-8579-fa6fabfdba2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<sst xmlns="http://schemas.openxmlformats.org/spreadsheetml/2006/main" count="8390" uniqueCount="3728">
  <si>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</si>
  <si>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</si>
  <si>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</si>
  <si>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</si>
  <si>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</si>
  <si>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</si>
  <si>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</si>
  <si>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</si>
  <si>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</si>
  <si>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</si>
  <si>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</si>
  <si>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</si>
  <si>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</si>
  <si>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</si>
  <si>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</si>
  <si>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</si>
  <si>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</si>
  <si>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</si>
  <si>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</si>
  <si>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</si>
  <si>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</si>
  <si>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</si>
  <si>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</si>
  <si>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</si>
  <si>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</si>
  <si>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</si>
  <si>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</si>
  <si>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</si>
  <si>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</si>
  <si>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</si>
  <si>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</si>
  <si>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</si>
  <si>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</si>
  <si>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</si>
  <si>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</si>
  <si>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</si>
  <si>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</si>
  <si>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</si>
  <si>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</si>
  <si>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</si>
  <si>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</si>
  <si>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</si>
  <si>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</si>
  <si>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</si>
  <si>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</si>
  <si>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</si>
  <si>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</si>
  <si>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</si>
  <si>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</si>
  <si>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</si>
  <si>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</si>
  <si>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</si>
  <si>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</si>
  <si>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</si>
  <si>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</si>
  <si>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</si>
  <si>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</si>
  <si>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</si>
  <si>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</si>
  <si>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</si>
  <si>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</si>
  <si>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</si>
  <si>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</si>
  <si>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</si>
  <si>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</si>
  <si>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</si>
  <si>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</si>
  <si>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</si>
  <si>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</si>
  <si>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</si>
  <si>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</si>
  <si>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</si>
  <si>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</si>
  <si>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</si>
  <si>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</si>
  <si>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</si>
  <si>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</si>
  <si>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</si>
  <si>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</si>
  <si>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</si>
  <si>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</si>
  <si>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</si>
  <si>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</si>
  <si>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</si>
  <si>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</si>
  <si>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</si>
  <si>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</si>
  <si>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</si>
  <si>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</si>
  <si>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</si>
  <si>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</si>
  <si>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</si>
  <si>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</si>
  <si>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</si>
  <si>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</si>
  <si>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</si>
  <si>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</si>
  <si>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</si>
  <si>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</si>
  <si>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</si>
  <si>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</si>
  <si>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</si>
  <si>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</si>
  <si>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</si>
  <si>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</si>
  <si>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</si>
  <si>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</si>
  <si>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</si>
  <si>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</si>
  <si>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</si>
  <si>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</si>
  <si>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</si>
  <si>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</si>
  <si>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</si>
  <si>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</si>
  <si>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</si>
  <si>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</si>
  <si>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</si>
  <si>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</si>
  <si>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</si>
  <si>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</si>
  <si>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</si>
  <si>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</si>
  <si>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</si>
  <si>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</si>
  <si>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</si>
  <si>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</si>
  <si>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</si>
  <si>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</si>
  <si>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</si>
  <si>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</si>
  <si>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</si>
  <si>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</si>
  <si>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</si>
  <si>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</si>
  <si>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</si>
  <si>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</si>
  <si>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</si>
  <si>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</si>
  <si>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</si>
  <si>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</si>
  <si>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</si>
  <si>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</si>
  <si>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</si>
  <si>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</si>
  <si>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</si>
  <si>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</si>
  <si>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</si>
  <si>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</si>
  <si>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</si>
  <si>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</si>
  <si>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</si>
  <si>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</si>
  <si>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</si>
  <si>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</si>
  <si>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</si>
  <si>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</si>
  <si>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</si>
  <si>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</si>
  <si>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</si>
  <si>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</si>
  <si>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</si>
  <si>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</si>
  <si>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</si>
  <si>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</si>
  <si>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</si>
  <si>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</si>
  <si>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</si>
  <si>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</si>
  <si>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</si>
  <si>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</si>
  <si>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</si>
  <si>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</si>
  <si>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</si>
  <si>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</si>
  <si>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</si>
  <si>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</si>
  <si>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</si>
  <si>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</si>
  <si>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</si>
  <si>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</si>
  <si>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</si>
  <si>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</si>
  <si>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</si>
  <si>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</si>
  <si>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</si>
  <si>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</si>
  <si>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</si>
  <si>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</si>
  <si>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</si>
  <si>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</si>
  <si>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</si>
  <si>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</si>
  <si>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</si>
  <si>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</si>
  <si>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</si>
  <si>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</si>
  <si>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</si>
  <si>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</si>
  <si>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</si>
  <si>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</si>
  <si>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</si>
  <si>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</si>
  <si>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</si>
  <si>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</si>
  <si>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</si>
  <si>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</si>
  <si>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</si>
  <si>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</si>
  <si>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</si>
  <si>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</si>
  <si>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</si>
  <si>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</si>
  <si>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</si>
  <si>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</si>
  <si>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</si>
  <si>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</si>
  <si>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</si>
  <si>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</si>
  <si>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</si>
  <si>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</si>
  <si>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</si>
  <si>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</si>
  <si>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</si>
  <si>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</si>
  <si>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</si>
  <si>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</si>
  <si>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</si>
  <si>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</si>
  <si>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</si>
  <si>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</si>
  <si>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</si>
  <si>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</si>
  <si>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</si>
  <si>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</si>
  <si>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</si>
  <si>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</si>
  <si>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</si>
  <si>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</si>
  <si>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</si>
  <si>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</si>
  <si>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</si>
  <si>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</si>
  <si>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</si>
  <si>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</si>
  <si>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</si>
  <si>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</si>
  <si>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</si>
  <si>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</si>
  <si>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</si>
  <si>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</si>
  <si>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</si>
  <si>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</si>
  <si>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</si>
  <si>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</si>
  <si>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</si>
  <si>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</si>
  <si>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</si>
  <si>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</si>
  <si>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</si>
  <si>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</si>
  <si>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</si>
  <si>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</si>
  <si>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</si>
  <si>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</si>
  <si>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</si>
  <si>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</si>
  <si>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</si>
  <si>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</si>
  <si>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</si>
  <si>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</si>
  <si>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</si>
  <si>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</si>
  <si>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</si>
  <si>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</si>
  <si>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</si>
  <si>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</si>
  <si>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</si>
  <si>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</si>
  <si>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</si>
  <si>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</si>
  <si>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</si>
  <si>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</si>
  <si>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</si>
  <si>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</si>
  <si>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</si>
  <si>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</si>
  <si>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</si>
  <si>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</si>
  <si>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</si>
  <si>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</si>
  <si>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</si>
  <si>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</si>
  <si>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</si>
  <si>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</si>
  <si>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</si>
  <si>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</si>
  <si>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</si>
  <si>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</si>
  <si>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</si>
  <si>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</si>
  <si>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</si>
  <si>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</si>
  <si>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</si>
  <si>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</si>
  <si>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</si>
  <si>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</si>
  <si>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</si>
  <si>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</si>
  <si>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</si>
  <si>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</si>
  <si>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</si>
  <si>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</si>
  <si>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</si>
  <si>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</si>
  <si>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</si>
  <si>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</si>
  <si>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</si>
  <si>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</si>
  <si>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</si>
  <si>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</si>
  <si>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</si>
  <si>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</si>
  <si>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</si>
  <si>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</si>
  <si>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</si>
  <si>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</si>
  <si>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</si>
  <si>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</si>
  <si>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</si>
  <si>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</si>
  <si>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</si>
  <si>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</si>
  <si>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</si>
  <si>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</si>
  <si>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</si>
  <si>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</si>
  <si>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</si>
  <si>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</si>
  <si>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</si>
  <si>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</si>
  <si>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</si>
  <si>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</si>
  <si>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</si>
  <si>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</si>
  <si>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</si>
  <si>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</si>
  <si>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</si>
  <si>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</si>
  <si>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</si>
  <si>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</si>
  <si>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</si>
  <si>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</si>
  <si>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</si>
  <si>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</si>
  <si>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</si>
  <si>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</si>
  <si>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</si>
  <si>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</si>
  <si>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</si>
  <si>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</si>
  <si>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</si>
  <si>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</si>
  <si>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</si>
  <si>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</si>
  <si>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</si>
  <si>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</si>
  <si>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</si>
  <si>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</si>
  <si>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</si>
  <si>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</si>
  <si>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</si>
  <si>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</si>
  <si>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</si>
  <si>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</si>
  <si>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</si>
  <si>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</si>
  <si>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</si>
  <si>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</si>
  <si>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</si>
  <si>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</si>
  <si>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</si>
  <si>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</si>
  <si>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</si>
  <si>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</si>
  <si>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</si>
  <si>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</si>
  <si>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</si>
  <si>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</si>
  <si>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</si>
  <si>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</si>
  <si>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</si>
  <si>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</si>
  <si>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</si>
  <si>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</si>
  <si>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</si>
  <si>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</si>
  <si>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</si>
  <si>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</si>
  <si>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</si>
  <si>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</si>
  <si>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</si>
  <si>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</si>
  <si>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</si>
  <si>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</si>
  <si>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</si>
  <si>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</si>
  <si>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</si>
  <si>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</si>
  <si>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</si>
  <si>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</si>
  <si>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</si>
  <si>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</si>
  <si>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</si>
  <si>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</si>
  <si>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</si>
  <si>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</si>
  <si>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</si>
  <si>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</si>
  <si>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</si>
  <si>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</si>
  <si>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</si>
  <si>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</si>
  <si>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</si>
  <si>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</si>
  <si>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</si>
  <si>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</si>
  <si>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</si>
  <si>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</si>
  <si>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</si>
  <si>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</si>
  <si>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</si>
  <si>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</si>
  <si>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</si>
  <si>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</si>
  <si>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</si>
  <si>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</si>
  <si>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</si>
  <si>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</si>
  <si>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</si>
  <si>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</si>
  <si>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</si>
  <si>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</si>
  <si>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</si>
  <si>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</si>
  <si>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</si>
  <si>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</si>
  <si>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</si>
  <si>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</si>
  <si>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</si>
  <si>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</si>
  <si>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</si>
  <si>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</si>
  <si>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</si>
  <si>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</si>
  <si>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</si>
  <si>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</si>
  <si>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</si>
  <si>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</si>
  <si>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</si>
  <si>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</si>
  <si>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</si>
  <si>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</si>
  <si>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</si>
  <si>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</si>
  <si>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</si>
  <si>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</si>
  <si>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</si>
  <si>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</si>
  <si>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</si>
  <si>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</si>
  <si>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</si>
  <si>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</si>
  <si>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</si>
  <si>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</si>
  <si>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</si>
  <si>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</si>
  <si>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</si>
  <si>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</si>
  <si>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</si>
  <si>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</si>
  <si>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</si>
  <si>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</si>
  <si>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</si>
  <si>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</si>
  <si>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</si>
  <si>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</si>
  <si>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</si>
  <si>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</si>
  <si>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</si>
  <si>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</si>
  <si>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</si>
  <si>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</si>
  <si>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</si>
  <si>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</si>
  <si>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</si>
  <si>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</si>
  <si>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</si>
  <si>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</si>
  <si>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</si>
  <si>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</si>
  <si>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</si>
  <si>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</si>
  <si>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</si>
  <si>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</si>
  <si>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</si>
  <si>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</si>
  <si>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</si>
  <si>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</si>
  <si>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</si>
  <si>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</si>
  <si>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</si>
  <si>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</si>
  <si>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</si>
  <si>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</si>
  <si>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</si>
  <si>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</si>
  <si>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</si>
  <si>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</si>
  <si>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</si>
  <si>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</si>
  <si>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</si>
  <si>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</si>
  <si>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</si>
  <si>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</si>
  <si>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</si>
  <si>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</si>
  <si>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</si>
  <si>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</si>
  <si>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</si>
  <si>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</si>
  <si>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</si>
  <si>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</si>
  <si>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</si>
  <si>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</si>
  <si>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</si>
  <si>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</si>
  <si>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</si>
  <si>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</si>
  <si>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</si>
  <si>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</si>
  <si>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</si>
  <si>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</si>
  <si>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</si>
  <si>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</si>
  <si>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</si>
  <si>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</si>
  <si>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</si>
  <si>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</si>
  <si>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</si>
  <si>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</si>
  <si>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</si>
  <si>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</si>
  <si>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</si>
  <si>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</si>
  <si>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</si>
  <si>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</si>
  <si>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</si>
  <si>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</si>
  <si>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</si>
  <si>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</si>
  <si>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</si>
  <si>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</si>
  <si>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</si>
  <si>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</si>
  <si>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</si>
  <si>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</si>
  <si>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</si>
  <si>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</si>
  <si>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</si>
  <si>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</si>
  <si>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</si>
  <si>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</si>
  <si>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</si>
  <si>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</si>
  <si>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</si>
  <si>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</si>
  <si>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</si>
  <si>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</si>
  <si>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</si>
  <si>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</si>
  <si>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</si>
  <si>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</si>
  <si>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</si>
  <si>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</si>
  <si>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</si>
  <si>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</si>
  <si>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</si>
  <si>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</si>
  <si>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</si>
  <si>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</si>
  <si>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</si>
  <si>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</si>
  <si>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</si>
  <si>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</si>
  <si>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</si>
  <si>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</si>
  <si>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</si>
  <si>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</si>
  <si>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</si>
  <si>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</si>
  <si>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</si>
  <si>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</si>
  <si>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</si>
  <si>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</si>
  <si>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</si>
  <si>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</si>
  <si>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</si>
  <si>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</si>
  <si>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</si>
  <si>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</si>
  <si>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</si>
  <si>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</si>
  <si>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</si>
  <si>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</si>
  <si>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</si>
  <si>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</si>
  <si>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</si>
  <si>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</si>
  <si>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</si>
  <si>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</si>
  <si>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</si>
  <si>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</si>
  <si>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</si>
  <si>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</si>
  <si>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</si>
  <si>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</si>
  <si>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</si>
  <si>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</si>
  <si>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</si>
  <si>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</si>
  <si>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</si>
  <si>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</si>
  <si>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</si>
  <si>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</si>
  <si>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</si>
  <si>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</si>
  <si>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</si>
  <si>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</si>
  <si>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</si>
  <si>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</si>
  <si>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</si>
  <si>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</si>
  <si>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</si>
  <si>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</si>
  <si>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</si>
  <si>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</si>
  <si>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</si>
  <si>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</si>
  <si>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</si>
  <si>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</si>
  <si>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</si>
  <si>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</si>
  <si>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</si>
  <si>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</si>
  <si>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</si>
  <si>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</si>
  <si>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</si>
  <si>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</si>
  <si>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</si>
  <si>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</si>
  <si>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</si>
  <si>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</si>
  <si>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</si>
  <si>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</si>
  <si>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</si>
  <si>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</si>
  <si>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</si>
  <si>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</si>
  <si>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</si>
  <si>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</si>
  <si>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</si>
  <si>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</si>
  <si>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</si>
  <si>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</si>
  <si>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</si>
  <si>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</si>
  <si>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</si>
  <si>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</si>
  <si>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</si>
  <si>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</si>
  <si>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</si>
  <si>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</si>
  <si>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</si>
  <si>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</si>
  <si>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</si>
  <si>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</si>
  <si>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</si>
  <si>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</si>
  <si>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</si>
  <si>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</si>
  <si>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</si>
  <si>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</si>
  <si>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</si>
  <si>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</si>
  <si>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</si>
  <si>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</si>
  <si>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</si>
  <si>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</si>
  <si>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</si>
  <si>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</si>
  <si>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</si>
  <si>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</si>
  <si>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</si>
  <si>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</si>
  <si>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</si>
  <si>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</si>
  <si>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</si>
  <si>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</si>
  <si>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</si>
  <si>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</si>
  <si>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</si>
  <si>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</si>
  <si>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</si>
  <si>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</si>
  <si>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</si>
  <si>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</si>
  <si>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</si>
  <si>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</si>
  <si>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</si>
  <si>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</si>
  <si>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</si>
  <si>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</si>
  <si>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</si>
  <si>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</si>
  <si>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</si>
  <si>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</si>
  <si>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</si>
  <si>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</si>
  <si>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</si>
  <si>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</si>
  <si>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</si>
  <si>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</si>
  <si>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</si>
  <si>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</si>
  <si>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</si>
  <si>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</si>
  <si>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</si>
  <si>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</si>
  <si>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</si>
  <si>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</si>
  <si>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</si>
  <si>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</si>
  <si>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</si>
  <si>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</si>
  <si>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</si>
  <si>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</si>
  <si>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</si>
  <si>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</si>
  <si>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</si>
  <si>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</si>
  <si>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</si>
  <si>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</si>
  <si>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</si>
  <si>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</si>
  <si>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</si>
  <si>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</si>
  <si>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</si>
  <si>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</si>
  <si>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</si>
  <si>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</si>
  <si>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</si>
  <si>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</si>
  <si>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</si>
  <si>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</si>
  <si>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</si>
  <si>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</si>
  <si>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</si>
  <si>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</si>
  <si>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</si>
  <si>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</si>
  <si>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</si>
  <si>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</si>
  <si>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</si>
  <si>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</si>
  <si>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</si>
  <si>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</si>
  <si>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</si>
  <si>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</si>
  <si>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</si>
  <si>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</si>
  <si>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</si>
  <si>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</si>
  <si>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</si>
  <si>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</si>
  <si>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</si>
  <si>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</si>
  <si>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</si>
  <si>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</si>
  <si>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</si>
  <si>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</si>
  <si>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</si>
  <si>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</si>
  <si>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</si>
  <si>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</si>
  <si>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</si>
  <si>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</si>
  <si>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</si>
  <si>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</si>
  <si>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</si>
  <si>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</si>
  <si>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</si>
  <si>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</si>
  <si>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</si>
  <si>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</si>
  <si>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</si>
  <si>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</si>
  <si>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</si>
  <si>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</si>
  <si>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</si>
  <si>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</si>
  <si>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</si>
  <si>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</si>
  <si>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</si>
  <si>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</si>
  <si>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</si>
  <si>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</si>
  <si>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</si>
  <si>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</si>
  <si>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</si>
  <si>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</si>
  <si>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</si>
  <si>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</si>
  <si>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</si>
  <si>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</si>
  <si>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</si>
  <si>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</si>
  <si>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</si>
  <si>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</si>
  <si>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</si>
  <si>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</si>
  <si>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</si>
  <si>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</si>
  <si>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</si>
  <si>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</si>
  <si>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</si>
  <si>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</si>
  <si>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</si>
  <si>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</si>
  <si>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</si>
  <si>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</si>
  <si>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</si>
  <si>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</si>
  <si>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</si>
  <si>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</si>
  <si>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</si>
  <si>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</si>
  <si>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</si>
  <si>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</si>
  <si>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</si>
  <si>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</si>
  <si>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</si>
  <si>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</si>
  <si>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</si>
  <si>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</si>
  <si>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</si>
  <si>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</si>
  <si>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</si>
  <si>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</si>
  <si>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</si>
  <si>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</si>
  <si>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</si>
  <si>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</si>
  <si>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</si>
  <si>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</si>
  <si>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</si>
  <si>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</si>
  <si>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</si>
  <si>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</si>
  <si>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</si>
  <si>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</si>
  <si>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</si>
  <si>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</si>
  <si>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</si>
  <si>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</si>
  <si>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</si>
  <si>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</si>
  <si>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</si>
  <si>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</si>
  <si>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</si>
  <si>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</si>
  <si>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</si>
  <si>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</si>
  <si>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</si>
  <si>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</si>
  <si>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</si>
  <si>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</si>
  <si>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</si>
  <si>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</si>
  <si>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</si>
  <si>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</si>
  <si>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</si>
  <si>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</si>
  <si>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</si>
  <si>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</si>
  <si>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</si>
  <si>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</si>
  <si>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</si>
  <si>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</si>
  <si>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</si>
  <si>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</si>
  <si>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</si>
  <si>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</si>
  <si>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</si>
  <si>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</si>
  <si>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</si>
  <si>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</si>
  <si>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</si>
  <si>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</si>
  <si>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</si>
  <si>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</si>
  <si>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</si>
  <si>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</si>
  <si>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</si>
  <si>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</si>
  <si>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</si>
  <si>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</si>
  <si>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</si>
  <si>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</si>
  <si>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</si>
  <si>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</si>
  <si>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</si>
  <si>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</si>
  <si>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</si>
  <si>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</si>
  <si>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</si>
  <si>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</si>
  <si>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</si>
  <si>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</si>
  <si>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</si>
  <si>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</si>
  <si>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</si>
  <si>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</si>
  <si>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</si>
  <si>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</si>
  <si>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</si>
  <si>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</si>
  <si>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</si>
  <si>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</si>
  <si>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</si>
  <si>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</si>
  <si>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</si>
  <si>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</si>
  <si>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</si>
  <si>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</si>
  <si>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</si>
  <si>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</si>
  <si>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</si>
  <si>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</si>
  <si>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</si>
  <si>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</si>
  <si>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</si>
  <si>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</si>
  <si>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</si>
  <si>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</si>
  <si>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</si>
  <si>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</si>
  <si>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</si>
  <si>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</si>
  <si>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</si>
  <si>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</si>
  <si>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</si>
  <si>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</si>
  <si>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</si>
  <si>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</si>
  <si>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</si>
  <si>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</si>
  <si>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</si>
  <si>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</si>
  <si>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</si>
  <si>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</si>
  <si>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</si>
  <si>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</si>
  <si>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</si>
  <si>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</si>
  <si>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</si>
  <si>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</si>
  <si>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</si>
  <si>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</si>
  <si>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</si>
  <si>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</si>
  <si>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</si>
  <si>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</si>
  <si>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</si>
  <si>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</si>
  <si>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</si>
  <si>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</si>
  <si>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</si>
  <si>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</si>
  <si>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</si>
  <si>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</si>
  <si>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</si>
  <si>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</si>
  <si>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</si>
  <si>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</si>
  <si>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</si>
  <si>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</si>
  <si>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</si>
  <si>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</si>
  <si>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</si>
  <si>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</si>
  <si>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</si>
  <si>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</si>
  <si>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</si>
  <si>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</si>
  <si>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</si>
  <si>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</si>
  <si>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</si>
  <si>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</si>
  <si>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</si>
  <si>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</si>
  <si>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</si>
  <si>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</si>
  <si>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</si>
  <si>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</si>
  <si>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</si>
  <si>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</si>
  <si>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</si>
  <si>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</si>
  <si>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</si>
  <si>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</si>
  <si>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</si>
  <si>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</si>
  <si>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</si>
  <si>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</si>
  <si>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</si>
  <si>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</si>
  <si>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</si>
  <si>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</si>
  <si>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</si>
  <si>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</si>
  <si>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</si>
  <si>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</si>
  <si>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</si>
  <si>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</si>
  <si>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</si>
  <si>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</si>
  <si>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</si>
  <si>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</si>
  <si>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</si>
  <si>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</si>
  <si>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</si>
  <si>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</si>
  <si>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</si>
  <si>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</si>
  <si>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</si>
  <si>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</si>
  <si>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</si>
  <si>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</si>
  <si>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</si>
  <si>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</si>
  <si>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</si>
  <si>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</si>
  <si>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</si>
  <si>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</si>
  <si>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</si>
  <si>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</si>
  <si>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</si>
  <si>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</si>
  <si>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</si>
  <si>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</si>
  <si>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</si>
  <si>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</si>
  <si>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</si>
  <si>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</si>
  <si>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</si>
  <si>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</si>
  <si>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</si>
  <si>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</si>
  <si>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</si>
  <si>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</si>
  <si>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</si>
  <si>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</si>
  <si>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</si>
  <si>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</si>
  <si>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</si>
  <si>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</si>
  <si>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</si>
  <si>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</si>
  <si>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</si>
  <si>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</si>
  <si>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</si>
  <si>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</si>
  <si>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</si>
  <si>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</si>
  <si>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</si>
  <si>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</si>
  <si>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</si>
  <si>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</si>
  <si>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</si>
  <si>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</si>
  <si>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</si>
  <si>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</si>
  <si>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</si>
  <si>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</si>
  <si>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</si>
  <si>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</si>
  <si>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</si>
  <si>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</si>
  <si>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</si>
  <si>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</si>
  <si>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</si>
  <si>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</si>
  <si>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</si>
  <si>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</si>
  <si>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</si>
  <si>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</si>
  <si>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</si>
  <si>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</si>
  <si>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</si>
  <si>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</si>
  <si>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</si>
  <si>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</si>
  <si>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</si>
  <si>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</si>
  <si>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</si>
  <si>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</si>
  <si>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</si>
  <si>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</si>
  <si>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</si>
  <si>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</si>
  <si>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</si>
  <si>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</si>
  <si>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</si>
  <si>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</si>
  <si>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</si>
  <si>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</si>
  <si>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</si>
  <si>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</si>
  <si>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</si>
  <si>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</si>
  <si>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</si>
  <si>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</si>
  <si>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</si>
  <si>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</si>
  <si>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</si>
  <si>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</si>
  <si>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</si>
  <si>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</si>
  <si>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</si>
  <si>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</si>
  <si>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</si>
  <si>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</si>
  <si>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</si>
  <si>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</si>
  <si>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</si>
  <si>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</si>
  <si>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</si>
  <si>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</si>
  <si>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</si>
  <si>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</si>
  <si>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</si>
  <si>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</si>
  <si>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</si>
  <si>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</si>
  <si>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</si>
  <si>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</si>
  <si>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</si>
  <si>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</si>
  <si>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</si>
  <si>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</si>
  <si>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</si>
  <si>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</si>
  <si>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</si>
  <si>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</si>
  <si>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</si>
  <si>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</si>
  <si>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</si>
  <si>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</si>
  <si>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</si>
  <si>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</si>
  <si>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</si>
  <si>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</si>
  <si>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</si>
  <si>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</si>
  <si>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</si>
  <si>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</si>
  <si>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</si>
  <si>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</si>
  <si>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</si>
  <si>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</si>
  <si>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</si>
  <si>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</si>
  <si>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</si>
  <si>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</si>
  <si>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</si>
  <si>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</si>
  <si>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</si>
  <si>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</si>
  <si>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</si>
  <si>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</si>
  <si>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</si>
  <si>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</si>
  <si>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</si>
  <si>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</si>
  <si>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</si>
  <si>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</si>
  <si>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</si>
  <si>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</si>
  <si>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</si>
  <si>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</si>
  <si>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</si>
  <si>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</si>
  <si>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</si>
  <si>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</si>
  <si>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</si>
  <si>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</si>
  <si>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</si>
  <si>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</si>
  <si>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</si>
  <si>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</si>
  <si>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</si>
  <si>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</si>
  <si>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</si>
  <si>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</si>
  <si>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</si>
  <si>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</si>
  <si>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</si>
  <si>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</si>
  <si>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</si>
  <si>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</si>
  <si>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</si>
  <si>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</si>
  <si>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</si>
  <si>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</si>
  <si>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</si>
  <si>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</si>
  <si>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</si>
  <si>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</si>
  <si>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</si>
  <si>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</si>
  <si>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</si>
  <si>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</si>
  <si>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</si>
  <si>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</si>
  <si>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</si>
  <si>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</si>
  <si>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</si>
  <si>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</si>
  <si>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</si>
  <si>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</si>
  <si>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</si>
  <si>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</si>
  <si>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</si>
  <si>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</si>
  <si>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</si>
  <si>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</si>
  <si>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</si>
  <si>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</si>
  <si>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</si>
  <si>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</si>
  <si>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</si>
  <si>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</si>
  <si>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</si>
  <si>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</si>
  <si>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</si>
  <si>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</si>
  <si>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</si>
  <si>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</si>
  <si>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</si>
  <si>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</si>
  <si>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</si>
  <si>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</si>
  <si>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</si>
  <si>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</si>
  <si>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</si>
  <si>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</si>
  <si>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</si>
  <si>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</si>
  <si>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</si>
  <si>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</si>
  <si>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</si>
  <si>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</si>
  <si>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</si>
  <si>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</si>
  <si>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</si>
  <si>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</si>
  <si>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</si>
  <si>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</si>
  <si>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</si>
  <si>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</si>
  <si>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</si>
  <si>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</si>
  <si>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</si>
  <si>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</si>
  <si>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</si>
  <si>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</si>
  <si>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</si>
  <si>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</si>
  <si>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</si>
  <si>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</si>
  <si>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</si>
  <si>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</si>
  <si>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</si>
  <si>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</si>
  <si>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</si>
  <si>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</si>
  <si>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</si>
  <si>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</si>
  <si>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</si>
  <si>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</si>
  <si>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</si>
  <si>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</si>
  <si>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</si>
  <si>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</si>
  <si>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</si>
  <si>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</si>
  <si>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</si>
  <si>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</si>
  <si>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</si>
  <si>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</si>
  <si>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</si>
  <si>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</si>
  <si>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</si>
  <si>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</si>
  <si>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</si>
  <si>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</si>
  <si>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</si>
  <si>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</si>
  <si>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</si>
  <si>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</si>
  <si>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</si>
  <si>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</si>
  <si>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</si>
  <si>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</si>
  <si>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</si>
  <si>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</si>
  <si>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</si>
  <si>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</si>
  <si>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</si>
  <si>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</si>
  <si>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</si>
  <si>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</si>
  <si>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</si>
  <si>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</si>
  <si>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</si>
  <si>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</si>
  <si>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</si>
  <si>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</si>
  <si>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</si>
  <si>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</si>
  <si>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</si>
  <si>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</si>
  <si>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</si>
  <si>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</si>
  <si>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</si>
  <si>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</si>
  <si>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</si>
  <si>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</si>
  <si>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</si>
  <si>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</si>
  <si>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</si>
  <si>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</si>
  <si>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</si>
  <si>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</si>
  <si>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</si>
  <si>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</si>
  <si>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</si>
  <si>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</si>
  <si>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</si>
  <si>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</si>
  <si>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</si>
  <si>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</si>
  <si>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</si>
  <si>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</si>
  <si>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</si>
  <si>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</si>
  <si>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</si>
  <si>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</si>
  <si>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</si>
  <si>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</si>
  <si>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</si>
  <si>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</si>
  <si>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</si>
  <si>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</si>
  <si>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</si>
  <si>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</si>
  <si>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</si>
  <si>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</si>
  <si>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</si>
  <si>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</si>
  <si>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</si>
  <si>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</si>
  <si>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</si>
  <si>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</si>
  <si>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</si>
  <si>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</si>
  <si>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</si>
  <si>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</si>
  <si>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</si>
  <si>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</si>
  <si>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</si>
  <si>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</si>
  <si>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</si>
  <si>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</si>
  <si>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</si>
  <si>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</si>
  <si>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</si>
  <si>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</si>
  <si>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</si>
  <si>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</si>
  <si>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</si>
  <si>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</si>
  <si>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</si>
  <si>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</si>
  <si>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</si>
  <si>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</si>
  <si>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</si>
  <si>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</si>
  <si>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</si>
  <si>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</si>
  <si>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</si>
  <si>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</si>
  <si>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</si>
  <si>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</si>
  <si>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</si>
  <si>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</si>
  <si>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</si>
  <si>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</si>
  <si>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</si>
  <si>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</si>
  <si>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</si>
  <si>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</si>
  <si>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</si>
  <si>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</si>
  <si>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</si>
  <si>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</si>
  <si>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</si>
  <si>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</si>
  <si>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</si>
  <si>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</si>
  <si>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</si>
  <si>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</si>
  <si>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</si>
  <si>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</si>
  <si>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</si>
  <si>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</si>
  <si>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</si>
  <si>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</si>
  <si>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</si>
  <si>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</si>
  <si>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</si>
  <si>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</si>
  <si>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</si>
  <si>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</si>
  <si>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</si>
  <si>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</si>
  <si>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</si>
  <si>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</si>
  <si>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</si>
  <si>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</si>
  <si>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</si>
  <si>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</si>
  <si>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</si>
  <si>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</si>
  <si>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</si>
  <si>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</si>
  <si>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</si>
  <si>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</si>
  <si>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</si>
  <si>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</si>
  <si>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</si>
  <si>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</si>
  <si>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</si>
  <si>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</si>
  <si>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</si>
  <si>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</si>
  <si>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</si>
  <si>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</si>
  <si>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</si>
  <si>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</si>
  <si>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</si>
  <si>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</si>
  <si>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</si>
  <si>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</si>
  <si>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</si>
  <si>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</si>
  <si>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</si>
  <si>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</si>
  <si>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</si>
  <si>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</si>
  <si>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</si>
  <si>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</si>
  <si>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</si>
  <si>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</si>
  <si>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</si>
  <si>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</si>
  <si>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</si>
  <si>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</si>
  <si>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</si>
  <si>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</si>
  <si>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</si>
  <si>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</si>
  <si>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</si>
  <si>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</si>
  <si>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</si>
  <si>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</si>
  <si>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</si>
  <si>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</si>
  <si>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</si>
  <si>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</si>
  <si>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</si>
  <si>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</si>
  <si>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</si>
  <si>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</si>
  <si>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</si>
  <si>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</si>
  <si>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</si>
  <si>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</si>
  <si>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</si>
  <si>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</si>
  <si>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</si>
  <si>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</si>
  <si>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</si>
  <si>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</si>
  <si>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</si>
  <si>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</si>
  <si>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</si>
  <si>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</si>
  <si>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</si>
  <si>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</si>
  <si>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</si>
  <si>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</si>
  <si>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</si>
  <si>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</si>
  <si>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</si>
  <si>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</si>
  <si>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</si>
  <si>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</si>
  <si>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</si>
  <si>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</si>
  <si>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</si>
  <si>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</si>
  <si>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</si>
  <si>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</si>
  <si>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</si>
  <si>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</si>
  <si>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</si>
  <si>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</si>
  <si>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</si>
  <si>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</si>
  <si>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</si>
  <si>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</si>
  <si>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</si>
  <si>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</si>
  <si>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</si>
  <si>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</si>
  <si>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</si>
  <si>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</si>
  <si>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</si>
  <si>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</si>
  <si>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</si>
  <si>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</si>
  <si>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</si>
  <si>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</si>
  <si>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</si>
  <si>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</si>
  <si>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</si>
  <si>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</si>
  <si>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</si>
  <si>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</si>
  <si>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</si>
  <si>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</si>
  <si>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</si>
  <si>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</si>
  <si>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</si>
  <si>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</si>
  <si>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</si>
  <si>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</si>
  <si>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</si>
  <si>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</si>
  <si>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</si>
  <si>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</si>
  <si>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</si>
  <si>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</si>
  <si>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</si>
  <si>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</si>
  <si>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</si>
  <si>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</si>
  <si>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</si>
  <si>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</si>
  <si>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</si>
  <si>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</si>
  <si>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</si>
  <si>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</si>
  <si>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</si>
  <si>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</si>
  <si>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</si>
  <si>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</si>
  <si>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</si>
  <si>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</si>
  <si>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</si>
  <si>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</si>
  <si>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</si>
  <si>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</si>
  <si>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</si>
  <si>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</si>
  <si>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</si>
  <si>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</si>
  <si>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</si>
  <si>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</si>
  <si>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</si>
  <si>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</si>
  <si>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</si>
  <si>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</si>
  <si>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</si>
  <si>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</si>
  <si>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</si>
  <si>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</si>
  <si>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</si>
  <si>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</si>
  <si>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</si>
  <si>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</si>
  <si>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</si>
  <si>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</si>
  <si>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</si>
  <si>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</si>
  <si>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</si>
  <si>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</si>
  <si>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</si>
  <si>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</si>
  <si>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</si>
  <si>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</si>
  <si>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</si>
  <si>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</si>
  <si>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</si>
  <si>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</si>
  <si>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</si>
  <si>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</si>
  <si>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</si>
  <si>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</si>
  <si>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</si>
  <si>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</si>
  <si>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</si>
  <si>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</si>
  <si>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</si>
  <si>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</si>
  <si>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</si>
  <si>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</si>
  <si>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</si>
  <si>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</si>
  <si>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</si>
  <si>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</si>
  <si>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</si>
  <si>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</si>
  <si>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</si>
  <si>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</si>
  <si>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</si>
  <si>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</si>
  <si>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</si>
  <si>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</si>
  <si>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</si>
  <si>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</si>
  <si>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</si>
  <si>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</si>
  <si>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</si>
  <si>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</si>
  <si>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</si>
  <si>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</si>
  <si>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</si>
  <si>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</si>
  <si>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</si>
  <si>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</si>
  <si>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</si>
  <si>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</si>
  <si>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</si>
  <si>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</si>
  <si>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</si>
  <si>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</si>
  <si>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</si>
  <si>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</si>
  <si>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</si>
  <si>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</si>
  <si>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</si>
  <si>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</si>
  <si>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</si>
  <si>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</si>
  <si>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</si>
  <si>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</si>
  <si>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</si>
  <si>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</si>
  <si>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</si>
  <si>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</si>
  <si>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</si>
  <si>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</si>
  <si>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</si>
  <si>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</si>
  <si>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</si>
  <si>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</si>
  <si>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</si>
  <si>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</si>
  <si>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</si>
  <si>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</si>
  <si>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</si>
  <si>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</si>
  <si>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</si>
  <si>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</si>
  <si>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</si>
  <si>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</si>
  <si>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</si>
  <si>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</si>
  <si>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</si>
  <si>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</si>
  <si>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</si>
  <si>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</si>
  <si>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</si>
  <si>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</si>
  <si>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</si>
  <si>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</si>
  <si>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</si>
  <si>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</si>
  <si>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</si>
  <si>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</si>
  <si>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</si>
  <si>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</si>
  <si>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</si>
  <si>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</si>
  <si>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</si>
  <si>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</si>
  <si>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</si>
  <si>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</si>
  <si>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</si>
  <si>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</si>
  <si>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</si>
  <si>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</si>
  <si>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</si>
  <si>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</si>
  <si>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</si>
  <si>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</si>
  <si>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</si>
  <si>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</si>
  <si>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</si>
  <si>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</si>
  <si>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</si>
  <si>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</si>
  <si>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</si>
  <si>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</si>
  <si>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</si>
  <si>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</si>
  <si>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</si>
  <si>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</si>
  <si>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</si>
  <si>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</si>
  <si>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</si>
  <si>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</si>
  <si>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</si>
  <si>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</si>
  <si>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</si>
  <si>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</si>
  <si>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</si>
  <si>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</si>
  <si>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</si>
  <si>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</si>
  <si>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</si>
  <si>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</si>
  <si>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</si>
  <si>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</si>
  <si>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</si>
  <si>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</si>
  <si>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</si>
  <si>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</si>
  <si>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</si>
  <si>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</si>
  <si>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</si>
  <si>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</si>
  <si>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</si>
  <si>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</si>
  <si>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</si>
  <si>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</si>
  <si>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</si>
  <si>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</si>
  <si>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</si>
  <si>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</si>
  <si>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</si>
  <si>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</si>
  <si>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</si>
  <si>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</si>
  <si>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</si>
  <si>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</si>
  <si>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</si>
  <si>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</si>
  <si>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</si>
  <si>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</si>
  <si>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</si>
  <si>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</si>
  <si>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</si>
  <si>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</si>
  <si>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</si>
  <si>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</si>
  <si>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</si>
  <si>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</si>
  <si>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</si>
  <si>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</si>
  <si>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</si>
  <si>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</si>
  <si>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</si>
  <si>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</si>
  <si>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</si>
  <si>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</si>
  <si>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</si>
  <si>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</si>
  <si>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</si>
  <si>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</si>
  <si>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</si>
  <si>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</si>
  <si>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</si>
  <si>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</si>
  <si>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</si>
  <si>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</si>
  <si>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</si>
  <si>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</si>
  <si>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</si>
  <si>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</si>
  <si>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</si>
  <si>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</si>
  <si>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</si>
  <si>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</si>
  <si>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</si>
  <si>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</si>
  <si>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</si>
  <si>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</si>
  <si>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</si>
  <si>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</si>
  <si>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</si>
  <si>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</si>
  <si>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</si>
  <si>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</si>
  <si>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</si>
  <si>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</si>
  <si>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</si>
  <si>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</si>
  <si>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</si>
  <si>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</si>
  <si>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</si>
  <si>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</si>
  <si>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</si>
  <si>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</si>
  <si>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</si>
  <si>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</si>
  <si>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</si>
  <si>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</si>
  <si>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</si>
  <si>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</si>
  <si>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</si>
  <si>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</si>
  <si>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</si>
  <si>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</si>
  <si>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</si>
  <si>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</si>
  <si>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</si>
  <si>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</si>
  <si>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</si>
  <si>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</si>
  <si>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</si>
  <si>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</si>
  <si>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</si>
  <si>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</si>
  <si>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</si>
  <si>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</si>
  <si>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</si>
  <si>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</si>
  <si>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</si>
  <si>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</si>
  <si>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</si>
  <si>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</si>
  <si>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</si>
  <si>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</si>
  <si>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</si>
  <si>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</si>
  <si>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</si>
  <si>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</si>
  <si>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</si>
  <si>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</si>
  <si>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</si>
  <si>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</si>
  <si>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</si>
  <si>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</si>
  <si>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</si>
  <si>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</si>
  <si>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</si>
  <si>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</si>
  <si>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</si>
  <si>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</si>
  <si>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</si>
  <si>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</si>
  <si>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</si>
  <si>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</si>
  <si>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</si>
  <si>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</si>
  <si>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</si>
  <si>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</si>
  <si>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</si>
  <si>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</si>
  <si>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</si>
  <si>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</si>
  <si>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</si>
  <si>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</si>
  <si>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</si>
  <si>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</si>
  <si>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</si>
  <si>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</si>
  <si>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</si>
  <si>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</si>
  <si>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</si>
  <si>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</si>
  <si>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</si>
  <si>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</si>
  <si>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</si>
  <si>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</si>
  <si>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</si>
  <si>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</si>
  <si>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</si>
  <si>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</si>
  <si>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</si>
  <si>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</si>
  <si>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</si>
  <si>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</si>
  <si>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</si>
  <si>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</si>
  <si>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</si>
  <si>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</si>
  <si>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</si>
  <si>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</si>
  <si>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</si>
  <si>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</si>
  <si>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</si>
  <si>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</si>
  <si>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</si>
  <si>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</si>
  <si>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</si>
  <si>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</si>
  <si>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</si>
  <si>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</si>
  <si>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</si>
  <si>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</si>
  <si>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</si>
  <si>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</si>
  <si>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</si>
  <si>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</si>
  <si>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</si>
  <si>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</si>
  <si>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</si>
  <si>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</si>
  <si>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</si>
  <si>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</si>
  <si>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</si>
  <si>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</si>
  <si>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</si>
  <si>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</si>
  <si>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</si>
  <si>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</si>
  <si>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</si>
  <si>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</si>
  <si>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</si>
  <si>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</si>
  <si>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</si>
  <si>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</si>
  <si>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</si>
  <si>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</si>
  <si>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</si>
  <si>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</si>
  <si>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</si>
  <si>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</si>
  <si>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</si>
  <si>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</si>
  <si>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</si>
  <si>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</si>
  <si>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</si>
  <si>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</si>
  <si>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</si>
  <si>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</si>
  <si>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</si>
  <si>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</si>
  <si>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</si>
  <si>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</si>
  <si>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</si>
  <si>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</si>
  <si>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</si>
  <si>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</si>
  <si>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</si>
  <si>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</si>
  <si>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</si>
  <si>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</si>
  <si>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</si>
  <si>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</si>
  <si>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</si>
  <si>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</si>
  <si>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</si>
  <si>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</si>
  <si>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</si>
  <si>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</si>
  <si>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</si>
  <si>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</si>
  <si>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</si>
  <si>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</si>
  <si>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</si>
  <si>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</si>
  <si>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</si>
  <si>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</si>
  <si>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</si>
  <si>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</si>
  <si>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</si>
  <si>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</si>
  <si>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</si>
  <si>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</si>
  <si>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</si>
  <si>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</si>
  <si>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</si>
  <si>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</si>
  <si>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</si>
  <si>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</si>
  <si>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</si>
  <si>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</si>
  <si>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</si>
  <si>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</si>
  <si>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</si>
  <si>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</si>
  <si>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</si>
  <si>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</si>
  <si>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</si>
  <si>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</si>
  <si>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</si>
  <si>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</si>
  <si>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</si>
  <si>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</si>
  <si>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</si>
  <si>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</si>
  <si>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</si>
  <si>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</si>
  <si>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</si>
  <si>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</si>
  <si>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</si>
  <si>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</si>
  <si>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</si>
  <si>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</si>
  <si>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</si>
  <si>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</si>
  <si>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</si>
  <si>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</si>
  <si>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</si>
  <si>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</si>
  <si>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</si>
  <si>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</si>
  <si>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</si>
  <si>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</si>
  <si>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</si>
  <si>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</si>
  <si>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</si>
  <si>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</si>
  <si>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</si>
  <si>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</si>
  <si>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</si>
  <si>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</si>
  <si>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</si>
  <si>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</si>
  <si>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</si>
  <si>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</si>
  <si>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</si>
  <si>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</si>
  <si>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</si>
  <si>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</si>
  <si>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</si>
  <si>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</si>
  <si>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</si>
  <si>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</si>
  <si>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</si>
  <si>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</si>
  <si>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</si>
  <si>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</si>
  <si>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</si>
  <si>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</si>
  <si>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</si>
  <si>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</si>
  <si>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</si>
  <si>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</si>
  <si>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</si>
  <si>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</si>
  <si>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</si>
  <si>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</si>
  <si>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</si>
  <si>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</si>
  <si>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</si>
  <si>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</si>
  <si>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</si>
  <si>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</si>
  <si>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</si>
  <si>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</si>
  <si>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</si>
  <si>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</si>
  <si>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</si>
  <si>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</si>
  <si>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</si>
  <si>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</si>
  <si>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</si>
  <si>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</si>
  <si>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</si>
  <si>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</si>
  <si>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</si>
  <si>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</si>
  <si>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</si>
  <si>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</si>
  <si>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</si>
  <si>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</si>
  <si>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</si>
  <si>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</si>
  <si>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</si>
  <si>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</si>
  <si>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</si>
  <si>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</si>
  <si>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</si>
  <si>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</si>
  <si>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</si>
  <si>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</si>
  <si>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</si>
  <si>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</si>
  <si>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</si>
  <si>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</si>
  <si>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</si>
  <si>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</si>
  <si>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</si>
  <si>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</si>
  <si>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</si>
  <si>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</si>
  <si>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</si>
  <si>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</si>
  <si>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</si>
  <si>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</si>
  <si>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</si>
  <si>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</si>
  <si>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</si>
  <si>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</si>
  <si>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</si>
  <si>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</si>
  <si>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</si>
  <si>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</si>
  <si>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</si>
  <si>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</si>
  <si>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</si>
  <si>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</si>
  <si>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</si>
  <si>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</si>
  <si>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</si>
  <si>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</si>
  <si>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</si>
  <si>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</si>
  <si>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</si>
  <si>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</si>
  <si>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</si>
  <si>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</si>
  <si>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</si>
  <si>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</si>
  <si>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</si>
  <si>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</si>
  <si>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</si>
  <si>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</si>
  <si>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</si>
  <si>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</si>
  <si>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</si>
  <si>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</si>
  <si>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</si>
  <si>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</si>
  <si>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</si>
  <si>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</si>
  <si>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</si>
  <si>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</si>
  <si>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</si>
  <si>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</si>
  <si>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</si>
  <si>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</si>
  <si>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</si>
  <si>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</si>
  <si>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</si>
  <si>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</si>
  <si>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</si>
  <si>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</si>
  <si>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</si>
  <si>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</si>
  <si>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</si>
  <si>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</si>
  <si>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</si>
  <si>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</si>
  <si>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</si>
  <si>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</si>
  <si>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</si>
  <si>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</si>
  <si>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</si>
  <si>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</si>
  <si>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</si>
  <si>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</si>
  <si>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</si>
  <si>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</si>
  <si>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</si>
  <si>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</si>
  <si>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</si>
  <si>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</si>
  <si>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</si>
  <si>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</si>
  <si>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</si>
  <si>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</si>
  <si>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</si>
  <si>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</si>
  <si>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</si>
  <si>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</si>
  <si>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</si>
  <si>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</si>
  <si>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</si>
  <si>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</si>
  <si>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</si>
  <si>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</si>
  <si>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</si>
  <si>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</si>
  <si>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</si>
  <si>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</si>
  <si>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</si>
  <si>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</si>
  <si>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</si>
  <si>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</si>
  <si>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</si>
  <si>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</si>
  <si>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</si>
  <si>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</si>
  <si>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</si>
  <si>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</si>
  <si>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</si>
  <si>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</si>
  <si>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</si>
  <si>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</si>
  <si>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</si>
  <si>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</si>
  <si>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</si>
  <si>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</si>
  <si>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</si>
  <si>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</si>
  <si>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</si>
  <si>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</si>
  <si>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</si>
  <si>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</si>
  <si>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</si>
  <si>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</si>
  <si>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</si>
  <si>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</si>
  <si>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</si>
  <si>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</si>
  <si>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</si>
  <si>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</si>
  <si>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</si>
  <si>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</si>
  <si>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</si>
  <si>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</si>
  <si>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</si>
  <si>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</si>
  <si>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</si>
  <si>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</si>
  <si>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</si>
  <si>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</si>
  <si>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</si>
  <si>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</si>
  <si>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</si>
  <si>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</si>
  <si>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</si>
  <si>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</si>
  <si>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</si>
  <si>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</si>
  <si>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</si>
  <si>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</si>
  <si>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</si>
  <si>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</si>
  <si>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</si>
  <si>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</si>
  <si>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</si>
  <si>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</si>
  <si>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</si>
  <si>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</si>
  <si>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</si>
  <si>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</si>
  <si>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</si>
  <si>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</si>
  <si>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</si>
  <si>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</si>
  <si>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</si>
  <si>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</si>
  <si>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</si>
  <si>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</si>
  <si>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</si>
  <si>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</si>
  <si>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</si>
  <si>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</si>
  <si>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</si>
  <si>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</si>
  <si>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</si>
  <si>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</si>
  <si>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</si>
  <si>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</si>
  <si>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</si>
  <si>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</si>
  <si>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</si>
  <si>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</si>
  <si>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</si>
  <si>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</si>
  <si>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</si>
  <si>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</si>
  <si>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</si>
  <si>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</si>
  <si>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</si>
  <si>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</si>
  <si>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</si>
  <si>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</si>
  <si>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</si>
  <si>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</si>
  <si>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</si>
  <si>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</si>
  <si>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</si>
  <si>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</si>
  <si>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</si>
  <si>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</si>
  <si>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</si>
  <si>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</si>
  <si>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</si>
  <si>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</si>
  <si>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</si>
  <si>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</si>
  <si>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</si>
  <si>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</si>
  <si>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</si>
  <si>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</si>
  <si>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</si>
  <si>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</si>
  <si>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</si>
  <si>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</si>
  <si>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</si>
  <si>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</si>
  <si>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</si>
  <si>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</si>
  <si>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</si>
  <si>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</si>
  <si>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</si>
  <si>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</si>
  <si>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</si>
  <si>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</si>
  <si>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</si>
  <si>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</si>
  <si>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</si>
  <si>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</si>
  <si>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</si>
  <si>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</si>
  <si>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</si>
  <si>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</si>
  <si>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</si>
  <si>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</si>
  <si>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</si>
  <si>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</si>
  <si>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</si>
  <si>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</si>
  <si>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</si>
  <si>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</si>
  <si>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</si>
  <si>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</si>
  <si>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</si>
  <si>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</si>
  <si>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</si>
  <si>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</si>
  <si>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</si>
  <si>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</si>
  <si>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</si>
  <si>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</si>
  <si>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</si>
  <si>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</si>
  <si>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</si>
  <si>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</si>
  <si>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</si>
  <si>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</si>
  <si>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</si>
  <si>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</si>
  <si>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</si>
  <si>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</si>
  <si>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</si>
  <si>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</si>
  <si>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</si>
  <si>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</si>
  <si>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</si>
  <si>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</si>
  <si>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</si>
  <si>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</si>
  <si>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</si>
  <si>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</si>
  <si>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</si>
  <si>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</si>
  <si>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</si>
  <si>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</si>
  <si>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</si>
  <si>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</si>
  <si>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</si>
  <si>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</si>
  <si>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</si>
  <si>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</si>
  <si>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</si>
  <si>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</si>
  <si>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</si>
  <si>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</si>
  <si>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</si>
  <si>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</si>
  <si>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</si>
  <si>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</si>
  <si>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</si>
  <si>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</si>
  <si>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</si>
  <si>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</si>
  <si>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</si>
  <si>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</si>
  <si>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</si>
  <si>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</si>
  <si>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</si>
  <si>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</si>
  <si>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</si>
  <si>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</si>
  <si>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</si>
  <si>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</si>
  <si>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</si>
  <si>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</si>
  <si>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</si>
  <si>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</si>
  <si>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</si>
  <si>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</si>
  <si>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</si>
  <si>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</si>
  <si>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</si>
  <si>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</si>
  <si>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</si>
  <si>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</si>
  <si>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</si>
  <si>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</si>
  <si>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</si>
  <si>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</si>
  <si>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</si>
  <si>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</si>
  <si>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</si>
  <si>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</si>
  <si>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</si>
  <si>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</si>
  <si>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</si>
  <si>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</si>
  <si>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</si>
  <si>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</si>
  <si>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</si>
  <si>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</si>
  <si>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</si>
  <si>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</si>
  <si>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</si>
  <si>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</si>
  <si>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</si>
  <si>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</si>
  <si>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</si>
  <si>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</si>
  <si>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</si>
  <si>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</si>
  <si>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</si>
  <si>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</si>
  <si>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</si>
  <si>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</si>
  <si>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</si>
  <si>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</si>
  <si>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</si>
  <si>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</si>
  <si>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</si>
  <si>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</si>
  <si>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</si>
  <si>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</si>
  <si>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</si>
  <si>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</si>
  <si>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</si>
  <si>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</si>
  <si>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</si>
  <si>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</si>
  <si>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</si>
  <si>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</si>
  <si>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</si>
  <si>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</si>
  <si>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</si>
  <si>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</si>
  <si>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</si>
  <si>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</si>
  <si>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</si>
  <si>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</si>
  <si>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</si>
  <si>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</si>
  <si>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</si>
  <si>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</si>
  <si>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</si>
  <si>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</si>
  <si>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</si>
  <si>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</si>
  <si>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</si>
  <si>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</si>
  <si>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</si>
  <si>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</si>
  <si>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</si>
  <si>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</si>
  <si>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</si>
  <si>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</si>
  <si>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</si>
  <si>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</si>
  <si>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</si>
  <si>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</si>
  <si>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</si>
  <si>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</si>
  <si>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</si>
  <si>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</si>
  <si>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</si>
  <si>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</si>
  <si>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</si>
  <si>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</si>
  <si>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</si>
  <si>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</si>
  <si>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</si>
  <si>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</si>
  <si>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</si>
  <si>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</si>
  <si>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</si>
  <si>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</si>
  <si>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</si>
  <si>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</si>
  <si>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</si>
  <si>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</si>
  <si>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</si>
  <si>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</si>
  <si>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</si>
  <si>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</si>
  <si>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</si>
  <si>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</si>
  <si>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</si>
  <si>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</si>
  <si>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</si>
  <si>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</si>
  <si>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</si>
  <si>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</si>
  <si>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</si>
  <si>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</si>
  <si>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</si>
  <si>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</si>
  <si>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</si>
  <si>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</si>
  <si>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</si>
  <si>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</si>
  <si>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</si>
  <si>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</si>
  <si>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</si>
  <si>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</si>
  <si>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</si>
  <si>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</si>
  <si>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</si>
  <si>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</si>
  <si>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</si>
  <si>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</si>
  <si>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</si>
  <si>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</si>
  <si>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</si>
  <si>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</si>
  <si>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</si>
  <si>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</si>
  <si>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</si>
  <si>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</si>
  <si>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</si>
  <si>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</si>
  <si>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</si>
  <si>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</si>
  <si>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</si>
  <si>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</si>
  <si>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</si>
  <si>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</si>
  <si>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</si>
  <si>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</si>
  <si>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</si>
  <si>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</si>
  <si>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</si>
  <si>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</si>
  <si>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</si>
  <si>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</si>
  <si>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</si>
  <si>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</si>
  <si>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</si>
  <si>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</si>
  <si>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</si>
  <si>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</si>
  <si>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</si>
  <si>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</si>
  <si>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</si>
  <si>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</si>
  <si>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</si>
  <si>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</si>
  <si>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</si>
  <si>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</si>
  <si>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</si>
  <si>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</si>
  <si>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</si>
  <si>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</si>
  <si>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</si>
  <si>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</si>
  <si>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</si>
  <si>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</si>
  <si>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</si>
  <si>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</si>
  <si>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</si>
  <si>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</si>
  <si>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</si>
  <si>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</si>
  <si>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</si>
  <si>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</si>
  <si>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</si>
  <si>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</si>
  <si>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</si>
  <si>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</si>
  <si>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</si>
  <si>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</si>
  <si>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</si>
  <si>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</si>
  <si>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</si>
  <si>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</si>
  <si>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</si>
  <si>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</si>
  <si>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</si>
  <si>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</si>
  <si>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</si>
  <si>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</si>
  <si>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</si>
  <si>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</si>
  <si>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</si>
  <si>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</si>
  <si>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</si>
  <si>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</si>
  <si>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</si>
  <si>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</si>
  <si>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</si>
  <si>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</si>
  <si>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</si>
  <si>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</si>
  <si>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</si>
  <si>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</si>
  <si>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</si>
  <si>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</si>
  <si>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</si>
  <si>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</si>
  <si>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</si>
  <si>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</si>
  <si>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</si>
  <si>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</si>
  <si>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</si>
  <si>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</si>
  <si>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</si>
  <si>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</si>
  <si>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</si>
  <si>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</si>
  <si>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</si>
  <si>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</si>
  <si>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</si>
  <si>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</si>
  <si>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</si>
  <si>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</si>
  <si>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</si>
  <si>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</si>
  <si>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</si>
  <si>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</si>
  <si>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</si>
  <si>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</si>
  <si>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</si>
  <si>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</si>
  <si>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</si>
  <si>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</si>
  <si>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</si>
  <si>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</si>
  <si>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</si>
  <si>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</si>
  <si>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</si>
  <si>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</si>
  <si>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</si>
  <si>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</si>
  <si>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</si>
  <si>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</si>
  <si>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</si>
  <si>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</si>
  <si>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</si>
  <si>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</si>
  <si>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</si>
  <si>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</si>
  <si>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</si>
  <si>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</si>
  <si>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</si>
  <si>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</si>
  <si>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</si>
  <si>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</si>
  <si>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</si>
  <si>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</si>
  <si>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</si>
  <si>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</si>
  <si>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</si>
  <si>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</si>
  <si>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</si>
  <si>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</si>
  <si>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</si>
  <si>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</si>
  <si>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</si>
  <si>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</si>
  <si>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</si>
  <si>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</si>
  <si>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</si>
  <si>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</si>
  <si>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</si>
  <si>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</si>
  <si>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</si>
  <si>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</si>
  <si>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</si>
  <si>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</si>
  <si>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</si>
  <si>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</si>
  <si>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</si>
  <si>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</si>
  <si>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</si>
  <si>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</si>
  <si>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</si>
  <si>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</si>
  <si>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</si>
  <si>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</si>
  <si>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</si>
  <si>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</si>
  <si>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</si>
  <si>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</si>
  <si>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</si>
  <si>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</si>
  <si>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</si>
  <si>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</si>
  <si>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</si>
  <si>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</si>
  <si>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</si>
  <si>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</si>
  <si>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</si>
  <si>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</si>
  <si>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</si>
  <si>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</si>
  <si>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</si>
  <si>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</si>
  <si>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</si>
  <si>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</si>
  <si>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</si>
  <si>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</si>
  <si>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</si>
  <si>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</si>
  <si>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</si>
  <si>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</si>
  <si>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</si>
  <si>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</si>
  <si>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</si>
  <si>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</si>
  <si>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</si>
  <si>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</si>
  <si>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</si>
  <si>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</si>
  <si>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</si>
  <si>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</si>
  <si>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</si>
  <si>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</si>
  <si>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</si>
  <si>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</si>
  <si>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</si>
  <si>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</si>
  <si>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</si>
  <si>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</si>
  <si>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</si>
  <si>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</si>
  <si>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</si>
  <si>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</si>
  <si>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</si>
  <si>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</si>
  <si>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</si>
  <si>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</si>
  <si>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</si>
  <si>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</si>
  <si>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</si>
  <si>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</si>
  <si>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</si>
  <si>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</si>
  <si>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</si>
  <si>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</si>
  <si>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</si>
  <si>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</si>
  <si>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</si>
  <si>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</si>
  <si>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</si>
  <si>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</si>
  <si>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</si>
  <si>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</si>
  <si>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</si>
  <si>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</si>
  <si>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</si>
  <si>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</si>
  <si>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</si>
  <si>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</si>
  <si>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</si>
  <si>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</si>
  <si>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</si>
  <si>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</si>
  <si>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</si>
  <si>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</si>
  <si>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</si>
  <si>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</si>
  <si>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</si>
  <si>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</si>
  <si>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</si>
  <si>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</si>
  <si>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</si>
  <si>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</si>
  <si>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</si>
  <si>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</si>
  <si>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</si>
  <si>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</si>
  <si>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</si>
  <si>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</si>
  <si>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</si>
  <si>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</si>
  <si>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</si>
  <si>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</si>
  <si>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</si>
  <si>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</si>
  <si>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</si>
  <si>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</si>
  <si>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</si>
  <si>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</si>
  <si>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</si>
  <si>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</si>
  <si>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</si>
  <si>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</si>
  <si>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</si>
  <si>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</si>
  <si>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</si>
  <si>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</si>
  <si>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</si>
  <si>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</si>
  <si>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</si>
  <si>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</si>
  <si>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</si>
  <si>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</si>
  <si>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</si>
  <si>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</si>
  <si>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</si>
  <si>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</si>
  <si>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</si>
  <si>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</si>
  <si>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</si>
  <si>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</si>
  <si>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</si>
  <si>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</si>
  <si>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</si>
  <si>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</si>
  <si>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</si>
  <si>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</si>
  <si>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</si>
  <si>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</si>
  <si>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</si>
  <si>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</si>
  <si>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</si>
  <si>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</si>
  <si>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</si>
  <si>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</si>
  <si>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</si>
  <si>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</si>
  <si>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</si>
  <si>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</si>
  <si>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</si>
  <si>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</si>
  <si>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</si>
  <si>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</si>
  <si>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</si>
  <si>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</si>
  <si>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</si>
  <si>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</si>
  <si>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</si>
  <si>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</si>
  <si>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</si>
  <si>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</si>
  <si>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</si>
  <si>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</si>
  <si>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</si>
  <si>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</si>
  <si>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</si>
  <si>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</si>
  <si>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</si>
  <si>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</si>
  <si>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</si>
  <si>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</si>
  <si>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</si>
  <si>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</si>
  <si>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</si>
  <si>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</si>
  <si>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</si>
  <si>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</si>
  <si>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</si>
  <si>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</si>
  <si>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</si>
  <si>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</si>
  <si>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</si>
  <si>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</si>
  <si>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</si>
  <si>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</si>
  <si>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</si>
  <si>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</si>
  <si>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</si>
  <si>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</si>
  <si>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</si>
  <si>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</si>
  <si>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</si>
  <si>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</si>
  <si>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</si>
  <si>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</si>
  <si>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</si>
  <si>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</si>
  <si>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</si>
  <si>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</si>
  <si>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</si>
  <si>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</si>
  <si>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</si>
  <si>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</si>
  <si>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</si>
  <si>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</si>
  <si>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</si>
  <si>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</si>
  <si>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</si>
  <si>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</si>
  <si>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</si>
  <si>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</si>
  <si>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</si>
  <si>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</si>
  <si>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</si>
  <si>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</si>
  <si>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</si>
  <si>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</si>
  <si>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</si>
  <si>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</si>
  <si>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</si>
  <si>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</si>
  <si>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</si>
  <si>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</si>
  <si>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</si>
  <si>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</si>
  <si>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</si>
  <si>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</si>
  <si>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</si>
  <si>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</si>
  <si>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</si>
  <si>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</si>
  <si>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</si>
  <si>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</si>
  <si>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</si>
  <si>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</si>
  <si>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</si>
  <si>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</si>
  <si>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</si>
  <si>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</si>
  <si>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</si>
  <si>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</si>
  <si>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</si>
  <si>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</si>
  <si>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</si>
  <si>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</si>
  <si>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</si>
  <si>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</si>
  <si>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</si>
  <si>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</si>
  <si>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</si>
  <si>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</si>
  <si>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</si>
  <si>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</si>
  <si>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</si>
  <si>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</si>
  <si>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</si>
  <si>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</si>
  <si>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</si>
  <si>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</si>
  <si>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</si>
  <si>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</si>
  <si>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</si>
  <si>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</si>
  <si>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</si>
  <si>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</si>
  <si>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</si>
  <si>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</si>
  <si>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</si>
  <si>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</si>
  <si>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</si>
  <si>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</si>
  <si>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</si>
  <si>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</si>
  <si>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</si>
  <si>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</si>
  <si>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</si>
  <si>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</si>
  <si>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</si>
  <si>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</si>
  <si>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</si>
  <si>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</si>
  <si>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</si>
  <si>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</si>
  <si>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</si>
  <si>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</si>
  <si>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</si>
  <si>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</si>
  <si>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</si>
  <si>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</si>
  <si>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</si>
  <si>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</si>
  <si>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</si>
  <si>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</si>
  <si>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</si>
  <si>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</si>
  <si>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</si>
  <si>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</si>
  <si>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</si>
  <si>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</si>
  <si>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</si>
  <si>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</si>
  <si>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</si>
  <si>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</si>
  <si>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</si>
  <si>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</si>
  <si>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</si>
  <si>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</si>
  <si>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</si>
  <si>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</si>
  <si>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</si>
  <si>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</si>
  <si>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</si>
  <si>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</si>
  <si>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</si>
  <si>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</si>
  <si>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</si>
  <si>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</si>
  <si>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</si>
  <si>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</si>
  <si>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</si>
  <si>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</si>
  <si>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</si>
  <si>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</si>
  <si>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</si>
  <si>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</si>
  <si>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</si>
  <si>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</si>
  <si>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</si>
  <si>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</si>
  <si>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</si>
  <si>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</si>
  <si>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</si>
  <si>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</si>
  <si>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</si>
  <si>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</si>
  <si>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</si>
  <si>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</si>
  <si>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</si>
  <si>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</si>
  <si>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</si>
  <si>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</si>
  <si>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</si>
  <si>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</si>
  <si>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</si>
  <si>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</si>
  <si>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</si>
  <si>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</si>
  <si>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</si>
  <si>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</si>
  <si>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</si>
  <si>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</si>
  <si>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</si>
  <si>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</si>
  <si>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</si>
  <si>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</si>
  <si>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</si>
  <si>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</si>
  <si>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</si>
  <si>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</si>
  <si>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</si>
  <si>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</si>
  <si>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</si>
  <si>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</si>
  <si>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</si>
  <si>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</si>
  <si>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</si>
  <si>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</si>
  <si>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</si>
  <si>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</si>
  <si>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</si>
  <si>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</si>
  <si>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</si>
  <si>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</si>
  <si>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</si>
  <si>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</si>
  <si>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</si>
  <si>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</si>
  <si>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</si>
  <si>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</si>
  <si>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</si>
  <si>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</si>
  <si>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</si>
  <si>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</si>
  <si>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</si>
  <si>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</si>
  <si>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</si>
  <si>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</si>
  <si>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</si>
  <si>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</si>
  <si>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</si>
  <si>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</si>
  <si>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</si>
  <si>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</si>
  <si>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</si>
  <si>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</si>
  <si>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</si>
  <si>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</si>
  <si>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</si>
  <si>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</si>
  <si>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</si>
  <si>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</si>
  <si>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</si>
  <si>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</si>
  <si>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</si>
  <si>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</si>
  <si>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</si>
  <si>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</si>
  <si>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</si>
  <si>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</si>
  <si>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</si>
  <si>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</si>
  <si>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</si>
  <si>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</si>
  <si>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</si>
  <si>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</si>
  <si>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</si>
  <si>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</si>
  <si>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</si>
  <si>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</si>
  <si>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</si>
  <si>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</si>
  <si>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</si>
  <si>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</si>
  <si>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</si>
  <si>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</si>
  <si>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</si>
  <si>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</si>
  <si>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</si>
  <si>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</si>
  <si>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</si>
  <si>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</si>
  <si>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</si>
  <si>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</si>
  <si>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</si>
  <si>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</si>
  <si>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</si>
  <si>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</si>
  <si>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</si>
  <si>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</si>
  <si>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</si>
  <si>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</si>
  <si>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</si>
  <si>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</si>
  <si>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</si>
  <si>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</si>
  <si>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</si>
  <si>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</si>
  <si>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</si>
  <si>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</si>
  <si>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</si>
  <si>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</si>
  <si>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</si>
  <si>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</si>
  <si>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</si>
  <si>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</si>
  <si>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</si>
  <si>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</si>
  <si>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</si>
  <si>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</si>
  <si>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</si>
  <si>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</si>
  <si>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</si>
  <si>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</si>
  <si>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</si>
  <si>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</si>
  <si>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</si>
  <si>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</si>
  <si>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</si>
  <si>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</si>
  <si>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</si>
  <si>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</si>
  <si>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</si>
  <si>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</si>
  <si>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</si>
  <si>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</si>
  <si>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</si>
  <si>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</si>
  <si>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</si>
  <si>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</si>
  <si>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</si>
  <si>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</si>
  <si>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</si>
  <si>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</si>
  <si>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</si>
  <si>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</si>
  <si>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</si>
  <si>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</si>
  <si>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</si>
  <si>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</si>
  <si>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</si>
  <si>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</si>
  <si>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</si>
  <si>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</si>
  <si>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</si>
  <si>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</si>
  <si>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</si>
  <si>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</si>
  <si>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</si>
  <si>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</si>
  <si>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</si>
  <si>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</si>
  <si>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</si>
  <si>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</si>
  <si>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</si>
  <si>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</si>
  <si>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</si>
  <si>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</si>
  <si>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</si>
  <si>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</si>
  <si>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</si>
  <si>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</si>
  <si>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</si>
  <si>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</si>
  <si>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</si>
  <si>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</si>
  <si>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</si>
  <si>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</si>
  <si>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</si>
  <si>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</si>
  <si>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</si>
  <si>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</si>
  <si>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</si>
  <si>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</si>
  <si>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</si>
  <si>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</si>
  <si>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</si>
  <si>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</si>
  <si>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</si>
  <si>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</si>
  <si>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</si>
  <si>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</si>
  <si>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</si>
  <si>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</si>
  <si>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</si>
  <si>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</si>
  <si>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</si>
  <si>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</si>
  <si>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</si>
  <si>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</si>
  <si>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</si>
  <si>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</si>
  <si>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</si>
  <si>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</si>
  <si>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</si>
  <si>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</si>
  <si>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</si>
  <si>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</si>
  <si>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</si>
  <si>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</si>
  <si>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</si>
  <si>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</si>
  <si>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</si>
  <si>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</si>
  <si>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</si>
  <si>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</si>
  <si>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</si>
  <si>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</si>
  <si>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</si>
  <si>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</si>
  <si>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</si>
  <si>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</si>
  <si>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</si>
  <si>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</si>
  <si>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</si>
  <si>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</si>
  <si>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</si>
  <si>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</si>
  <si>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</si>
  <si>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</si>
  <si>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</si>
  <si>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</si>
  <si>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</si>
  <si>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</si>
  <si>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</si>
  <si>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</si>
  <si>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</si>
  <si>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</si>
  <si>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</si>
  <si>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</si>
  <si>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</si>
  <si>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</si>
  <si>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</si>
  <si>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</si>
  <si>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</si>
  <si>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</si>
  <si>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</si>
  <si>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</si>
  <si>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</si>
  <si>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</si>
  <si>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</si>
  <si>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</si>
  <si>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</si>
  <si>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</si>
  <si>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</si>
  <si>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</si>
  <si>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</si>
  <si>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</si>
  <si>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</si>
  <si>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</si>
  <si>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</si>
  <si>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</si>
  <si>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</si>
  <si>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</si>
  <si>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</si>
  <si>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</si>
  <si>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</si>
  <si>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</si>
  <si>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</si>
  <si>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</si>
  <si>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</si>
  <si>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</si>
  <si>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</si>
  <si>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</si>
  <si>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</si>
  <si>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</si>
  <si>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</si>
  <si>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</si>
  <si>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</si>
  <si>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</si>
  <si>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</si>
  <si>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</si>
  <si>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</si>
  <si>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</si>
  <si>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</si>
  <si>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</si>
  <si>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</si>
  <si>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</si>
  <si>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</si>
  <si>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</si>
  <si>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</si>
  <si>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</si>
  <si>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</si>
  <si>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</si>
  <si>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</si>
  <si>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</si>
  <si>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</si>
  <si>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</si>
  <si>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</si>
  <si>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</si>
  <si>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</si>
  <si>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</si>
  <si>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</si>
  <si>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</si>
  <si>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</si>
  <si>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</si>
  <si>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</si>
  <si>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</si>
  <si>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</si>
  <si>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</si>
  <si>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</si>
  <si>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</si>
  <si>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</si>
  <si>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</si>
  <si>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</si>
  <si>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</si>
  <si>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</si>
  <si>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</si>
  <si>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</si>
  <si>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</si>
  <si>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</si>
  <si>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</si>
  <si>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</si>
  <si>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</si>
  <si>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</si>
  <si>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</si>
  <si>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</si>
  <si>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</si>
  <si>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</si>
  <si>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</si>
  <si>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</si>
  <si>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</si>
  <si>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</si>
  <si>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</si>
  <si>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</si>
  <si>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</si>
  <si>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</si>
  <si>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</si>
  <si>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</si>
  <si>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</si>
  <si>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</si>
  <si>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</si>
  <si>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</si>
  <si>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</si>
  <si>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</si>
  <si>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</si>
  <si>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</si>
  <si>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</si>
  <si>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</si>
  <si>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</si>
  <si>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</si>
  <si>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</si>
  <si>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</si>
  <si>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</si>
  <si>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</si>
  <si>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</si>
  <si>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</si>
  <si>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</si>
  <si>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</si>
  <si>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</si>
  <si>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</si>
  <si>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</si>
  <si>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</si>
  <si>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</si>
  <si>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</si>
  <si>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</si>
  <si>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</si>
  <si>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</si>
  <si>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</si>
  <si>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</si>
  <si>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</si>
  <si>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</si>
  <si>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</si>
  <si>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</si>
  <si>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</si>
  <si>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</si>
  <si>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</si>
  <si>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</si>
  <si>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</si>
  <si>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</si>
  <si>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</si>
  <si>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</si>
  <si>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</si>
  <si>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</si>
  <si>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</si>
  <si>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</si>
  <si>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</si>
  <si>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</si>
  <si>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</si>
  <si>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</si>
  <si>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</si>
  <si>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</si>
  <si>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</si>
  <si>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</si>
  <si>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</si>
  <si>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</si>
  <si>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</si>
  <si>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</si>
  <si>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</si>
  <si>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</si>
  <si>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</si>
  <si>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</si>
  <si>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</si>
  <si>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</si>
  <si>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</si>
  <si>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</si>
  <si>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</si>
  <si>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</si>
  <si>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</si>
  <si>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</si>
  <si>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</si>
  <si>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</si>
  <si>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</si>
  <si>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</si>
  <si>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</si>
  <si>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</si>
  <si>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</si>
  <si>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</si>
  <si>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</si>
  <si>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</si>
  <si>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</si>
  <si>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</si>
  <si>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</si>
  <si>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</si>
  <si>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</si>
  <si>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</si>
  <si>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</si>
  <si>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</si>
  <si>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</si>
  <si>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</si>
  <si>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</si>
  <si>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</si>
  <si>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</si>
  <si>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</si>
  <si>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</si>
  <si>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</si>
  <si>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</si>
  <si>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</si>
  <si>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</si>
  <si>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</si>
  <si>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</si>
  <si>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</si>
  <si>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</si>
  <si>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</si>
  <si>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</si>
  <si>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</si>
  <si>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</si>
  <si>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</si>
  <si>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</si>
  <si>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</si>
  <si>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</si>
  <si>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</si>
  <si>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</si>
  <si>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</si>
  <si>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</si>
  <si>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</si>
  <si>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</si>
  <si>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</si>
  <si>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</si>
  <si>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</si>
  <si>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</si>
  <si>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</si>
  <si>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</si>
  <si>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</si>
  <si>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</si>
  <si>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</si>
  <si>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</si>
  <si>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</si>
  <si>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</si>
  <si>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</si>
  <si>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</si>
  <si>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</si>
  <si>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</si>
  <si>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</si>
  <si>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</si>
  <si>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</si>
  <si>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</si>
  <si>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</si>
  <si>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</si>
  <si>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</si>
  <si>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</si>
  <si>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</si>
  <si>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</si>
  <si>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</si>
  <si>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</si>
  <si>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</si>
  <si>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</si>
  <si>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</si>
  <si>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</si>
  <si>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</si>
  <si>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</si>
  <si>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</si>
  <si>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</si>
  <si>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</si>
  <si>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</si>
  <si>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</si>
  <si>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</si>
  <si>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</si>
  <si>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</si>
  <si>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</si>
  <si>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</si>
  <si>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</si>
  <si>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</si>
  <si>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</si>
  <si>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</si>
  <si>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</si>
  <si>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</si>
  <si>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</si>
  <si>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</si>
  <si>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</si>
  <si>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</si>
  <si>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</si>
  <si>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</si>
  <si>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</si>
  <si>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</si>
  <si>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</si>
  <si>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</si>
  <si>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</si>
  <si>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</si>
  <si>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</si>
  <si>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</si>
  <si>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</si>
  <si>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</si>
  <si>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</si>
  <si>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</si>
  <si>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</si>
  <si>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</si>
  <si>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</si>
  <si>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</si>
  <si>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</si>
  <si>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</si>
  <si>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</si>
  <si>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</si>
  <si>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</si>
  <si>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</si>
  <si>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</si>
  <si>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</si>
  <si>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</si>
  <si>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</si>
  <si>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</si>
  <si>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</si>
  <si>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</si>
  <si>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</si>
  <si>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</si>
  <si>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</si>
  <si>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</si>
  <si>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</si>
  <si>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</si>
  <si>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</si>
  <si>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</si>
  <si>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</si>
  <si>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</si>
  <si>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</si>
  <si>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</si>
  <si>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</si>
  <si>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</si>
  <si>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</si>
  <si>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</si>
  <si>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</si>
  <si>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</si>
  <si>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</si>
  <si>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</si>
  <si>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</si>
  <si>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</si>
  <si>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</si>
  <si>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</si>
  <si>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</si>
  <si>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</si>
  <si>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</si>
  <si>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</si>
  <si>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</si>
  <si>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</si>
  <si>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</si>
  <si>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</si>
  <si>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</si>
  <si>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</si>
  <si>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</si>
  <si>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</si>
  <si>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</si>
  <si>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</si>
  <si>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</si>
  <si>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</si>
  <si>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</si>
  <si>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</si>
  <si>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</si>
  <si>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</si>
  <si>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</si>
  <si>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</si>
  <si>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</si>
  <si>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</si>
  <si>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</si>
  <si>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</si>
  <si>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</si>
  <si>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</si>
  <si>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</si>
  <si>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</si>
  <si>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</si>
  <si>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</si>
  <si>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</si>
  <si>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</si>
  <si>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</si>
  <si>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</si>
  <si>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</si>
  <si>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</si>
  <si>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</si>
  <si>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</si>
  <si>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</si>
  <si>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</si>
  <si>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</si>
  <si>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</si>
  <si>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</si>
  <si>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</si>
  <si>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</si>
  <si>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</si>
  <si>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</si>
  <si>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</si>
  <si>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</si>
  <si>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</si>
  <si>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</si>
  <si>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</si>
  <si>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</si>
  <si>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</si>
  <si>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</si>
  <si>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</si>
  <si>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</si>
  <si>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</si>
  <si>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</si>
  <si>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</si>
  <si>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</si>
  <si>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</si>
  <si>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</si>
  <si>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</si>
  <si>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</si>
  <si>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</si>
  <si>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</si>
  <si>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</si>
  <si>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</si>
  <si>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</si>
  <si>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</si>
  <si>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</si>
  <si>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</si>
  <si>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</si>
  <si>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</si>
  <si>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</si>
  <si>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</si>
  <si>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</si>
  <si>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</si>
  <si>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</si>
  <si>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</si>
  <si>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>3259214#1</t>
  </si>
  <si>
    <t>Cristian Rodriguez Miranda</t>
  </si>
  <si>
    <t>1858096#1</t>
  </si>
  <si>
    <t>Stop Jeans</t>
  </si>
  <si>
    <t>4422409#1</t>
  </si>
  <si>
    <t>Adarquitectura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</si>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</sst>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24d69d9-89a6-4258-b79b-41b629e7c6a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m/>
      </sharedItems>
    </cacheField>
    <cacheField name="Country" numFmtId="0">
      <sharedItems containsBlank="1">
        <s v="Mexico"/>
        <s v="Nicaragua"/>
        <s v="Belize"/>
        <s v="Honduras"/>
        <m/>
      </sharedItems>
    </cacheField>
    <cacheField name="Investigator" numFmtId="0">
      <sharedItems containsBlank="1">
        <s v="Francisco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4"/>
        <item x="2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24d69d9-89a6-4258-b79b-41b629e7c6a8}" id="{90e89116-d16c-475e-8579-fa6fabfdba2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6</v>
      </c>
      <c r="F19" s="246">
        <f t="shared" ref="F19:F21" si="1">C19-E19</f>
        <v>24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51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98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98"/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98"/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61"/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403">
        <v>46174.0</v>
      </c>
      <c r="K11" s="294" t="s">
        <v>3704</v>
      </c>
      <c r="L11" s="294" t="s">
        <v>3705</v>
      </c>
      <c r="M11" s="295" t="s">
        <v>18</v>
      </c>
      <c r="N11" s="295" t="s">
        <v>2337</v>
      </c>
      <c r="O11" s="61"/>
      <c r="P11" s="298"/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401">
        <v>46174.0</v>
      </c>
      <c r="K12" s="273" t="s">
        <v>3706</v>
      </c>
      <c r="L12" s="273" t="s">
        <v>3707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403">
        <v>46174.0</v>
      </c>
      <c r="K13" s="294" t="s">
        <v>3708</v>
      </c>
      <c r="L13" s="294" t="s">
        <v>3709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401">
        <v>46174.0</v>
      </c>
      <c r="K14" s="273" t="s">
        <v>3710</v>
      </c>
      <c r="L14" s="273" t="s">
        <v>3711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69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3712</v>
      </c>
      <c r="L15" s="294" t="s">
        <v>3713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3714</v>
      </c>
      <c r="L16" s="273" t="s">
        <v>3715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69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3716</v>
      </c>
      <c r="L17" s="294" t="s">
        <v>3717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0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3718</v>
      </c>
      <c r="L18" s="273" t="s">
        <v>3719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3720</v>
      </c>
      <c r="L19" s="294" t="s">
        <v>3721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1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3722</v>
      </c>
      <c r="L20" s="273" t="s">
        <v>3723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69"/>
      <c r="AQ20" s="450"/>
      <c r="AR20" s="450"/>
      <c r="AS20" s="472"/>
      <c r="AT20" s="452"/>
      <c r="AU20" s="473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3724</v>
      </c>
      <c r="L21" s="294" t="s">
        <v>3725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1"/>
      <c r="AV21" s="269"/>
      <c r="AX21" s="270"/>
      <c r="AY21" s="384"/>
      <c r="AZ21" s="474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3726</v>
      </c>
      <c r="L22" s="273" t="s">
        <v>3727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69"/>
      <c r="AQ22" s="450"/>
      <c r="AR22" s="450"/>
      <c r="AS22" s="472"/>
      <c r="AT22" s="452"/>
      <c r="AU22" s="473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1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69"/>
      <c r="AQ27" s="450"/>
      <c r="AR27" s="450"/>
      <c r="AS27" s="472"/>
      <c r="AT27" s="452"/>
      <c r="AU27" s="473"/>
      <c r="AV27" s="269"/>
      <c r="AX27" s="270"/>
      <c r="AY27" s="450"/>
      <c r="AZ27" s="475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1"/>
      <c r="AV28" s="269"/>
      <c r="AX28" s="270"/>
      <c r="AY28" s="453"/>
      <c r="AZ28" s="476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9"/>
      <c r="AQ29" s="450"/>
      <c r="AR29" s="450"/>
      <c r="AS29" s="472"/>
      <c r="AT29" s="452"/>
      <c r="AU29" s="473"/>
      <c r="AV29" s="269"/>
      <c r="AX29" s="270"/>
      <c r="AY29" s="450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7"/>
      <c r="AV30" s="298"/>
      <c r="AX30" s="270"/>
      <c r="AY30" s="453"/>
      <c r="AZ30" s="476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69"/>
      <c r="AI31" s="450"/>
      <c r="AJ31" s="450"/>
      <c r="AK31" s="472"/>
      <c r="AL31" s="452"/>
      <c r="AM31" s="61"/>
      <c r="AN31" s="269"/>
      <c r="AP31" s="449"/>
      <c r="AQ31" s="450"/>
      <c r="AR31" s="450"/>
      <c r="AS31" s="466"/>
      <c r="AT31" s="452"/>
      <c r="AU31" s="478"/>
      <c r="AV31" s="269"/>
      <c r="AX31" s="270"/>
      <c r="AY31" s="450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79"/>
      <c r="AA32" s="480"/>
      <c r="AB32" s="481"/>
      <c r="AC32" s="482"/>
      <c r="AD32" s="483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6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4"/>
      <c r="U33" s="58"/>
      <c r="V33" s="58"/>
      <c r="W33" s="61"/>
      <c r="X33" s="269"/>
      <c r="Z33" s="479"/>
      <c r="AA33" s="480"/>
      <c r="AB33" s="480"/>
      <c r="AC33" s="485"/>
      <c r="AD33" s="486"/>
      <c r="AE33" s="61"/>
      <c r="AF33" s="269"/>
      <c r="AH33" s="469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7"/>
      <c r="AV33" s="298"/>
      <c r="AX33" s="270"/>
      <c r="AY33" s="450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6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6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6"/>
      <c r="BA38" s="58"/>
      <c r="BB38" s="58"/>
      <c r="BC38" s="61"/>
      <c r="BD38" s="269"/>
      <c r="BF38" s="449"/>
      <c r="BG38" s="450"/>
      <c r="BH38" s="450"/>
      <c r="BI38" s="451"/>
      <c r="BJ38" s="470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5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6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5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6"/>
      <c r="BA42" s="58"/>
      <c r="BB42" s="58"/>
      <c r="BC42" s="61"/>
      <c r="BD42" s="269"/>
      <c r="BF42" s="469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9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9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8"/>
      <c r="AI49" s="453"/>
      <c r="AJ49" s="453"/>
      <c r="AK49" s="468"/>
      <c r="AL49" s="455"/>
      <c r="AM49" s="61"/>
      <c r="AN49" s="269"/>
      <c r="AP49" s="449"/>
      <c r="AQ49" s="450"/>
      <c r="AR49" s="481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89"/>
      <c r="AI50" s="450"/>
      <c r="AJ50" s="450"/>
      <c r="AK50" s="472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8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89"/>
      <c r="AI52" s="450"/>
      <c r="AJ52" s="450"/>
      <c r="AK52" s="472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2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0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0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69"/>
      <c r="AI58" s="450"/>
      <c r="AJ58" s="450"/>
      <c r="AK58" s="472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69"/>
      <c r="AI60" s="450"/>
      <c r="AJ60" s="450"/>
      <c r="AK60" s="472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4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1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69"/>
      <c r="AA76" s="450"/>
      <c r="AB76" s="450"/>
      <c r="AC76" s="472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69"/>
      <c r="AA78" s="450"/>
      <c r="AB78" s="450"/>
      <c r="AC78" s="472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2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2"/>
      <c r="AA83" s="481"/>
      <c r="AB83" s="481"/>
      <c r="AC83" s="493"/>
      <c r="AD83" s="49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69"/>
      <c r="AA89" s="481"/>
      <c r="AB89" s="450"/>
      <c r="AC89" s="472"/>
      <c r="AD89" s="452"/>
      <c r="AE89" s="473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1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9"/>
      <c r="AA91" s="450"/>
      <c r="AB91" s="450"/>
      <c r="AC91" s="452"/>
      <c r="AD91" s="452"/>
      <c r="AE91" s="49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1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9"/>
      <c r="AA93" s="450"/>
      <c r="AB93" s="481"/>
      <c r="AC93" s="452"/>
      <c r="AD93" s="452"/>
      <c r="AE93" s="49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