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tc={0f43d4fe-bacc-476e-a6b1-ba21f946197f}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0f43d4fe-bacc-476e-a6b1-ba21f946197f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<sst xmlns="http://schemas.openxmlformats.org/spreadsheetml/2006/main" count="8680" uniqueCount="3872">
  <si>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</si>
  <si>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</si>
  <si>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</si>
  <si>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</si>
  <si>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</si>
  <si>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</si>
  <si>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</si>
  <si>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</si>
  <si>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</si>
  <si>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</si>
  <si>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</si>
  <si>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</si>
  <si>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</si>
  <si>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</si>
  <si>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</si>
  <si>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</si>
  <si>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</si>
  <si>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</si>
  <si>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</si>
  <si>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</si>
  <si>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</si>
  <si>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</si>
  <si>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</si>
  <si>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</si>
  <si>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</si>
  <si>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</si>
  <si>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</si>
  <si>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</si>
  <si>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</si>
  <si>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</si>
  <si>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</si>
  <si>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</si>
  <si>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</si>
  <si>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</si>
  <si>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</si>
  <si>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</si>
  <si>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</si>
  <si>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</si>
  <si>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</si>
  <si>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</si>
  <si>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</si>
  <si>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</si>
  <si>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</si>
  <si>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</si>
  <si>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</si>
  <si>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</si>
  <si>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</si>
  <si>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</si>
  <si>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</si>
  <si>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</si>
  <si>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</si>
  <si>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</si>
  <si>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</si>
  <si>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</si>
  <si>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</si>
  <si>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</si>
  <si>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</si>
  <si>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</si>
  <si>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</si>
  <si>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</si>
  <si>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</si>
  <si>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</si>
  <si>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</si>
  <si>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</si>
  <si>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</si>
  <si>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</si>
  <si>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</si>
  <si>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</si>
  <si>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</si>
  <si>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</si>
  <si>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</si>
  <si>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</si>
  <si>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</si>
  <si>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</si>
  <si>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</si>
  <si>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</si>
  <si>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</si>
  <si>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</si>
  <si>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</si>
  <si>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</si>
  <si>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</si>
  <si>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</si>
  <si>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</si>
  <si>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</si>
  <si>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</si>
  <si>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</si>
  <si>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</si>
  <si>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</si>
  <si>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</si>
  <si>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</si>
  <si>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</si>
  <si>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</si>
  <si>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</si>
  <si>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</si>
  <si>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</si>
  <si>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</si>
  <si>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</si>
  <si>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</si>
  <si>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</si>
  <si>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</si>
  <si>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</si>
  <si>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</si>
  <si>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</si>
  <si>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</si>
  <si>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</si>
  <si>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</si>
  <si>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</si>
  <si>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</si>
  <si>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</si>
  <si>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</si>
  <si>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</si>
  <si>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</si>
  <si>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</si>
  <si>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</si>
  <si>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</si>
  <si>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</si>
  <si>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</si>
  <si>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</si>
  <si>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</si>
  <si>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</si>
  <si>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</si>
  <si>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</si>
  <si>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</si>
  <si>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</si>
  <si>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</si>
  <si>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</si>
  <si>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</si>
  <si>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</si>
  <si>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</si>
  <si>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</si>
  <si>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</si>
  <si>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</si>
  <si>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</si>
  <si>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</si>
  <si>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</si>
  <si>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</si>
  <si>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</si>
  <si>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</si>
  <si>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</si>
  <si>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</si>
  <si>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</si>
  <si>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</si>
  <si>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</si>
  <si>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</si>
  <si>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</si>
  <si>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</si>
  <si>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</si>
  <si>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</si>
  <si>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</si>
  <si>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</si>
  <si>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</si>
  <si>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</si>
  <si>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</si>
  <si>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</si>
  <si>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</si>
  <si>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</si>
  <si>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</si>
  <si>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</si>
  <si>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</si>
  <si>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</si>
  <si>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</si>
  <si>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</si>
  <si>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</si>
  <si>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</si>
  <si>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</si>
  <si>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</si>
  <si>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</si>
  <si>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</si>
  <si>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</si>
  <si>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</si>
  <si>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</si>
  <si>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</si>
  <si>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</si>
  <si>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</si>
  <si>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</si>
  <si>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</si>
  <si>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</si>
  <si>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</si>
  <si>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</si>
  <si>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</si>
  <si>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</si>
  <si>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</si>
  <si>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</si>
  <si>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</si>
  <si>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</si>
  <si>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</si>
  <si>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</si>
  <si>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</si>
  <si>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</si>
  <si>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</si>
  <si>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</si>
  <si>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</si>
  <si>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</si>
  <si>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</si>
  <si>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</si>
  <si>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</si>
  <si>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</si>
  <si>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</si>
  <si>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</si>
  <si>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</si>
  <si>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</si>
  <si>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</si>
  <si>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</si>
  <si>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</si>
  <si>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</si>
  <si>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</si>
  <si>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</si>
  <si>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</si>
  <si>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</si>
  <si>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</si>
  <si>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</si>
  <si>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</si>
  <si>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</si>
  <si>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</si>
  <si>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</si>
  <si>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</si>
  <si>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</si>
  <si>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</si>
  <si>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</si>
  <si>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</si>
  <si>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</si>
  <si>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</si>
  <si>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</si>
  <si>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</si>
  <si>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</si>
  <si>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</si>
  <si>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</si>
  <si>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</si>
  <si>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</si>
  <si>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</si>
  <si>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</si>
  <si>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</si>
  <si>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</si>
  <si>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</si>
  <si>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</si>
  <si>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</si>
  <si>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</si>
  <si>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</si>
  <si>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</si>
  <si>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</si>
  <si>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</si>
  <si>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</si>
  <si>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</si>
  <si>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</si>
  <si>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</si>
  <si>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</si>
  <si>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</si>
  <si>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</si>
  <si>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</si>
  <si>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</si>
  <si>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</si>
  <si>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</si>
  <si>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</si>
  <si>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</si>
  <si>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</si>
  <si>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</si>
  <si>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</si>
  <si>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</si>
  <si>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</si>
  <si>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</si>
  <si>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</si>
  <si>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</si>
  <si>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</si>
  <si>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</si>
  <si>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</si>
  <si>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</si>
  <si>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</si>
  <si>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</si>
  <si>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</si>
  <si>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</si>
  <si>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</si>
  <si>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</si>
  <si>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</si>
  <si>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</si>
  <si>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</si>
  <si>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</si>
  <si>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</si>
  <si>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</si>
  <si>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</si>
  <si>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</si>
  <si>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</si>
  <si>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</si>
  <si>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</si>
  <si>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</si>
  <si>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</si>
  <si>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</si>
  <si>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</si>
  <si>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</si>
  <si>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</si>
  <si>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</si>
  <si>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</si>
  <si>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</si>
  <si>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</si>
  <si>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</si>
  <si>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</si>
  <si>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</si>
  <si>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</si>
  <si>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</si>
  <si>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</si>
  <si>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</si>
  <si>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</si>
  <si>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</si>
  <si>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</si>
  <si>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</si>
  <si>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</si>
  <si>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</si>
  <si>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</si>
  <si>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</si>
  <si>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</si>
  <si>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</si>
  <si>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</si>
  <si>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</si>
  <si>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</si>
  <si>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</si>
  <si>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</si>
  <si>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</si>
  <si>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</si>
  <si>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</si>
  <si>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</si>
  <si>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</si>
  <si>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</si>
  <si>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</si>
  <si>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</si>
  <si>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</si>
  <si>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</si>
  <si>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</si>
  <si>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</si>
  <si>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</si>
  <si>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</si>
  <si>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</si>
  <si>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</si>
  <si>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</si>
  <si>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</si>
  <si>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</si>
  <si>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</si>
  <si>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</si>
  <si>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</si>
  <si>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</si>
  <si>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</si>
  <si>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</si>
  <si>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</si>
  <si>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</si>
  <si>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</si>
  <si>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</si>
  <si>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</si>
  <si>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</si>
  <si>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</si>
  <si>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</si>
  <si>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</si>
  <si>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</si>
  <si>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</si>
  <si>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</si>
  <si>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</si>
  <si>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</si>
  <si>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</si>
  <si>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</si>
  <si>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</si>
  <si>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</si>
  <si>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</si>
  <si>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</si>
  <si>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</si>
  <si>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</si>
  <si>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</si>
  <si>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</si>
  <si>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</si>
  <si>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</si>
  <si>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</si>
  <si>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</si>
  <si>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</si>
  <si>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</si>
  <si>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</si>
  <si>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</si>
  <si>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</si>
  <si>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</si>
  <si>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</si>
  <si>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</si>
  <si>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</si>
  <si>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</si>
  <si>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</si>
  <si>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</si>
  <si>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</si>
  <si>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</si>
  <si>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</si>
  <si>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</si>
  <si>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</si>
  <si>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</si>
  <si>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</si>
  <si>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</si>
  <si>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</si>
  <si>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</si>
  <si>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</si>
  <si>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</si>
  <si>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</si>
  <si>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</si>
  <si>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</si>
  <si>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</si>
  <si>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</si>
  <si>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</si>
  <si>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</si>
  <si>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</si>
  <si>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</si>
  <si>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</si>
  <si>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</si>
  <si>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</si>
  <si>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</si>
  <si>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</si>
  <si>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</si>
  <si>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</si>
  <si>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</si>
  <si>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</si>
  <si>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</si>
  <si>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</si>
  <si>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</si>
  <si>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</si>
  <si>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</si>
  <si>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</si>
  <si>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</si>
  <si>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</si>
  <si>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</si>
  <si>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</si>
  <si>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</si>
  <si>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</si>
  <si>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</si>
  <si>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</si>
  <si>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</si>
  <si>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</si>
  <si>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</si>
  <si>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</si>
  <si>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</si>
  <si>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</si>
  <si>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</si>
  <si>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</si>
  <si>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</si>
  <si>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</si>
  <si>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</si>
  <si>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</si>
  <si>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</si>
  <si>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</si>
  <si>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</si>
  <si>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</si>
  <si>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</si>
  <si>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</si>
  <si>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</si>
  <si>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</si>
  <si>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</si>
  <si>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</si>
  <si>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</si>
  <si>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</si>
  <si>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</si>
  <si>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</si>
  <si>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</si>
  <si>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</si>
  <si>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</si>
  <si>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</si>
  <si>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</si>
  <si>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</si>
  <si>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</si>
  <si>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</si>
  <si>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</si>
  <si>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</si>
  <si>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</si>
  <si>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</si>
  <si>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</si>
  <si>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</si>
  <si>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</si>
  <si>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</si>
  <si>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</si>
  <si>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</si>
  <si>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</si>
  <si>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</si>
  <si>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</si>
  <si>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</si>
  <si>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</si>
  <si>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</si>
  <si>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</si>
  <si>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</si>
  <si>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</si>
  <si>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</si>
  <si>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</si>
  <si>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</si>
  <si>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</si>
  <si>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</si>
  <si>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</si>
  <si>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</si>
  <si>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</si>
  <si>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</si>
  <si>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</si>
  <si>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</si>
  <si>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</si>
  <si>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</si>
  <si>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</si>
  <si>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</si>
  <si>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</si>
  <si>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</si>
  <si>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</si>
  <si>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</si>
  <si>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</si>
  <si>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</si>
  <si>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</si>
  <si>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</si>
  <si>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</si>
  <si>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</si>
  <si>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</si>
  <si>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</si>
  <si>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</si>
  <si>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</si>
  <si>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</si>
  <si>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</si>
  <si>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</si>
  <si>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</si>
  <si>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</si>
  <si>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</si>
  <si>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</si>
  <si>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</si>
  <si>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</si>
  <si>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</si>
  <si>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</si>
  <si>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</si>
  <si>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</si>
  <si>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</si>
  <si>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</si>
  <si>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</si>
  <si>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</si>
  <si>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</si>
  <si>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</si>
  <si>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</si>
  <si>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</si>
  <si>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</si>
  <si>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</si>
  <si>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</si>
  <si>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</si>
  <si>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</si>
  <si>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</si>
  <si>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</si>
  <si>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</si>
  <si>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</si>
  <si>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</si>
  <si>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</si>
  <si>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</si>
  <si>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</si>
  <si>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</si>
  <si>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</si>
  <si>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</si>
  <si>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</si>
  <si>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</si>
  <si>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</si>
  <si>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</si>
  <si>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</si>
  <si>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</si>
  <si>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</si>
  <si>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</si>
  <si>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</si>
  <si>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</si>
  <si>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</si>
  <si>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</si>
  <si>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</si>
  <si>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</si>
  <si>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</si>
  <si>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</si>
  <si>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</si>
  <si>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</si>
  <si>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</si>
  <si>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</si>
  <si>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</si>
  <si>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</si>
  <si>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</si>
  <si>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</si>
  <si>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</si>
  <si>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</si>
  <si>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</si>
  <si>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</si>
  <si>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</si>
  <si>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</si>
  <si>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</si>
  <si>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</si>
  <si>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</si>
  <si>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</si>
  <si>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</si>
  <si>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</si>
  <si>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</si>
  <si>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</si>
  <si>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</si>
  <si>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</si>
  <si>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</si>
  <si>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</si>
  <si>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</si>
  <si>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</si>
  <si>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</si>
  <si>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</si>
  <si>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</si>
  <si>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</si>
  <si>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</si>
  <si>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</si>
  <si>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</si>
  <si>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</si>
  <si>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</si>
  <si>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</si>
  <si>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</si>
  <si>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</si>
  <si>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</si>
  <si>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</si>
  <si>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</si>
  <si>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</si>
  <si>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</si>
  <si>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</si>
  <si>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</si>
  <si>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</si>
  <si>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</si>
  <si>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</si>
  <si>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</si>
  <si>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</si>
  <si>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</si>
  <si>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</si>
  <si>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</si>
  <si>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</si>
  <si>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</si>
  <si>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</si>
  <si>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</si>
  <si>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</si>
  <si>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</si>
  <si>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</si>
  <si>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</si>
  <si>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</si>
  <si>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</si>
  <si>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</si>
  <si>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</si>
  <si>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</si>
  <si>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</si>
  <si>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</si>
  <si>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</si>
  <si>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</si>
  <si>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</si>
  <si>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</si>
  <si>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</si>
  <si>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</si>
  <si>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</si>
  <si>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</si>
  <si>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</si>
  <si>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</si>
  <si>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</si>
  <si>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</si>
  <si>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</si>
  <si>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</si>
  <si>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</si>
  <si>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</si>
  <si>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</si>
  <si>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</si>
  <si>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</si>
  <si>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</si>
  <si>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</si>
  <si>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</si>
  <si>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</si>
  <si>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</si>
  <si>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</si>
  <si>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</si>
  <si>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</si>
  <si>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</si>
  <si>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</si>
  <si>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</si>
  <si>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</si>
  <si>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</si>
  <si>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</si>
  <si>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</si>
  <si>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</si>
  <si>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</si>
  <si>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</si>
  <si>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</si>
  <si>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</si>
  <si>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</si>
  <si>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</si>
  <si>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</si>
  <si>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</si>
  <si>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</si>
  <si>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</si>
  <si>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</si>
  <si>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</si>
  <si>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</si>
  <si>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</si>
  <si>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</si>
  <si>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</si>
  <si>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</si>
  <si>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</si>
  <si>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</si>
  <si>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</si>
  <si>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</si>
  <si>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</si>
  <si>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</si>
  <si>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</si>
  <si>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</si>
  <si>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</si>
  <si>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</si>
  <si>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</si>
  <si>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</si>
  <si>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</si>
  <si>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</si>
  <si>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</si>
  <si>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</si>
  <si>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</si>
  <si>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</si>
  <si>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</si>
  <si>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</si>
  <si>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</si>
  <si>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</si>
  <si>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</si>
  <si>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</si>
  <si>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</si>
  <si>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</si>
  <si>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</si>
  <si>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</si>
  <si>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</si>
  <si>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</si>
  <si>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</si>
  <si>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</si>
  <si>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</si>
  <si>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</si>
  <si>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</si>
  <si>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</si>
  <si>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</si>
  <si>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</si>
  <si>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</si>
  <si>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</si>
  <si>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</si>
  <si>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</si>
  <si>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</si>
  <si>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</si>
  <si>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</si>
  <si>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</si>
  <si>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</si>
  <si>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</si>
  <si>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</si>
  <si>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</si>
  <si>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</si>
  <si>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</si>
  <si>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</si>
  <si>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</si>
  <si>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</si>
  <si>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</si>
  <si>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</si>
  <si>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</si>
  <si>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</si>
  <si>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</si>
  <si>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</si>
  <si>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</si>
  <si>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</si>
  <si>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</si>
  <si>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</si>
  <si>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</si>
  <si>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</si>
  <si>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</si>
  <si>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</si>
  <si>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</si>
  <si>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</si>
  <si>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</si>
  <si>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</si>
  <si>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</si>
  <si>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</si>
  <si>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</si>
  <si>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</si>
  <si>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</si>
  <si>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</si>
  <si>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</si>
  <si>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</si>
  <si>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</si>
  <si>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</si>
  <si>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</si>
  <si>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</si>
  <si>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</si>
  <si>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</si>
  <si>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</si>
  <si>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</si>
  <si>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</si>
  <si>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</si>
  <si>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</si>
  <si>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</si>
  <si>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</si>
  <si>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</si>
  <si>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</si>
  <si>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</si>
  <si>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</si>
  <si>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</si>
  <si>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</si>
  <si>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</si>
  <si>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</si>
  <si>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</si>
  <si>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</si>
  <si>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</si>
  <si>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</si>
  <si>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</si>
  <si>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</si>
  <si>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</si>
  <si>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</si>
  <si>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</si>
  <si>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</si>
  <si>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</si>
  <si>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</si>
  <si>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</si>
  <si>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</si>
  <si>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</si>
  <si>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</si>
  <si>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</si>
  <si>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</si>
  <si>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</si>
  <si>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</si>
  <si>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</si>
  <si>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</si>
  <si>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</si>
  <si>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</si>
  <si>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</si>
  <si>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</si>
  <si>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</si>
  <si>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</si>
  <si>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</si>
  <si>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</si>
  <si>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</si>
  <si>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</si>
  <si>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</si>
  <si>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</si>
  <si>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</si>
  <si>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</si>
  <si>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</si>
  <si>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</si>
  <si>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</si>
  <si>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</si>
  <si>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</si>
  <si>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</si>
  <si>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</si>
  <si>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</si>
  <si>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</si>
  <si>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</si>
  <si>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</si>
  <si>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</si>
  <si>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</si>
  <si>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</si>
  <si>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</si>
  <si>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</si>
  <si>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</si>
  <si>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</si>
  <si>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</si>
  <si>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</si>
  <si>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</si>
  <si>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</si>
  <si>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</si>
  <si>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</si>
  <si>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</si>
  <si>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</si>
  <si>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</si>
  <si>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</si>
  <si>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</si>
  <si>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</si>
  <si>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</si>
  <si>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</si>
  <si>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</si>
  <si>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</si>
  <si>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</si>
  <si>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</si>
  <si>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</si>
  <si>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</si>
  <si>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</si>
  <si>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</si>
  <si>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</si>
  <si>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</si>
  <si>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</si>
  <si>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</si>
  <si>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</si>
  <si>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</si>
  <si>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</si>
  <si>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</si>
  <si>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</si>
  <si>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</si>
  <si>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</si>
  <si>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</si>
  <si>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</si>
  <si>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</si>
  <si>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</si>
  <si>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</si>
  <si>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</si>
  <si>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</si>
  <si>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</si>
  <si>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</si>
  <si>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</si>
  <si>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</si>
  <si>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</si>
  <si>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</si>
  <si>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</si>
  <si>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</si>
  <si>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</si>
  <si>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</si>
  <si>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</si>
  <si>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</si>
  <si>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</si>
  <si>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</si>
  <si>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</si>
  <si>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</si>
  <si>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</si>
  <si>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</si>
  <si>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</si>
  <si>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</si>
  <si>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</si>
  <si>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</si>
  <si>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</si>
  <si>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</si>
  <si>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</si>
  <si>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</si>
  <si>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</si>
  <si>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</si>
  <si>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</si>
  <si>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</si>
  <si>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</si>
  <si>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</si>
  <si>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</si>
  <si>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</si>
  <si>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</si>
  <si>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</si>
  <si>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</si>
  <si>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</si>
  <si>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</si>
  <si>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</si>
  <si>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</si>
  <si>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</si>
  <si>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</si>
  <si>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</si>
  <si>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</si>
  <si>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</si>
  <si>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</si>
  <si>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</si>
  <si>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</si>
  <si>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</si>
  <si>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</si>
  <si>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</si>
  <si>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</si>
  <si>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</si>
  <si>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</si>
  <si>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</si>
  <si>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</si>
  <si>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</si>
  <si>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</si>
  <si>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</si>
  <si>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</si>
  <si>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</si>
  <si>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</si>
  <si>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</si>
  <si>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</si>
  <si>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</si>
  <si>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</si>
  <si>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</si>
  <si>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</si>
  <si>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</si>
  <si>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</si>
  <si>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</si>
  <si>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</si>
  <si>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</si>
  <si>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</si>
  <si>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</si>
  <si>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</si>
  <si>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</si>
  <si>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</si>
  <si>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</si>
  <si>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</si>
  <si>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</si>
  <si>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</si>
  <si>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</si>
  <si>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</si>
  <si>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</si>
  <si>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</si>
  <si>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</si>
  <si>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</si>
  <si>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</si>
  <si>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</si>
  <si>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</si>
  <si>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</si>
  <si>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</si>
  <si>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</si>
  <si>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</si>
  <si>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</si>
  <si>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</si>
  <si>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</si>
  <si>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</si>
  <si>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</si>
  <si>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</si>
  <si>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</si>
  <si>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</si>
  <si>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</si>
  <si>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</si>
  <si>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</si>
  <si>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</si>
  <si>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</si>
  <si>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</si>
  <si>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</si>
  <si>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</si>
  <si>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</si>
  <si>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</si>
  <si>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</si>
  <si>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</si>
  <si>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</si>
  <si>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</si>
  <si>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</si>
  <si>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</si>
  <si>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</si>
  <si>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</si>
  <si>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</si>
  <si>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</si>
  <si>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</si>
  <si>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</si>
  <si>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</si>
  <si>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</si>
  <si>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</si>
  <si>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</si>
  <si>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</si>
  <si>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</si>
  <si>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</si>
  <si>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</si>
  <si>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</si>
  <si>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</si>
  <si>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</si>
  <si>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</si>
  <si>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</si>
  <si>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</si>
  <si>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</si>
  <si>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</si>
  <si>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</si>
  <si>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</si>
  <si>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</si>
  <si>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</si>
  <si>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</si>
  <si>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</si>
  <si>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</si>
  <si>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</si>
  <si>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</si>
  <si>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</si>
  <si>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</si>
  <si>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</si>
  <si>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</si>
  <si>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</si>
  <si>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</si>
  <si>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</si>
  <si>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</si>
  <si>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</si>
  <si>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</si>
  <si>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</si>
  <si>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</si>
  <si>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</si>
  <si>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</si>
  <si>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</si>
  <si>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</si>
  <si>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</si>
  <si>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</si>
  <si>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</si>
  <si>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</si>
  <si>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</si>
  <si>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</si>
  <si>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</si>
  <si>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</si>
  <si>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</si>
  <si>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</si>
  <si>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</si>
  <si>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</si>
  <si>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</si>
  <si>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</si>
  <si>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</si>
  <si>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</si>
  <si>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</si>
  <si>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</si>
  <si>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</si>
  <si>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</si>
  <si>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</si>
  <si>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</si>
  <si>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</si>
  <si>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</si>
  <si>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</si>
  <si>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</si>
  <si>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</si>
  <si>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</si>
  <si>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</si>
  <si>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</si>
  <si>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</si>
  <si>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</si>
  <si>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</si>
  <si>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</si>
  <si>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</si>
  <si>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</si>
  <si>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</si>
  <si>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</si>
  <si>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</si>
  <si>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</si>
  <si>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</si>
  <si>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</si>
  <si>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</si>
  <si>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</si>
  <si>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</si>
  <si>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</si>
  <si>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</si>
  <si>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</si>
  <si>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</si>
  <si>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</si>
  <si>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</si>
  <si>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</si>
  <si>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</si>
  <si>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</si>
  <si>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</si>
  <si>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</si>
  <si>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</si>
  <si>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</si>
  <si>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</si>
  <si>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</si>
  <si>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</si>
  <si>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</si>
  <si>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</si>
  <si>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</si>
  <si>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</si>
  <si>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</si>
  <si>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</si>
  <si>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</si>
  <si>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</si>
  <si>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</si>
  <si>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</si>
  <si>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</si>
  <si>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</si>
  <si>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</si>
  <si>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</si>
  <si>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</si>
  <si>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</si>
  <si>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</si>
  <si>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</si>
  <si>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</si>
  <si>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</si>
  <si>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</si>
  <si>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</si>
  <si>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</si>
  <si>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</si>
  <si>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</si>
  <si>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</si>
  <si>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</si>
  <si>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</si>
  <si>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</si>
  <si>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</si>
  <si>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</si>
  <si>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</si>
  <si>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</si>
  <si>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</si>
  <si>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</si>
  <si>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</si>
  <si>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</si>
  <si>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</si>
  <si>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</si>
  <si>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</si>
  <si>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</si>
  <si>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</si>
  <si>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</si>
  <si>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</si>
  <si>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</si>
  <si>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</si>
  <si>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</si>
  <si>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</si>
  <si>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</si>
  <si>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</si>
  <si>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</si>
  <si>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</si>
  <si>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</si>
  <si>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</si>
  <si>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</si>
  <si>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</si>
  <si>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</si>
  <si>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</si>
  <si>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</si>
  <si>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</si>
  <si>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</si>
  <si>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</si>
  <si>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</si>
  <si>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</si>
  <si>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</si>
  <si>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</si>
  <si>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</si>
  <si>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</si>
  <si>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</si>
  <si>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</si>
  <si>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</si>
  <si>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</si>
  <si>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</si>
  <si>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</si>
  <si>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</si>
  <si>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</si>
  <si>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</si>
  <si>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</si>
  <si>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</si>
  <si>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</si>
  <si>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</si>
  <si>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</si>
  <si>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</si>
  <si>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</si>
  <si>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</si>
  <si>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</si>
  <si>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</si>
  <si>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</si>
  <si>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</si>
  <si>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</si>
  <si>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</si>
  <si>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</si>
  <si>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</si>
  <si>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</si>
  <si>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</si>
  <si>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</si>
  <si>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</si>
  <si>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</si>
  <si>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</si>
  <si>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</si>
  <si>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</si>
  <si>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</si>
  <si>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</si>
  <si>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</si>
  <si>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</si>
  <si>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</si>
  <si>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</si>
  <si>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</si>
  <si>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</si>
  <si>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</si>
  <si>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</si>
  <si>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</si>
  <si>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</si>
  <si>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</si>
  <si>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</si>
  <si>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</si>
  <si>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</si>
  <si>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</si>
  <si>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</si>
  <si>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</si>
  <si>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</si>
  <si>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</si>
  <si>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</si>
  <si>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</si>
  <si>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</si>
  <si>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</si>
  <si>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</si>
  <si>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</si>
  <si>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</si>
  <si>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</si>
  <si>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</si>
  <si>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</si>
  <si>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</si>
  <si>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</si>
  <si>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</si>
  <si>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</si>
  <si>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</si>
  <si>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</si>
  <si>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</si>
  <si>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</si>
  <si>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</si>
  <si>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</si>
  <si>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</si>
  <si>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</si>
  <si>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</si>
  <si>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</si>
  <si>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</si>
  <si>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</si>
  <si>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</si>
  <si>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</si>
  <si>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</si>
  <si>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</si>
  <si>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</si>
  <si>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</si>
  <si>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</si>
  <si>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</si>
  <si>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</si>
  <si>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</si>
  <si>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</si>
  <si>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</si>
  <si>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</si>
  <si>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</si>
  <si>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</si>
  <si>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</si>
  <si>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</si>
  <si>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</si>
  <si>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</si>
  <si>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</si>
  <si>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</si>
  <si>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</si>
  <si>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</si>
  <si>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</si>
  <si>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</si>
  <si>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</si>
  <si>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</si>
  <si>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</si>
  <si>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</si>
  <si>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</si>
  <si>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</si>
  <si>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</si>
  <si>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</si>
  <si>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</si>
  <si>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</si>
  <si>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</si>
  <si>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</si>
  <si>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</si>
  <si>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</si>
  <si>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</si>
  <si>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</si>
  <si>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</si>
  <si>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</si>
  <si>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</si>
  <si>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</si>
  <si>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</si>
  <si>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</si>
  <si>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</si>
  <si>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</si>
  <si>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</si>
  <si>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</si>
  <si>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</si>
  <si>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</si>
  <si>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</si>
  <si>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</si>
  <si>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</si>
  <si>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</si>
  <si>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</si>
  <si>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</si>
  <si>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</si>
  <si>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</si>
  <si>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</si>
  <si>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</si>
  <si>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</si>
  <si>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</si>
  <si>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</si>
  <si>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</si>
  <si>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</si>
  <si>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</si>
  <si>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</si>
  <si>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</si>
  <si>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</si>
  <si>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</si>
  <si>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</si>
  <si>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</si>
  <si>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</si>
  <si>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</si>
  <si>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</si>
  <si>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</si>
  <si>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</si>
  <si>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</si>
  <si>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</si>
  <si>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</si>
  <si>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</si>
  <si>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</si>
  <si>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</si>
  <si>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</si>
  <si>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</si>
  <si>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</si>
  <si>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</si>
  <si>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</si>
  <si>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</si>
  <si>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</si>
  <si>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</si>
  <si>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</si>
  <si>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</si>
  <si>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</si>
  <si>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</si>
  <si>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</si>
  <si>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</si>
  <si>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</si>
  <si>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</si>
  <si>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</si>
  <si>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</si>
  <si>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</si>
  <si>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</si>
  <si>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</si>
  <si>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</si>
  <si>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</si>
  <si>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</si>
  <si>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</si>
  <si>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</si>
  <si>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</si>
  <si>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</si>
  <si>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</si>
  <si>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</si>
  <si>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</si>
  <si>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</si>
  <si>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</si>
  <si>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</si>
  <si>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</si>
  <si>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</si>
  <si>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</si>
  <si>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</si>
  <si>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</si>
  <si>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</si>
  <si>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</si>
  <si>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</si>
  <si>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</si>
  <si>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</si>
  <si>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</si>
  <si>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</si>
  <si>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</si>
  <si>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</si>
  <si>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</si>
  <si>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</si>
  <si>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</si>
  <si>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</si>
  <si>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</si>
  <si>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</si>
  <si>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</si>
  <si>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</si>
  <si>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</si>
  <si>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</si>
  <si>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</si>
  <si>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</si>
  <si>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</si>
  <si>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</si>
  <si>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</si>
  <si>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</si>
  <si>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</si>
  <si>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</si>
  <si>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</si>
  <si>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</si>
  <si>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</si>
  <si>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</si>
  <si>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</si>
  <si>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</si>
  <si>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</si>
  <si>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</si>
  <si>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</si>
  <si>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</si>
  <si>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</si>
  <si>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</si>
  <si>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</si>
  <si>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</si>
  <si>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</si>
  <si>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</si>
  <si>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</si>
  <si>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</si>
  <si>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</si>
  <si>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</si>
  <si>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</si>
  <si>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</si>
  <si>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</si>
  <si>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</si>
  <si>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</si>
  <si>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</si>
  <si>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</si>
  <si>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</si>
  <si>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</si>
  <si>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</si>
  <si>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</si>
  <si>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</si>
  <si>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</si>
  <si>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</si>
  <si>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</si>
  <si>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</si>
  <si>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</si>
  <si>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</si>
  <si>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</si>
  <si>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</si>
  <si>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</si>
  <si>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</si>
  <si>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</si>
  <si>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</si>
  <si>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</si>
  <si>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</si>
  <si>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</si>
  <si>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</si>
  <si>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</si>
  <si>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</si>
  <si>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</si>
  <si>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</si>
  <si>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</si>
  <si>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</si>
  <si>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</si>
  <si>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</si>
  <si>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</si>
  <si>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</si>
  <si>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</si>
  <si>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</si>
  <si>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</si>
  <si>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</si>
  <si>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</si>
  <si>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</si>
  <si>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</si>
  <si>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</si>
  <si>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</si>
  <si>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</si>
  <si>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</si>
  <si>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</si>
  <si>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</si>
  <si>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</si>
  <si>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</si>
  <si>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</si>
  <si>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</si>
  <si>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</si>
  <si>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</si>
  <si>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</si>
  <si>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</si>
  <si>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</si>
  <si>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</si>
  <si>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</si>
  <si>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</si>
  <si>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</si>
  <si>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</si>
  <si>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</si>
  <si>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</si>
  <si>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</si>
  <si>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</si>
  <si>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</si>
  <si>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</si>
  <si>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</si>
  <si>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</si>
  <si>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</si>
  <si>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</si>
  <si>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</si>
  <si>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</si>
  <si>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</si>
  <si>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</si>
  <si>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</si>
  <si>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</si>
  <si>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</si>
  <si>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</si>
  <si>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</si>
  <si>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</si>
  <si>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</si>
  <si>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</si>
  <si>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</si>
  <si>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</si>
  <si>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</si>
  <si>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</si>
  <si>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</si>
  <si>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</si>
  <si>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</si>
  <si>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</si>
  <si>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</si>
  <si>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</si>
  <si>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</si>
  <si>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</si>
  <si>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</si>
  <si>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</si>
  <si>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</si>
  <si>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</si>
  <si>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</si>
  <si>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</si>
  <si>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</si>
  <si>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</si>
  <si>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</si>
  <si>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</si>
  <si>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</si>
  <si>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</si>
  <si>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</si>
  <si>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</si>
  <si>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</si>
  <si>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</si>
  <si>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</si>
  <si>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</si>
  <si>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</si>
  <si>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</si>
  <si>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</si>
  <si>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</si>
  <si>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</si>
  <si>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</si>
  <si>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</si>
  <si>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</si>
  <si>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</si>
  <si>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</si>
  <si>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</si>
  <si>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</si>
  <si>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</si>
  <si>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</si>
  <si>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</si>
  <si>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</si>
  <si>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</si>
  <si>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</si>
  <si>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</si>
  <si>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</si>
  <si>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</si>
  <si>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</si>
  <si>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</si>
  <si>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</si>
  <si>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</si>
  <si>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</si>
  <si>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</si>
  <si>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</si>
  <si>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</si>
  <si>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</si>
  <si>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</si>
  <si>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</si>
  <si>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</si>
  <si>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</si>
  <si>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</si>
  <si>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</si>
  <si>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</si>
  <si>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</si>
  <si>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</si>
  <si>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</si>
  <si>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</si>
  <si>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</si>
  <si>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</si>
  <si>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</si>
  <si>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</si>
  <si>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</si>
  <si>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</si>
  <si>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</si>
  <si>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</si>
  <si>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</si>
  <si>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</si>
  <si>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</si>
  <si>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</si>
  <si>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</si>
  <si>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</si>
  <si>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</si>
  <si>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</si>
  <si>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</si>
  <si>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</si>
  <si>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</si>
  <si>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</si>
  <si>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</si>
  <si>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</si>
  <si>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</si>
  <si>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</si>
  <si>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</si>
  <si>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</si>
  <si>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</si>
  <si>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</si>
  <si>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</si>
  <si>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</si>
  <si>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</si>
  <si>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</si>
  <si>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</si>
  <si>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</si>
  <si>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</si>
  <si>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</si>
  <si>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</si>
  <si>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</si>
  <si>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</si>
  <si>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</si>
  <si>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</si>
  <si>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</si>
  <si>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</si>
  <si>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</si>
  <si>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</si>
  <si>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</si>
  <si>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</si>
  <si>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</si>
  <si>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</si>
  <si>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</si>
  <si>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</si>
  <si>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</si>
  <si>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</si>
  <si>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</si>
  <si>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</si>
  <si>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</si>
  <si>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</si>
  <si>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</si>
  <si>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</si>
  <si>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</si>
  <si>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</si>
  <si>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</si>
  <si>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</si>
  <si>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</si>
  <si>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</si>
  <si>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</si>
  <si>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</si>
  <si>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</si>
  <si>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</si>
  <si>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</si>
  <si>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</si>
  <si>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</si>
  <si>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</si>
  <si>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</si>
  <si>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</si>
  <si>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</si>
  <si>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</si>
  <si>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</si>
  <si>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</si>
  <si>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</si>
  <si>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</si>
  <si>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</si>
  <si>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</si>
  <si>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</si>
  <si>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</si>
  <si>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</si>
  <si>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</si>
  <si>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</si>
  <si>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</si>
  <si>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</si>
  <si>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</si>
  <si>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</si>
  <si>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</si>
  <si>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</si>
  <si>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</si>
  <si>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</si>
  <si>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</si>
  <si>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</si>
  <si>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</si>
  <si>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</si>
  <si>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</si>
  <si>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</si>
  <si>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</si>
  <si>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</si>
  <si>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</si>
  <si>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</si>
  <si>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</si>
  <si>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</si>
  <si>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</si>
  <si>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</si>
  <si>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</si>
  <si>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</si>
  <si>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</si>
  <si>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</si>
  <si>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</si>
  <si>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</si>
  <si>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</si>
  <si>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</si>
  <si>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</si>
  <si>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</si>
  <si>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</si>
  <si>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</si>
  <si>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</si>
  <si>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</si>
  <si>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</si>
  <si>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</si>
  <si>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</si>
  <si>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</si>
  <si>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</si>
  <si>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</si>
  <si>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</si>
  <si>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</si>
  <si>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</si>
  <si>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</si>
  <si>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</si>
  <si>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</si>
  <si>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</si>
  <si>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</si>
  <si>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</si>
  <si>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</si>
  <si>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</si>
  <si>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</si>
  <si>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</si>
  <si>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</si>
  <si>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</si>
  <si>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</si>
  <si>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</si>
  <si>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</si>
  <si>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</si>
  <si>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</si>
  <si>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</si>
  <si>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</si>
  <si>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</si>
  <si>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</si>
  <si>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</si>
  <si>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</si>
  <si>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</si>
  <si>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</si>
  <si>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</si>
  <si>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</si>
  <si>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</si>
  <si>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</si>
  <si>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</si>
  <si>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</si>
  <si>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</si>
  <si>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</si>
  <si>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</si>
  <si>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</si>
  <si>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</si>
  <si>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</si>
  <si>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</si>
  <si>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</si>
  <si>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</si>
  <si>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</si>
  <si>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</si>
  <si>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</si>
  <si>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</si>
  <si>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</si>
  <si>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</si>
  <si>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</si>
  <si>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</si>
  <si>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</si>
  <si>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</si>
  <si>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</si>
  <si>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</si>
  <si>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</si>
  <si>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</si>
  <si>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</si>
  <si>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</si>
  <si>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</si>
  <si>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</si>
  <si>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</si>
  <si>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</si>
  <si>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</si>
  <si>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</si>
  <si>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</si>
  <si>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</si>
  <si>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</si>
  <si>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</si>
  <si>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</si>
  <si>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</si>
  <si>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</si>
  <si>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</si>
  <si>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</si>
  <si>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</si>
  <si>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</si>
  <si>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</si>
  <si>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</si>
  <si>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</si>
  <si>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</si>
  <si>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</si>
  <si>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</si>
  <si>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</si>
  <si>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</si>
  <si>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</si>
  <si>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</si>
  <si>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</si>
  <si>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</si>
  <si>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</si>
  <si>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</si>
  <si>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</si>
  <si>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</si>
  <si>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</si>
  <si>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</si>
  <si>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</si>
  <si>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</si>
  <si>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</si>
  <si>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</si>
  <si>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</si>
  <si>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</si>
  <si>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</si>
  <si>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</si>
  <si>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</si>
  <si>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</si>
  <si>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</si>
  <si>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</si>
  <si>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</si>
  <si>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</si>
  <si>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</si>
  <si>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</si>
  <si>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</si>
  <si>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</si>
  <si>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</si>
  <si>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</si>
  <si>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</si>
  <si>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</si>
  <si>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</si>
  <si>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</si>
  <si>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</si>
  <si>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</si>
  <si>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</si>
  <si>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</si>
  <si>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</si>
  <si>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</si>
  <si>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</si>
  <si>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</si>
  <si>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</si>
  <si>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</si>
  <si>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</si>
  <si>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</si>
  <si>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</si>
  <si>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</si>
  <si>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</si>
  <si>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</si>
  <si>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</si>
  <si>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</si>
  <si>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</si>
  <si>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</si>
  <si>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</si>
  <si>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</si>
  <si>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</si>
  <si>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</si>
  <si>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</si>
  <si>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</si>
  <si>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</si>
  <si>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</si>
  <si>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</si>
  <si>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</si>
  <si>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</si>
  <si>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</si>
  <si>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</si>
  <si>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</si>
  <si>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</si>
  <si>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</si>
  <si>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</si>
  <si>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</si>
  <si>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</si>
  <si>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</si>
  <si>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</si>
  <si>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</si>
  <si>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</si>
  <si>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</si>
  <si>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</si>
  <si>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</si>
  <si>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</si>
  <si>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</si>
  <si>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</si>
  <si>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</si>
  <si>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</si>
  <si>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</si>
  <si>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</si>
  <si>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</si>
  <si>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</si>
  <si>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</si>
  <si>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</si>
  <si>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</si>
  <si>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</si>
  <si>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</si>
  <si>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</si>
  <si>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</si>
  <si>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</si>
  <si>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</si>
  <si>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</si>
  <si>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</si>
  <si>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</si>
  <si>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</si>
  <si>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</si>
  <si>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</si>
  <si>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</si>
  <si>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</si>
  <si>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</si>
  <si>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</si>
  <si>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</si>
  <si>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</si>
  <si>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</si>
  <si>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</si>
  <si>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</si>
  <si>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</si>
  <si>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</si>
  <si>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</si>
  <si>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</si>
  <si>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</si>
  <si>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</si>
  <si>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</si>
  <si>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</si>
  <si>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</si>
  <si>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</si>
  <si>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</si>
  <si>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</si>
  <si>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</si>
  <si>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</si>
  <si>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</si>
  <si>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</si>
  <si>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</si>
  <si>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</si>
  <si>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</si>
  <si>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</si>
  <si>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</si>
  <si>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</si>
  <si>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</si>
  <si>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</si>
  <si>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</si>
  <si>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</si>
  <si>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</si>
  <si>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</si>
  <si>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</si>
  <si>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</si>
  <si>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</si>
  <si>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</si>
  <si>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</si>
  <si>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</si>
  <si>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</si>
  <si>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</si>
  <si>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</si>
  <si>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</si>
  <si>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</si>
  <si>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</si>
  <si>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</si>
  <si>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</si>
  <si>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</si>
  <si>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</si>
  <si>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</si>
  <si>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</si>
  <si>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</si>
  <si>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</si>
  <si>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</si>
  <si>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</si>
  <si>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</si>
  <si>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</si>
  <si>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</si>
  <si>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</si>
  <si>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</si>
  <si>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</si>
  <si>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</si>
  <si>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</si>
  <si>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</si>
  <si>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</si>
  <si>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</si>
  <si>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</si>
  <si>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</si>
  <si>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</si>
  <si>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</si>
  <si>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</si>
  <si>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</si>
  <si>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</si>
  <si>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</si>
  <si>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</si>
  <si>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</si>
  <si>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</si>
  <si>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</si>
  <si>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</si>
  <si>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</si>
  <si>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</si>
  <si>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</si>
  <si>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</si>
  <si>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</si>
  <si>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</si>
  <si>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</si>
  <si>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</si>
  <si>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</si>
  <si>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</si>
  <si>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</si>
  <si>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</si>
  <si>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</si>
  <si>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</si>
  <si>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</si>
  <si>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</si>
  <si>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</si>
  <si>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</si>
  <si>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</si>
  <si>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</si>
  <si>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</si>
  <si>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</si>
  <si>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</si>
  <si>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</si>
  <si>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</si>
  <si>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</si>
  <si>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</si>
  <si>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</si>
  <si>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</si>
  <si>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</si>
  <si>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</si>
  <si>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</si>
  <si>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</si>
  <si>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</si>
  <si>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</si>
  <si>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</si>
  <si>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</si>
  <si>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</si>
  <si>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</si>
  <si>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</si>
  <si>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</si>
  <si>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</si>
  <si>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</si>
  <si>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</si>
  <si>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</si>
  <si>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</si>
  <si>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</si>
  <si>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</si>
  <si>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</si>
  <si>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</si>
  <si>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</si>
  <si>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</si>
  <si>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</si>
  <si>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</si>
  <si>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</si>
  <si>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</si>
  <si>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</si>
  <si>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</si>
  <si>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</si>
  <si>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</si>
  <si>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</si>
  <si>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</si>
  <si>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</si>
  <si>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</si>
  <si>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</si>
  <si>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</si>
  <si>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</si>
  <si>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</si>
  <si>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</si>
  <si>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</si>
  <si>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</si>
  <si>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</si>
  <si>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</si>
  <si>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</si>
  <si>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</si>
  <si>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</si>
  <si>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</si>
  <si>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</si>
  <si>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</si>
  <si>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</si>
  <si>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</si>
  <si>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</si>
  <si>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</si>
  <si>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</si>
  <si>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</si>
  <si>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</si>
  <si>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</si>
  <si>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</si>
  <si>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</si>
  <si>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</si>
  <si>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</si>
  <si>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</si>
  <si>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</si>
  <si>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</si>
  <si>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</si>
  <si>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</si>
  <si>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</si>
  <si>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</si>
  <si>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</si>
  <si>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</si>
  <si>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</si>
  <si>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</si>
  <si>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</si>
  <si>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</si>
  <si>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</si>
  <si>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</si>
  <si>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</si>
  <si>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</si>
  <si>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</si>
  <si>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</si>
  <si>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</si>
  <si>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</si>
  <si>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</si>
  <si>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</si>
  <si>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</si>
  <si>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</si>
  <si>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</si>
  <si>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</si>
  <si>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</si>
  <si>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</si>
  <si>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</si>
  <si>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</si>
  <si>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</si>
  <si>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</si>
  <si>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</si>
  <si>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</si>
  <si>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</si>
  <si>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</si>
  <si>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</si>
  <si>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</si>
  <si>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</si>
  <si>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</si>
  <si>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</si>
  <si>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</si>
  <si>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</si>
  <si>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</si>
  <si>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</si>
  <si>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</si>
  <si>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</si>
  <si>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</si>
  <si>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</si>
  <si>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</si>
  <si>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</si>
  <si>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</si>
  <si>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</si>
  <si>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</si>
  <si>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</si>
  <si>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</si>
  <si>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</si>
  <si>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</si>
  <si>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</si>
  <si>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</si>
  <si>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</si>
  <si>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</si>
  <si>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</si>
  <si>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</si>
  <si>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</si>
  <si>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</si>
  <si>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</si>
  <si>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</si>
  <si>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</si>
  <si>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</si>
  <si>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</si>
  <si>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</si>
  <si>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</si>
  <si>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</si>
  <si>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</si>
  <si>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</si>
  <si>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</si>
  <si>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</si>
  <si>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</si>
  <si>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</si>
  <si>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</si>
  <si>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</si>
  <si>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</si>
  <si>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</si>
  <si>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</si>
  <si>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</si>
  <si>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</si>
  <si>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</si>
  <si>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</si>
  <si>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</si>
  <si>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</si>
  <si>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</si>
  <si>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</si>
  <si>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</si>
  <si>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</si>
  <si>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</si>
  <si>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</si>
  <si>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</si>
  <si>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</si>
  <si>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</si>
  <si>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</si>
  <si>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</si>
  <si>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</si>
  <si>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</si>
  <si>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</si>
  <si>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</si>
  <si>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</si>
  <si>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</si>
  <si>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</si>
  <si>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</si>
  <si>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</si>
  <si>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</si>
  <si>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</si>
  <si>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</si>
  <si>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</si>
  <si>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</si>
  <si>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</si>
  <si>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</si>
  <si>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</si>
  <si>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</si>
  <si>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</si>
  <si>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</si>
  <si>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</si>
  <si>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</si>
  <si>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</si>
  <si>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</si>
  <si>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</si>
  <si>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</si>
  <si>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</si>
  <si>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</si>
  <si>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</si>
  <si>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</si>
  <si>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</si>
  <si>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</si>
  <si>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</si>
  <si>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</si>
  <si>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</si>
  <si>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</si>
  <si>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</si>
  <si>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</si>
  <si>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</si>
  <si>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</si>
  <si>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</si>
  <si>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</si>
  <si>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</si>
  <si>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</si>
  <si>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</si>
  <si>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</si>
  <si>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</si>
  <si>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</si>
  <si>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</si>
  <si>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</si>
  <si>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</si>
  <si>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</si>
  <si>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</si>
  <si>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</si>
  <si>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</si>
  <si>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</si>
  <si>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</si>
  <si>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</si>
  <si>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</si>
  <si>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</si>
  <si>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</si>
  <si>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</si>
  <si>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</si>
  <si>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</si>
  <si>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</si>
  <si>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</si>
  <si>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</si>
  <si>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</si>
  <si>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</si>
  <si>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</si>
  <si>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</si>
  <si>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</si>
  <si>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</si>
  <si>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</si>
  <si>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</si>
  <si>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</si>
  <si>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</si>
  <si>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</si>
  <si>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</si>
  <si>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</si>
  <si>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</si>
  <si>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</si>
  <si>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</si>
  <si>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</si>
  <si>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</si>
  <si>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</si>
  <si>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</si>
  <si>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</si>
  <si>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</si>
  <si>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</si>
  <si>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</si>
  <si>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</si>
  <si>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</si>
  <si>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</si>
  <si>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</si>
  <si>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</si>
  <si>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</si>
  <si>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</si>
  <si>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</si>
  <si>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</si>
  <si>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</si>
  <si>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</si>
  <si>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</si>
  <si>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</si>
  <si>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</si>
  <si>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</si>
  <si>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</si>
  <si>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</si>
  <si>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</si>
  <si>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</si>
  <si>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</si>
  <si>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</si>
  <si>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</si>
  <si>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</si>
  <si>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</si>
  <si>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</si>
  <si>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</si>
  <si>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</si>
  <si>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</si>
  <si>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</si>
  <si>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</si>
  <si>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</si>
  <si>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</si>
  <si>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</si>
  <si>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</si>
  <si>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</si>
  <si>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</si>
  <si>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</si>
  <si>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</si>
  <si>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</si>
  <si>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</si>
  <si>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</si>
  <si>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</si>
  <si>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</si>
  <si>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</si>
  <si>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</si>
  <si>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</si>
  <si>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</si>
  <si>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</si>
  <si>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</si>
  <si>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</si>
  <si>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</si>
  <si>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</si>
  <si>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</si>
  <si>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</si>
  <si>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</si>
  <si>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</si>
  <si>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</si>
  <si>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</si>
  <si>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</si>
  <si>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</si>
  <si>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</si>
  <si>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</si>
  <si>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</si>
  <si>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</si>
  <si>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</si>
  <si>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</si>
  <si>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</si>
  <si>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</si>
  <si>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</si>
  <si>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</si>
  <si>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</si>
  <si>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</si>
  <si>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</si>
  <si>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</si>
  <si>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</si>
  <si>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</si>
  <si>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</si>
  <si>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</si>
  <si>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</si>
  <si>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</si>
  <si>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</si>
  <si>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</si>
  <si>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</si>
  <si>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</si>
  <si>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</si>
  <si>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</si>
  <si>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</si>
  <si>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</si>
  <si>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</si>
  <si>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</si>
  <si>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</si>
  <si>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</si>
  <si>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</si>
  <si>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</si>
  <si>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</si>
  <si>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</si>
  <si>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</si>
  <si>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</si>
  <si>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</si>
  <si>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</si>
  <si>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</si>
  <si>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</si>
  <si>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</si>
  <si>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</si>
  <si>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</si>
  <si>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</si>
  <si>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</si>
  <si>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</si>
  <si>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</si>
  <si>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</si>
  <si>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</si>
  <si>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</si>
  <si>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</si>
  <si>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</si>
  <si>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</si>
  <si>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</si>
  <si>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</si>
  <si>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</si>
  <si>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</si>
  <si>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</si>
  <si>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</si>
  <si>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</si>
  <si>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</si>
  <si>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</si>
  <si>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</si>
  <si>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</si>
  <si>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</si>
  <si>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</si>
  <si>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</si>
  <si>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</si>
  <si>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</si>
  <si>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</si>
  <si>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</si>
  <si>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</si>
  <si>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</si>
  <si>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</si>
  <si>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</si>
  <si>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</si>
  <si>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</si>
  <si>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</si>
  <si>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</si>
  <si>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</si>
  <si>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</si>
  <si>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</si>
  <si>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</si>
  <si>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</si>
  <si>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</si>
  <si>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</si>
  <si>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</si>
  <si>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</si>
  <si>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</si>
  <si>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</si>
  <si>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</si>
  <si>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</si>
  <si>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</si>
  <si>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</si>
  <si>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</si>
  <si>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</si>
  <si>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</si>
  <si>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</si>
  <si>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</si>
  <si>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</si>
  <si>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</si>
  <si>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</si>
  <si>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</si>
  <si>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</si>
  <si>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</si>
  <si>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</si>
  <si>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</si>
  <si>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</si>
  <si>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</si>
  <si>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</si>
  <si>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</si>
  <si>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</si>
  <si>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</si>
  <si>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</si>
  <si>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</si>
  <si>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</si>
  <si>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</si>
  <si>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</si>
  <si>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</si>
  <si>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</si>
  <si>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</si>
  <si>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</si>
  <si>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</si>
  <si>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</si>
  <si>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</si>
  <si>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</si>
  <si>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</si>
  <si>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</si>
  <si>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</si>
  <si>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</si>
  <si>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</si>
  <si>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</si>
  <si>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</si>
  <si>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</si>
  <si>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</si>
  <si>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</si>
  <si>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</si>
  <si>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</si>
  <si>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</si>
  <si>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</si>
  <si>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</si>
  <si>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</si>
  <si>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</si>
  <si>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</si>
  <si>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</si>
  <si>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</si>
  <si>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</si>
  <si>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</si>
  <si>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</si>
  <si>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</si>
  <si>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</si>
  <si>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</si>
  <si>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</si>
  <si>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</si>
  <si>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</si>
  <si>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</si>
  <si>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</si>
  <si>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</si>
  <si>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</si>
  <si>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</si>
  <si>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</si>
  <si>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</si>
  <si>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</si>
  <si>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</si>
  <si>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</si>
  <si>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</si>
  <si>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</si>
  <si>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</si>
  <si>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</si>
  <si>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</si>
  <si>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</si>
  <si>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</si>
  <si>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</si>
  <si>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</si>
  <si>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</si>
  <si>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</si>
  <si>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</si>
  <si>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</si>
  <si>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</si>
  <si>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</si>
  <si>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</si>
  <si>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</si>
  <si>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</si>
  <si>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</si>
  <si>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</si>
  <si>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</si>
  <si>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</si>
  <si>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</si>
  <si>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</si>
  <si>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</si>
  <si>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</si>
  <si>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</si>
  <si>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</si>
  <si>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</si>
  <si>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</si>
  <si>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</si>
  <si>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</si>
  <si>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</si>
  <si>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</si>
  <si>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</si>
  <si>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</si>
  <si>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</si>
  <si>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</si>
  <si>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</si>
  <si>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</si>
  <si>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</si>
  <si>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</si>
  <si>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</si>
  <si>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</si>
  <si>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</si>
  <si>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</si>
  <si>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</si>
  <si>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</si>
  <si>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</si>
  <si>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</si>
  <si>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</si>
  <si>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</si>
  <si>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</si>
  <si>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</si>
  <si>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</si>
  <si>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</si>
  <si>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</si>
  <si>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</si>
  <si>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</si>
  <si>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</si>
  <si>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</si>
  <si>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</si>
  <si>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</si>
  <si>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</si>
  <si>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</si>
  <si>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</si>
  <si>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</si>
  <si>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</si>
  <si>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</si>
  <si>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</si>
  <si>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</si>
  <si>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</si>
  <si>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</si>
  <si>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</si>
  <si>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</si>
  <si>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</si>
  <si>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</si>
  <si>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</si>
  <si>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</si>
  <si>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</si>
  <si>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</si>
  <si>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</si>
  <si>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</si>
  <si>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</si>
  <si>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</si>
  <si>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</si>
  <si>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</si>
  <si>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</si>
  <si>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</si>
  <si>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</si>
  <si>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</si>
  <si>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</si>
  <si>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</si>
  <si>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</si>
  <si>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</si>
  <si>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</si>
  <si>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</si>
  <si>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</si>
  <si>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</si>
  <si>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</si>
  <si>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</si>
  <si>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</si>
  <si>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</si>
  <si>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</si>
  <si>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</si>
  <si>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</si>
  <si>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</si>
  <si>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</si>
  <si>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</si>
  <si>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</si>
  <si>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</si>
  <si>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</si>
  <si>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</si>
  <si>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</si>
  <si>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</si>
  <si>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</si>
  <si>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</si>
  <si>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</si>
  <si>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</si>
  <si>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</si>
  <si>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</si>
  <si>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</si>
  <si>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</si>
  <si>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</si>
  <si>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</si>
  <si>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</si>
  <si>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</si>
  <si>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</si>
  <si>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</si>
  <si>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</si>
  <si>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</si>
  <si>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</si>
  <si>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</si>
  <si>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</si>
  <si>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</si>
  <si>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</si>
  <si>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</si>
  <si>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</si>
  <si>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</si>
  <si>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</si>
  <si>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</si>
  <si>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</si>
  <si>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</si>
  <si>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</si>
  <si>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</si>
  <si>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</si>
  <si>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</si>
  <si>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</si>
  <si>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</si>
  <si>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</si>
  <si>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</si>
  <si>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</si>
  <si>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</si>
  <si>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</si>
  <si>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</si>
  <si>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</si>
  <si>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</si>
  <si>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</si>
  <si>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</si>
  <si>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</si>
  <si>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</si>
  <si>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</si>
  <si>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</si>
  <si>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</si>
  <si>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</si>
  <si>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</si>
  <si>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</si>
  <si>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</si>
  <si>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</si>
  <si>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</si>
  <si>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</si>
  <si>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</si>
  <si>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</si>
  <si>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</si>
  <si>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</si>
  <si>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</si>
  <si>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</si>
  <si>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</si>
  <si>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</si>
  <si>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</si>
  <si>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</si>
  <si>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</si>
  <si>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</si>
  <si>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</si>
  <si>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</si>
  <si>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</si>
  <si>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</si>
  <si>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</si>
  <si>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</si>
  <si>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</si>
  <si>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</si>
  <si>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</si>
  <si>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</si>
  <si>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</si>
  <si>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</si>
  <si>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</si>
  <si>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</si>
  <si>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</si>
  <si>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</si>
  <si>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</si>
  <si>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</si>
  <si>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</si>
  <si>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</si>
  <si>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</si>
  <si>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</si>
  <si>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</si>
  <si>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</si>
  <si>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</si>
  <si>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</si>
  <si>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</si>
  <si>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</si>
  <si>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</si>
  <si>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</si>
  <si>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</si>
  <si>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</si>
  <si>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</si>
  <si>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</si>
  <si>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</si>
  <si>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</si>
  <si>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</si>
  <si>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</si>
  <si>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</si>
  <si>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</si>
  <si>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</si>
  <si>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</si>
  <si>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</si>
  <si>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</si>
  <si>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</si>
  <si>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</si>
  <si>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</si>
  <si>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</si>
  <si>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</si>
  <si>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</si>
  <si>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</si>
  <si>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</si>
  <si>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</si>
  <si>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</si>
  <si>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</si>
  <si>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</si>
  <si>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</si>
  <si>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</si>
  <si>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</si>
  <si>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</si>
  <si>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</si>
  <si>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</si>
  <si>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</si>
  <si>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</si>
  <si>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</si>
  <si>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</si>
  <si>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</si>
  <si>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</si>
  <si>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</si>
  <si>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</si>
  <si>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</si>
  <si>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</si>
  <si>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</si>
  <si>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</si>
  <si>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</si>
  <si>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</si>
  <si>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</si>
  <si>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</si>
  <si>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</si>
  <si>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</si>
  <si>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</si>
  <si>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</si>
  <si>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</si>
  <si>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</si>
  <si>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</si>
  <si>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</si>
  <si>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</si>
  <si>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</si>
  <si>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</si>
  <si>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</si>
  <si>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</si>
  <si>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</si>
  <si>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</si>
  <si>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</si>
  <si>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</si>
  <si>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</si>
  <si>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</si>
  <si>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</si>
  <si>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</si>
  <si>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</si>
  <si>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</si>
  <si>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</si>
  <si>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</si>
  <si>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</si>
  <si>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</si>
  <si>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</si>
  <si>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</si>
  <si>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</si>
  <si>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</si>
  <si>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</si>
  <si>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</si>
  <si>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</si>
  <si>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</si>
  <si>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</si>
  <si>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</si>
  <si>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</si>
  <si>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</si>
  <si>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</si>
  <si>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</si>
  <si>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</si>
  <si>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</si>
  <si>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</si>
  <si>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</si>
  <si>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</si>
  <si>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</si>
  <si>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</si>
  <si>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</si>
  <si>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</si>
  <si>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</si>
  <si>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</si>
  <si>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</si>
  <si>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</si>
  <si>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</si>
  <si>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</si>
  <si>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</si>
  <si>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</si>
  <si>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</si>
  <si>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</si>
  <si>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</si>
  <si>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</si>
  <si>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</si>
  <si>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</si>
  <si>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</si>
  <si>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</si>
  <si>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</si>
  <si>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</si>
  <si>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</si>
  <si>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</si>
  <si>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</si>
  <si>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</si>
  <si>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</si>
  <si>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</si>
  <si>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</si>
  <si>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</si>
  <si>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</si>
  <si>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</si>
  <si>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</si>
  <si>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</si>
  <si>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</si>
  <si>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</si>
  <si>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</si>
  <si>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</si>
  <si>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</si>
  <si>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</si>
  <si>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</si>
  <si>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</si>
  <si>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</si>
  <si>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</si>
  <si>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</si>
  <si>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</si>
  <si>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</si>
  <si>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</si>
  <si>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</si>
  <si>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</si>
  <si>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</si>
  <si>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</si>
  <si>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</si>
  <si>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</si>
  <si>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</si>
  <si>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</si>
  <si>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</si>
  <si>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</si>
  <si>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</si>
  <si>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</si>
  <si>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</si>
  <si>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</si>
  <si>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</si>
  <si>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</si>
  <si>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</si>
  <si>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</si>
  <si>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</si>
  <si>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</si>
  <si>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</si>
  <si>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</si>
  <si>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</si>
  <si>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</si>
  <si>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</si>
  <si>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</si>
  <si>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</si>
  <si>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</si>
  <si>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</si>
  <si>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</si>
  <si>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</si>
  <si>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</si>
  <si>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</si>
  <si>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</si>
  <si>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</si>
  <si>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</si>
  <si>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</si>
  <si>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</si>
  <si>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</si>
  <si>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</si>
  <si>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</si>
  <si>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</si>
  <si>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</si>
  <si>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</si>
  <si>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</si>
  <si>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</si>
  <si>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</si>
  <si>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</si>
  <si>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</si>
  <si>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</si>
  <si>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</si>
  <si>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</si>
  <si>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</si>
  <si>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</si>
  <si>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</si>
  <si>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</si>
  <si>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</si>
  <si>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</si>
  <si>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</si>
  <si>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</si>
  <si>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</si>
  <si>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</si>
  <si>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</si>
  <si>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</si>
  <si>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</si>
  <si>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</si>
  <si>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</si>
  <si>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</si>
  <si>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</si>
  <si>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</si>
  <si>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</si>
  <si>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</si>
  <si>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</si>
  <si>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</si>
  <si>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</si>
  <si>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</si>
  <si>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</si>
  <si>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</si>
  <si>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</si>
  <si>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</si>
  <si>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</si>
  <si>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</si>
  <si>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</si>
  <si>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</si>
  <si>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</si>
  <si>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</si>
  <si>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</si>
  <si>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</si>
  <si>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</si>
  <si>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</si>
  <si>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</si>
  <si>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</si>
  <si>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</si>
  <si>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</si>
  <si>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</si>
  <si>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</si>
  <si>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</si>
  <si>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</si>
  <si>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</si>
  <si>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</si>
  <si>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</si>
  <si>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</si>
  <si>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</si>
  <si>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</si>
  <si>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</si>
  <si>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</si>
  <si>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</si>
  <si>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</si>
  <si>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</si>
  <si>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</si>
  <si>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</si>
  <si>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</si>
  <si>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</si>
  <si>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</si>
  <si>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</si>
  <si>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</si>
  <si>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</si>
  <si>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</si>
  <si>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</si>
  <si>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</si>
  <si>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</si>
  <si>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</si>
  <si>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</si>
  <si>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</si>
  <si>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</si>
  <si>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</si>
  <si>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</si>
  <si>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</si>
  <si>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</si>
  <si>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</si>
  <si>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</si>
  <si>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</si>
  <si>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</si>
  <si>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</si>
  <si>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</si>
  <si>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</si>
  <si>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</si>
  <si>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</si>
  <si>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</si>
  <si>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</si>
  <si>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</si>
  <si>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</si>
  <si>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</si>
  <si>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</si>
  <si>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</si>
  <si>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</si>
  <si>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</si>
  <si>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</si>
  <si>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</si>
  <si>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</si>
  <si>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</si>
  <si>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</si>
  <si>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</si>
  <si>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</si>
  <si>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</si>
  <si>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</si>
  <si>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</si>
  <si>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</si>
  <si>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</si>
  <si>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</si>
  <si>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</si>
  <si>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</si>
  <si>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</si>
  <si>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</si>
  <si>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</si>
  <si>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</si>
  <si>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</si>
  <si>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</si>
  <si>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</si>
  <si>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</si>
  <si>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</si>
  <si>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</si>
  <si>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</si>
  <si>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</si>
  <si>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</si>
  <si>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</si>
  <si>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</si>
  <si>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</si>
  <si>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</si>
  <si>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</si>
  <si>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</si>
  <si>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</si>
  <si>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</si>
  <si>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</si>
  <si>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</si>
  <si>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</si>
  <si>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</si>
  <si>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</si>
  <si>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</si>
  <si>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</si>
  <si>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</si>
  <si>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</si>
  <si>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</si>
  <si>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</si>
  <si>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</si>
  <si>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</si>
  <si>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</si>
  <si>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</si>
  <si>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</si>
  <si>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</si>
  <si>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</si>
  <si>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</si>
  <si>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</si>
  <si>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</si>
  <si>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</si>
  <si>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</si>
  <si>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</si>
  <si>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</si>
  <si>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</si>
  <si>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</si>
  <si>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</si>
  <si>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</si>
  <si>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</si>
  <si>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</si>
  <si>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</si>
  <si>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</si>
  <si>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</si>
  <si>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</si>
  <si>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</si>
  <si>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</si>
  <si>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</si>
  <si>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</si>
  <si>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</si>
  <si>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</si>
  <si>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</si>
  <si>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</si>
  <si>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</si>
  <si>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</si>
  <si>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</si>
  <si>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</si>
  <si>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</si>
  <si>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</si>
  <si>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</si>
  <si>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</si>
  <si>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</si>
  <si>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</si>
  <si>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</si>
  <si>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</si>
  <si>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</si>
  <si>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</si>
  <si>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</si>
  <si>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</si>
  <si>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</si>
  <si>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</si>
  <si>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</si>
  <si>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</si>
  <si>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</si>
  <si>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</si>
  <si>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</si>
  <si>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</si>
  <si>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</si>
  <si>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</si>
  <si>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</si>
  <si>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</si>
  <si>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</si>
  <si>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</si>
  <si>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</si>
  <si>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</si>
  <si>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</si>
  <si>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</si>
  <si>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</si>
  <si>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</si>
  <si>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</si>
  <si>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</si>
  <si>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</si>
  <si>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</si>
  <si>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</si>
  <si>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</si>
  <si>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</si>
  <si>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</si>
  <si>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</si>
  <si>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</si>
  <si>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</si>
  <si>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</si>
  <si>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</si>
  <si>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</si>
  <si>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</si>
  <si>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</si>
  <si>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</si>
  <si>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</si>
  <si>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</si>
  <si>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</si>
  <si>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</si>
  <si>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</si>
  <si>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</si>
  <si>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</si>
  <si>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</si>
  <si>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</si>
  <si>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</si>
  <si>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</si>
  <si>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</si>
  <si>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</si>
  <si>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</si>
  <si>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</si>
  <si>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</si>
  <si>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</si>
  <si>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</si>
  <si>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</si>
  <si>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</si>
  <si>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</si>
  <si>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</si>
  <si>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</si>
  <si>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</si>
  <si>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</si>
  <si>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</si>
  <si>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</si>
  <si>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</si>
  <si>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</si>
  <si>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</si>
  <si>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</si>
  <si>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</si>
  <si>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</si>
  <si>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</si>
  <si>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</si>
  <si>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</si>
  <si>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</si>
  <si>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</si>
  <si>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</si>
  <si>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</si>
  <si>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</si>
  <si>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</si>
  <si>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</si>
  <si>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</si>
  <si>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</si>
  <si>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</si>
  <si>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</si>
  <si>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</si>
  <si>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</si>
  <si>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</si>
  <si>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</si>
  <si>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</si>
  <si>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</si>
  <si>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</si>
  <si>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</si>
  <si>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</si>
  <si>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</si>
  <si>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</si>
  <si>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</si>
  <si>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</si>
  <si>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</si>
  <si>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</si>
  <si>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</si>
  <si>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</si>
  <si>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</si>
  <si>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</si>
  <si>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</si>
  <si>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</si>
  <si>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</si>
  <si>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</si>
  <si>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</si>
  <si>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</si>
  <si>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</si>
  <si>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</si>
  <si>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</si>
  <si>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</si>
  <si>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</si>
  <si>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</si>
  <si>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</si>
  <si>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</si>
  <si>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</si>
  <si>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</si>
  <si>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</si>
  <si>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</si>
  <si>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</si>
  <si>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</si>
  <si>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</si>
  <si>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</si>
  <si>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</si>
  <si>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</si>
  <si>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</si>
  <si>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</si>
  <si>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</si>
  <si>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</si>
  <si>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</si>
  <si>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</si>
  <si>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</si>
  <si>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</si>
  <si>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</si>
  <si>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</si>
  <si>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</si>
  <si>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</si>
  <si>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</si>
  <si>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</si>
  <si>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</si>
  <si>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</si>
  <si>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</si>
  <si>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</si>
  <si>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</si>
  <si>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</si>
  <si>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</si>
  <si>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</si>
  <si>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</si>
  <si>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</si>
  <si>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</si>
  <si>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</si>
  <si>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</si>
  <si>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</si>
  <si>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</si>
  <si>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</si>
  <si>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</si>
  <si>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</si>
  <si>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</si>
  <si>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</si>
  <si>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</si>
  <si>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</si>
  <si>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</si>
  <si>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</si>
  <si>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</si>
  <si>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</si>
  <si>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</si>
  <si>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</si>
  <si>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</si>
  <si>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</si>
  <si>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</si>
  <si>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</si>
  <si>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</si>
  <si>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</si>
  <si>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</si>
  <si>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</si>
  <si>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</si>
  <si>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</si>
  <si>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</si>
  <si>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</si>
  <si>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</si>
  <si>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</si>
  <si>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</si>
  <si>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</si>
  <si>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</si>
  <si>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</si>
  <si>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</si>
  <si>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</si>
  <si>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</si>
  <si>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</si>
  <si>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</si>
  <si>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</si>
  <si>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</si>
  <si>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</si>
  <si>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</si>
  <si>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</si>
  <si>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</si>
  <si>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</si>
  <si>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</si>
  <si>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</si>
  <si>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</si>
  <si>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</si>
  <si>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</si>
  <si>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</si>
  <si>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</si>
  <si>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</si>
  <si>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</si>
  <si>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</si>
  <si>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</si>
  <si>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</si>
  <si>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</si>
  <si>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</si>
  <si>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</si>
  <si>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</si>
  <si>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</si>
  <si>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</si>
  <si>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</si>
  <si>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</si>
  <si>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</si>
  <si>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</si>
  <si>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</si>
  <si>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</si>
  <si>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</si>
  <si>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</si>
  <si>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</si>
  <si>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</si>
  <si>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</si>
  <si>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</si>
  <si>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</si>
  <si>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</si>
  <si>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</si>
  <si>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</si>
  <si>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</si>
  <si>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</si>
  <si>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</si>
  <si>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</si>
  <si>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</si>
  <si>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</si>
  <si>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</si>
  <si>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</si>
  <si>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</si>
  <si>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</si>
  <si>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</si>
  <si>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</si>
  <si>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</si>
  <si>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</si>
  <si>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</si>
  <si>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</si>
  <si>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</si>
  <si>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</si>
  <si>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</si>
  <si>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</si>
  <si>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</si>
  <si>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</si>
  <si>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</si>
  <si>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</si>
  <si>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</si>
  <si>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</si>
  <si>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</si>
  <si>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</si>
  <si>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</si>
  <si>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</si>
  <si>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</si>
  <si>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</si>
  <si>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</si>
  <si>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</si>
  <si>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</si>
  <si>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</si>
  <si>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</si>
  <si>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</si>
  <si>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</si>
  <si>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</si>
  <si>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</si>
  <si>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</si>
  <si>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</si>
  <si>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</si>
  <si>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</si>
  <si>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</si>
  <si>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</si>
  <si>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</si>
  <si>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</si>
  <si>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</si>
  <si>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</si>
  <si>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</si>
  <si>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</si>
  <si>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</si>
  <si>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</si>
  <si>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</si>
  <si>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</si>
  <si>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</si>
  <si>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</si>
  <si>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</si>
  <si>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</si>
  <si>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</si>
  <si>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</si>
  <si>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</si>
  <si>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</si>
  <si>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</si>
  <si>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</si>
  <si>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</si>
  <si>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</si>
  <si>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</si>
  <si>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</si>
  <si>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</si>
  <si>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</si>
  <si>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</si>
  <si>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</si>
  <si>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</si>
  <si>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</si>
  <si>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</si>
  <si>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</si>
  <si>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</si>
  <si>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</si>
  <si>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</si>
  <si>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</si>
  <si>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</si>
  <si>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</si>
  <si>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</si>
  <si>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</si>
  <si>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</si>
  <si>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</si>
  <si>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</si>
  <si>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</si>
  <si>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</si>
  <si>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</si>
  <si>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</si>
  <si>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</si>
  <si>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</si>
  <si>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</si>
  <si>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</si>
  <si>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</si>
  <si>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</si>
  <si>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</si>
  <si>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</si>
  <si>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</si>
  <si>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</si>
  <si>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</si>
  <si>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</si>
  <si>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</si>
  <si>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</si>
  <si>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</si>
  <si>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</si>
  <si>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</si>
  <si>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</si>
  <si>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</si>
  <si>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</si>
  <si>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</si>
  <si>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</si>
  <si>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</si>
  <si>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</si>
  <si>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</si>
  <si>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</si>
  <si>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</si>
  <si>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</si>
  <si>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</si>
  <si>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</si>
  <si>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</si>
  <si>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</si>
  <si>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</si>
  <si>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</si>
  <si>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</si>
  <si>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</si>
  <si>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</si>
  <si>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</si>
  <si>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</si>
  <si>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</si>
  <si>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</si>
  <si>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</si>
  <si>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</si>
  <si>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</si>
  <si>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</si>
  <si>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</si>
  <si>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</si>
  <si>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</si>
  <si>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</si>
  <si>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</si>
  <si>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</si>
  <si>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</si>
  <si>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</si>
  <si>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</si>
  <si>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</si>
  <si>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</si>
  <si>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</si>
  <si>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</si>
  <si>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</si>
  <si>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</si>
  <si>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</si>
  <si>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</si>
  <si>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</si>
  <si>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</si>
  <si>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</si>
  <si>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</si>
  <si>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</si>
  <si>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</si>
  <si>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</si>
  <si>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</si>
  <si>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</si>
  <si>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</si>
  <si>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</si>
  <si>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</si>
  <si>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</si>
  <si>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</si>
  <si>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</si>
  <si>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</si>
  <si>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</si>
  <si>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</si>
  <si>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</si>
  <si>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</si>
  <si>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</si>
  <si>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</si>
  <si>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</si>
  <si>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</si>
  <si>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</si>
  <si>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</si>
  <si>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</si>
  <si>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</si>
  <si>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</si>
  <si>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</si>
  <si>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</si>
  <si>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</si>
  <si>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</si>
  <si>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</si>
  <si>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</si>
  <si>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</si>
  <si>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</si>
  <si>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</si>
  <si>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</si>
  <si>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</si>
  <si>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</si>
  <si>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</si>
  <si>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</si>
  <si>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</si>
  <si>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</si>
  <si>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</si>
  <si>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</si>
  <si>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</si>
  <si>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</si>
  <si>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</si>
  <si>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</si>
  <si>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</si>
  <si>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</si>
  <si>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</si>
  <si>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</si>
  <si>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</si>
  <si>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</si>
  <si>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</si>
  <si>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</si>
  <si>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</si>
  <si>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</si>
  <si>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</si>
  <si>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</si>
  <si>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</si>
  <si>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</si>
  <si>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</si>
  <si>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</si>
  <si>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</si>
  <si>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</si>
  <si>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</si>
  <si>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</si>
  <si>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</si>
  <si>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</si>
  <si>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</si>
  <si>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</si>
  <si>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</si>
  <si>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</si>
  <si>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</si>
  <si>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</si>
  <si>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</si>
  <si>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</si>
  <si>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</si>
  <si>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</si>
  <si>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</si>
  <si>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</si>
  <si>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</si>
  <si>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</si>
  <si>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</si>
  <si>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</si>
  <si>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</si>
  <si>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</si>
  <si>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</si>
  <si>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</si>
  <si>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</si>
  <si>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</si>
  <si>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</si>
  <si>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</si>
  <si>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</si>
  <si>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</si>
  <si>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</si>
  <si>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</si>
  <si>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</si>
  <si>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</si>
  <si>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</si>
  <si>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</si>
  <si>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</si>
  <si>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</si>
  <si>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</si>
  <si>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</si>
  <si>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</si>
  <si>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</si>
  <si>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</si>
  <si>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</si>
  <si>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</si>
  <si>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</si>
  <si>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</si>
  <si>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</si>
  <si>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</si>
  <si>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</si>
  <si>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</si>
  <si>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</si>
  <si>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</si>
  <si>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</si>
  <si>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</si>
  <si>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</si>
  <si>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</si>
  <si>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</si>
  <si>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</si>
  <si>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</si>
  <si>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</si>
  <si>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</si>
  <si>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</si>
  <si>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</si>
  <si>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</si>
  <si>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</si>
  <si>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</si>
  <si>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</si>
  <si>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</si>
  <si>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</si>
  <si>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</si>
  <si>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</si>
  <si>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</si>
  <si>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</si>
  <si>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</si>
  <si>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</si>
  <si>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</si>
  <si>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</si>
  <si>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</si>
  <si>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</si>
  <si>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</si>
  <si>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</si>
  <si>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</si>
  <si>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</si>
  <si>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</si>
  <si>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</si>
  <si>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</si>
  <si>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</si>
  <si>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</si>
  <si>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</si>
  <si>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</si>
  <si>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</si>
  <si>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</si>
  <si>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</si>
  <si>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</si>
  <si>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</si>
  <si>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</si>
  <si>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</si>
  <si>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</si>
  <si>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</si>
  <si>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</si>
  <si>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</si>
  <si>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</si>
  <si>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</si>
  <si>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</si>
  <si>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</si>
  <si>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</si>
  <si>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</si>
  <si>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</si>
  <si>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</si>
  <si>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</si>
  <si>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</si>
  <si>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</si>
  <si>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</si>
  <si>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</si>
  <si>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</si>
  <si>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</si>
  <si>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</si>
  <si>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</si>
  <si>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</si>
  <si>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</si>
  <si>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</si>
  <si>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</si>
  <si>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</si>
  <si>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</si>
  <si>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</si>
  <si>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</si>
  <si>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</si>
  <si>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</si>
  <si>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</si>
  <si>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</si>
  <si>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</si>
  <si>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</si>
  <si>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</si>
  <si>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</si>
  <si>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</si>
  <si>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</si>
  <si>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</si>
  <si>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</si>
  <si>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</si>
  <si>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</si>
  <si>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</si>
  <si>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</si>
  <si>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</si>
  <si>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</si>
  <si>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</si>
  <si>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</si>
  <si>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</si>
  <si>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</si>
  <si>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</si>
  <si>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</si>
  <si>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</si>
  <si>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</si>
  <si>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</si>
  <si>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</si>
  <si>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</si>
  <si>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</si>
  <si>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</si>
  <si>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</si>
  <si>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</si>
  <si>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</si>
  <si>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</si>
  <si>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</si>
  <si>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</si>
  <si>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</si>
  <si>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</si>
  <si>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</si>
  <si>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</si>
  <si>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</si>
  <si>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</si>
  <si>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</si>
  <si>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</si>
  <si>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</si>
  <si>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</si>
  <si>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</si>
  <si>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</si>
  <si>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</si>
  <si>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</si>
  <si>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</si>
  <si>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</si>
  <si>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</si>
  <si>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</si>
  <si>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</si>
  <si>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</si>
  <si>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</si>
  <si>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</si>
  <si>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</si>
  <si>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</si>
  <si>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</si>
  <si>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</si>
  <si>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</si>
  <si>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</si>
  <si>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</si>
  <si>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</si>
  <si>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</si>
  <si>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</si>
  <si>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</si>
  <si>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</si>
  <si>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</si>
  <si>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</si>
  <si>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</si>
  <si>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</si>
  <si>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</si>
  <si>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</si>
  <si>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</si>
  <si>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</si>
  <si>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</si>
  <si>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</si>
  <si>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</si>
  <si>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</si>
  <si>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</si>
  <si>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</si>
  <si>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</si>
  <si>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</si>
  <si>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</si>
  <si>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</si>
  <si>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</si>
  <si>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</si>
  <si>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</si>
  <si>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</si>
  <si>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</si>
  <si>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</si>
  <si>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</si>
  <si>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</si>
  <si>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</si>
  <si>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</si>
  <si>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</si>
  <si>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</si>
  <si>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</si>
  <si>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</si>
  <si>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</si>
  <si>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</si>
  <si>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</si>
  <si>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</si>
  <si>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</si>
  <si>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</si>
  <si>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</si>
  <si>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</si>
  <si>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</si>
  <si>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</si>
  <si>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</si>
  <si>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</si>
  <si>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</si>
  <si>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</si>
  <si>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</si>
  <si>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</si>
  <si>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</si>
  <si>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</si>
  <si>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</si>
  <si>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</si>
  <si>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</si>
  <si>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</si>
  <si>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</si>
  <si>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</si>
  <si>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</si>
  <si>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</si>
  <si>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</si>
  <si>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>2416836#1</t>
  </si>
  <si>
    <t>SMARTSOLAR</t>
  </si>
  <si>
    <t>1347373#1</t>
  </si>
  <si>
    <t>Bioquimica.cl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</si>
  <si>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</si>
  <si>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</si>
  <si>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</si>
  <si>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</si>
  <si>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</si>
  <si>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</si>
  <si>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</si>
  <si>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</si>
  <si>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1329080#1</t>
  </si>
  <si>
    <t>EXO S.A. - Soluciones Tecnológicas</t>
  </si>
  <si>
    <t>2394114#1</t>
  </si>
  <si>
    <t>Carpeal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</si>
  <si>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</si>
  <si>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</si>
  <si>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</si>
  <si>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</si>
  <si>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</si>
  <si>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</si>
  <si>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</si>
  <si>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</si>
  <si>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</si>
  <si>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</si>
  <si>
    <t>1843590#1</t>
  </si>
  <si>
    <t>Andariega SRL</t>
  </si>
  <si>
    <t>1629451#1</t>
  </si>
  <si>
    <t>ISCOT Services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</si>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</sst>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029f03f1-4b86-4e04-a54a-021bf4596382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</sharedItems>
    </cacheField>
    <cacheField name="Investigator" numFmtId="0">
      <sharedItems containsBlank="1">
        <s v="Francisco"/>
        <s v="Maria Celeste"/>
        <s v="Noel"/>
        <s v="Antonella"/>
        <s v="Clar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s v="Ecuador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4"/>
        <item x="1"/>
        <item x="2"/>
        <item x="6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029f03f1-4b86-4e04-a54a-021bf4596382}" id="{0f43d4fe-bacc-476e-a6b1-ba21f946197f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18</v>
      </c>
      <c r="F19" s="246">
        <f t="shared" ref="F19:F21" si="1">C19-E19</f>
        <v>12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22</v>
      </c>
      <c r="L19" s="33">
        <f t="shared" ref="L19:L23" si="2">I19-K19</f>
        <v>-17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3</v>
      </c>
      <c r="F20" s="246">
        <f t="shared" si="1"/>
        <v>12</v>
      </c>
      <c r="G20" s="10"/>
      <c r="H20" s="22" t="s">
        <v>18</v>
      </c>
      <c r="I20" s="36">
        <v>10.0</v>
      </c>
      <c r="J20" s="10"/>
      <c r="K20" s="33">
        <f>SUMIF($K$4:$K$17, H20,$L$4:$L$17)</f>
        <v>5</v>
      </c>
      <c r="L20" s="33">
        <f t="shared" si="2"/>
        <v>5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13</v>
      </c>
      <c r="F21" s="246">
        <f t="shared" si="1"/>
        <v>2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13</v>
      </c>
      <c r="L21" s="33">
        <f t="shared" si="2"/>
        <v>7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18</v>
      </c>
      <c r="L22" s="33">
        <f t="shared" si="2"/>
        <v>-3</v>
      </c>
    </row>
    <row r="23" outlineLevel="1">
      <c r="D23" s="10"/>
      <c r="E23" s="37" t="s">
        <v>41</v>
      </c>
      <c r="F23" s="38">
        <f>SUM(F19:F21)</f>
        <v>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5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 t="s">
        <v>19</v>
      </c>
      <c r="F17" s="274" t="s">
        <v>2344</v>
      </c>
      <c r="G17" s="61"/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/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/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/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/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/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/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/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/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/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/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/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/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/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/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61"/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/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/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3808</v>
      </c>
      <c r="D36" s="294" t="s">
        <v>3809</v>
      </c>
      <c r="E36" s="391" t="s">
        <v>19</v>
      </c>
      <c r="F36" s="58" t="s">
        <v>12</v>
      </c>
      <c r="G36" s="61"/>
      <c r="H36" s="269"/>
      <c r="J36" s="380">
        <v>46175.0</v>
      </c>
      <c r="K36" s="294" t="s">
        <v>3810</v>
      </c>
      <c r="L36" s="294" t="s">
        <v>3811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3812</v>
      </c>
      <c r="D37" s="430" t="s">
        <v>3813</v>
      </c>
      <c r="E37" s="431" t="s">
        <v>22</v>
      </c>
      <c r="F37" s="58" t="s">
        <v>12</v>
      </c>
      <c r="G37" s="109"/>
      <c r="H37" s="269"/>
      <c r="J37" s="270">
        <v>46175.0</v>
      </c>
      <c r="K37" s="109" t="s">
        <v>3814</v>
      </c>
      <c r="L37" s="109" t="s">
        <v>3815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3816</v>
      </c>
      <c r="D38" s="373" t="s">
        <v>3817</v>
      </c>
      <c r="E38" s="58" t="s">
        <v>22</v>
      </c>
      <c r="F38" s="58" t="s">
        <v>9</v>
      </c>
      <c r="G38" s="61"/>
      <c r="H38" s="269"/>
      <c r="J38" s="270">
        <v>46175.0</v>
      </c>
      <c r="K38" s="109" t="s">
        <v>3818</v>
      </c>
      <c r="L38" s="109" t="s">
        <v>3819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344"/>
      <c r="G39" s="61"/>
      <c r="H39" s="269"/>
      <c r="J39" s="270">
        <v>46175.0</v>
      </c>
      <c r="K39" s="109" t="s">
        <v>3820</v>
      </c>
      <c r="L39" s="109" t="s">
        <v>3821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344"/>
      <c r="G40" s="109"/>
      <c r="H40" s="269"/>
      <c r="J40" s="270">
        <v>46175.0</v>
      </c>
      <c r="K40" s="109" t="s">
        <v>3822</v>
      </c>
      <c r="L40" s="109" t="s">
        <v>3823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>
        <v>46175.0</v>
      </c>
      <c r="K41" s="109" t="s">
        <v>3824</v>
      </c>
      <c r="L41" s="109" t="s">
        <v>3825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3826</v>
      </c>
      <c r="L42" s="109" t="s">
        <v>3827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3828</v>
      </c>
      <c r="L43" s="109" t="s">
        <v>3829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3830</v>
      </c>
      <c r="L44" s="109" t="s">
        <v>3831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3832</v>
      </c>
      <c r="L45" s="109" t="s">
        <v>3833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>
        <v>46176.0</v>
      </c>
      <c r="K46" s="109" t="s">
        <v>3834</v>
      </c>
      <c r="L46" s="109" t="s">
        <v>3835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>
        <v>46176.0</v>
      </c>
      <c r="K47" s="109" t="s">
        <v>3836</v>
      </c>
      <c r="L47" s="109" t="s">
        <v>3837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>
        <v>46176.0</v>
      </c>
      <c r="K48" s="109" t="s">
        <v>3838</v>
      </c>
      <c r="L48" s="109" t="s">
        <v>3839</v>
      </c>
      <c r="M48" s="58" t="s">
        <v>11</v>
      </c>
      <c r="N48" s="58" t="s">
        <v>20</v>
      </c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>
        <v>46176.0</v>
      </c>
      <c r="K49" s="109" t="s">
        <v>3840</v>
      </c>
      <c r="L49" s="109" t="s">
        <v>3841</v>
      </c>
      <c r="M49" s="58" t="s">
        <v>11</v>
      </c>
      <c r="N49" s="58" t="s">
        <v>20</v>
      </c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2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>
        <v>46176.0</v>
      </c>
      <c r="K50" s="109" t="s">
        <v>3842</v>
      </c>
      <c r="L50" s="109" t="s">
        <v>3843</v>
      </c>
      <c r="M50" s="58" t="s">
        <v>11</v>
      </c>
      <c r="N50" s="58" t="s">
        <v>20</v>
      </c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3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>
        <v>46176.0</v>
      </c>
      <c r="K51" s="109" t="s">
        <v>3844</v>
      </c>
      <c r="L51" s="109" t="s">
        <v>3845</v>
      </c>
      <c r="M51" s="58" t="s">
        <v>11</v>
      </c>
      <c r="N51" s="58" t="s">
        <v>20</v>
      </c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2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3846</v>
      </c>
      <c r="L52" s="109" t="s">
        <v>3847</v>
      </c>
      <c r="M52" s="58" t="s">
        <v>11</v>
      </c>
      <c r="N52" s="58" t="s">
        <v>20</v>
      </c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3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3848</v>
      </c>
      <c r="L53" s="109" t="s">
        <v>3849</v>
      </c>
      <c r="M53" s="58" t="s">
        <v>11</v>
      </c>
      <c r="N53" s="58" t="s">
        <v>20</v>
      </c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2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3850</v>
      </c>
      <c r="L54" s="294" t="s">
        <v>3851</v>
      </c>
      <c r="M54" s="391" t="s">
        <v>30</v>
      </c>
      <c r="N54" s="391" t="s">
        <v>2337</v>
      </c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4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3852</v>
      </c>
      <c r="L55" s="273" t="s">
        <v>3853</v>
      </c>
      <c r="M55" s="402" t="s">
        <v>21</v>
      </c>
      <c r="N55" s="402" t="s">
        <v>2337</v>
      </c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3854</v>
      </c>
      <c r="L56" s="294" t="s">
        <v>3855</v>
      </c>
      <c r="M56" s="391" t="s">
        <v>27</v>
      </c>
      <c r="N56" s="391" t="s">
        <v>2337</v>
      </c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3856</v>
      </c>
      <c r="L57" s="273" t="s">
        <v>3857</v>
      </c>
      <c r="M57" s="402" t="s">
        <v>30</v>
      </c>
      <c r="N57" s="402" t="s">
        <v>2337</v>
      </c>
      <c r="O57" s="61"/>
      <c r="P57" s="269"/>
      <c r="R57" s="270"/>
      <c r="S57" s="384"/>
      <c r="T57" s="109"/>
      <c r="U57" s="344"/>
      <c r="V57" s="58"/>
      <c r="W57" s="494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3858</v>
      </c>
      <c r="L58" s="294" t="s">
        <v>3859</v>
      </c>
      <c r="M58" s="391" t="s">
        <v>15</v>
      </c>
      <c r="N58" s="391" t="s">
        <v>2337</v>
      </c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3860</v>
      </c>
      <c r="L59" s="294" t="s">
        <v>3861</v>
      </c>
      <c r="M59" s="396" t="s">
        <v>23</v>
      </c>
      <c r="N59" s="391" t="s">
        <v>2338</v>
      </c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3862</v>
      </c>
      <c r="L60" s="273" t="s">
        <v>3863</v>
      </c>
      <c r="M60" s="398" t="s">
        <v>27</v>
      </c>
      <c r="N60" s="431" t="s">
        <v>2338</v>
      </c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3864</v>
      </c>
      <c r="L61" s="294" t="s">
        <v>3865</v>
      </c>
      <c r="M61" s="396" t="s">
        <v>18</v>
      </c>
      <c r="N61" s="391" t="s">
        <v>2338</v>
      </c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3866</v>
      </c>
      <c r="L62" s="273" t="s">
        <v>3867</v>
      </c>
      <c r="M62" s="398" t="s">
        <v>30</v>
      </c>
      <c r="N62" s="431" t="s">
        <v>2338</v>
      </c>
      <c r="O62" s="61"/>
      <c r="P62" s="269"/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3868</v>
      </c>
      <c r="L63" s="294" t="s">
        <v>3869</v>
      </c>
      <c r="M63" s="441" t="s">
        <v>30</v>
      </c>
      <c r="N63" s="295" t="s">
        <v>2338</v>
      </c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3870</v>
      </c>
      <c r="L64" s="273" t="s">
        <v>3871</v>
      </c>
      <c r="M64" s="398" t="s">
        <v>27</v>
      </c>
      <c r="N64" s="431" t="s">
        <v>2338</v>
      </c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5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