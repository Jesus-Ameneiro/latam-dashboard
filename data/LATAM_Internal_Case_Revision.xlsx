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tc={298a37ee-768e-4b53-ad72-d6ac386e9b0c}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298a37ee-768e-4b53-ad72-d6ac386e9b0c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<sst xmlns="http://schemas.openxmlformats.org/spreadsheetml/2006/main" count="9421" uniqueCount="4230">
  <si>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</si>
  <si>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</si>
  <si>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</si>
  <si>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</si>
  <si>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</si>
  <si>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</si>
  <si>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</si>
  <si>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</si>
  <si>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</si>
  <si>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</si>
  <si>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</si>
  <si>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</si>
  <si>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</si>
  <si>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</si>
  <si>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</si>
  <si>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</si>
  <si>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</si>
  <si>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</si>
  <si>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</si>
  <si>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</si>
  <si>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</si>
  <si>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</si>
  <si>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</si>
  <si>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</si>
  <si>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</si>
  <si>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</si>
  <si>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</si>
  <si>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</si>
  <si>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</si>
  <si>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</si>
  <si>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</si>
  <si>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</si>
  <si>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</si>
  <si>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</si>
  <si>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</si>
  <si>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</si>
  <si>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</si>
  <si>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</si>
  <si>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</si>
  <si>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</si>
  <si>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</si>
  <si>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</si>
  <si>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</si>
  <si>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</si>
  <si>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</si>
  <si>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</si>
  <si>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</si>
  <si>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</si>
  <si>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</si>
  <si>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</si>
  <si>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</si>
  <si>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</si>
  <si>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</si>
  <si>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</si>
  <si>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</si>
  <si>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</si>
  <si>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</si>
  <si>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</si>
  <si>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</si>
  <si>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</si>
  <si>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</si>
  <si>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</si>
  <si>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</si>
  <si>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</si>
  <si>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</si>
  <si>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</si>
  <si>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</si>
  <si>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</si>
  <si>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</si>
  <si>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</si>
  <si>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</si>
  <si>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</si>
  <si>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</si>
  <si>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</si>
  <si>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</si>
  <si>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</si>
  <si>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</si>
  <si>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</si>
  <si>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</si>
  <si>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</si>
  <si>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</si>
  <si>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</si>
  <si>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</si>
  <si>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</si>
  <si>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</si>
  <si>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</si>
  <si>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</si>
  <si>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</si>
  <si>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</si>
  <si>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</si>
  <si>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</si>
  <si>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</si>
  <si>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</si>
  <si>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</si>
  <si>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</si>
  <si>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</si>
  <si>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</si>
  <si>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</si>
  <si>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</si>
  <si>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</si>
  <si>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</si>
  <si>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</si>
  <si>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</si>
  <si>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</si>
  <si>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</si>
  <si>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</si>
  <si>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</si>
  <si>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</si>
  <si>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</si>
  <si>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</si>
  <si>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</si>
  <si>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</si>
  <si>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</si>
  <si>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</si>
  <si>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</si>
  <si>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</si>
  <si>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</si>
  <si>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</si>
  <si>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</si>
  <si>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</si>
  <si>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</si>
  <si>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</si>
  <si>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</si>
  <si>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</si>
  <si>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</si>
  <si>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</si>
  <si>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</si>
  <si>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</si>
  <si>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</si>
  <si>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</si>
  <si>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</si>
  <si>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</si>
  <si>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</si>
  <si>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</si>
  <si>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</si>
  <si>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</si>
  <si>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</si>
  <si>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</si>
  <si>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</si>
  <si>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</si>
  <si>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</si>
  <si>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</si>
  <si>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</si>
  <si>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</si>
  <si>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</si>
  <si>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</si>
  <si>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</si>
  <si>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</si>
  <si>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</si>
  <si>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</si>
  <si>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</si>
  <si>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</si>
  <si>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</si>
  <si>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</si>
  <si>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</si>
  <si>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</si>
  <si>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</si>
  <si>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</si>
  <si>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</si>
  <si>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</si>
  <si>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</si>
  <si>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</si>
  <si>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</si>
  <si>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</si>
  <si>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</si>
  <si>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</si>
  <si>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</si>
  <si>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</si>
  <si>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</si>
  <si>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</si>
  <si>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</si>
  <si>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</si>
  <si>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</si>
  <si>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</si>
  <si>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</si>
  <si>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</si>
  <si>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</si>
  <si>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</si>
  <si>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</si>
  <si>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</si>
  <si>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</si>
  <si>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</si>
  <si>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</si>
  <si>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</si>
  <si>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</si>
  <si>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</si>
  <si>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</si>
  <si>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</si>
  <si>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</si>
  <si>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</si>
  <si>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</si>
  <si>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</si>
  <si>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</si>
  <si>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</si>
  <si>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</si>
  <si>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</si>
  <si>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</si>
  <si>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</si>
  <si>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</si>
  <si>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</si>
  <si>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</si>
  <si>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</si>
  <si>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</si>
  <si>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</si>
  <si>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</si>
  <si>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</si>
  <si>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</si>
  <si>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</si>
  <si>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</si>
  <si>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</si>
  <si>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</si>
  <si>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</si>
  <si>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</si>
  <si>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</si>
  <si>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</si>
  <si>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</si>
  <si>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</si>
  <si>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</si>
  <si>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</si>
  <si>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</si>
  <si>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</si>
  <si>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</si>
  <si>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</si>
  <si>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</si>
  <si>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</si>
  <si>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</si>
  <si>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</si>
  <si>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</si>
  <si>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</si>
  <si>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</si>
  <si>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</si>
  <si>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</si>
  <si>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</si>
  <si>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</si>
  <si>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</si>
  <si>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</si>
  <si>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</si>
  <si>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</si>
  <si>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</si>
  <si>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</si>
  <si>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</si>
  <si>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</si>
  <si>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</si>
  <si>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</si>
  <si>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</si>
  <si>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</si>
  <si>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</si>
  <si>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</si>
  <si>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</si>
  <si>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</si>
  <si>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</si>
  <si>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</si>
  <si>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</si>
  <si>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</si>
  <si>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</si>
  <si>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</si>
  <si>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</si>
  <si>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</si>
  <si>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</si>
  <si>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</si>
  <si>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</si>
  <si>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</si>
  <si>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</si>
  <si>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</si>
  <si>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</si>
  <si>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</si>
  <si>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</si>
  <si>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</si>
  <si>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</si>
  <si>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</si>
  <si>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</si>
  <si>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</si>
  <si>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</si>
  <si>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</si>
  <si>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</si>
  <si>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</si>
  <si>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</si>
  <si>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</si>
  <si>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</si>
  <si>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</si>
  <si>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</si>
  <si>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</si>
  <si>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</si>
  <si>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</si>
  <si>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</si>
  <si>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</si>
  <si>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</si>
  <si>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</si>
  <si>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</si>
  <si>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</si>
  <si>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</si>
  <si>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</si>
  <si>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</si>
  <si>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</si>
  <si>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</si>
  <si>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</si>
  <si>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</si>
  <si>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</si>
  <si>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</si>
  <si>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</si>
  <si>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</si>
  <si>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</si>
  <si>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</si>
  <si>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</si>
  <si>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</si>
  <si>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</si>
  <si>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</si>
  <si>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</si>
  <si>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</si>
  <si>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</si>
  <si>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</si>
  <si>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</si>
  <si>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</si>
  <si>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</si>
  <si>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</si>
  <si>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</si>
  <si>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</si>
  <si>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</si>
  <si>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</si>
  <si>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</si>
  <si>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</si>
  <si>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</si>
  <si>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</si>
  <si>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</si>
  <si>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</si>
  <si>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</si>
  <si>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</si>
  <si>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</si>
  <si>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</si>
  <si>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</si>
  <si>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</si>
  <si>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</si>
  <si>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</si>
  <si>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</si>
  <si>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</si>
  <si>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</si>
  <si>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</si>
  <si>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</si>
  <si>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</si>
  <si>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</si>
  <si>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</si>
  <si>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</si>
  <si>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</si>
  <si>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</si>
  <si>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</si>
  <si>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</si>
  <si>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</si>
  <si>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</si>
  <si>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</si>
  <si>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</si>
  <si>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</si>
  <si>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</si>
  <si>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</si>
  <si>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</si>
  <si>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</si>
  <si>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</si>
  <si>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</si>
  <si>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</si>
  <si>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</si>
  <si>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</si>
  <si>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</si>
  <si>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</si>
  <si>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</si>
  <si>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</si>
  <si>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</si>
  <si>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</si>
  <si>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</si>
  <si>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</si>
  <si>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</si>
  <si>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</si>
  <si>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</si>
  <si>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</si>
  <si>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</si>
  <si>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</si>
  <si>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</si>
  <si>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</si>
  <si>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</si>
  <si>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</si>
  <si>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</si>
  <si>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</si>
  <si>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</si>
  <si>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</si>
  <si>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</si>
  <si>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</si>
  <si>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</si>
  <si>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</si>
  <si>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</si>
  <si>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</si>
  <si>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</si>
  <si>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</si>
  <si>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</si>
  <si>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</si>
  <si>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</si>
  <si>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</si>
  <si>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</si>
  <si>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</si>
  <si>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</si>
  <si>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</si>
  <si>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</si>
  <si>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</si>
  <si>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</si>
  <si>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</si>
  <si>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</si>
  <si>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</si>
  <si>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</si>
  <si>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</si>
  <si>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</si>
  <si>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</si>
  <si>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</si>
  <si>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</si>
  <si>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</si>
  <si>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</si>
  <si>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</si>
  <si>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</si>
  <si>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</si>
  <si>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</si>
  <si>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</si>
  <si>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</si>
  <si>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</si>
  <si>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</si>
  <si>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</si>
  <si>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</si>
  <si>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</si>
  <si>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</si>
  <si>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</si>
  <si>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</si>
  <si>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</si>
  <si>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</si>
  <si>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</si>
  <si>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</si>
  <si>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</si>
  <si>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</si>
  <si>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</si>
  <si>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</si>
  <si>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</si>
  <si>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</si>
  <si>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</si>
  <si>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</si>
  <si>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</si>
  <si>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</si>
  <si>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</si>
  <si>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</si>
  <si>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</si>
  <si>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</si>
  <si>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</si>
  <si>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</si>
  <si>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</si>
  <si>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</si>
  <si>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</si>
  <si>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</si>
  <si>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</si>
  <si>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</si>
  <si>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</si>
  <si>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</si>
  <si>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</si>
  <si>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</si>
  <si>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</si>
  <si>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</si>
  <si>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</si>
  <si>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</si>
  <si>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</si>
  <si>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</si>
  <si>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</si>
  <si>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</si>
  <si>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</si>
  <si>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</si>
  <si>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</si>
  <si>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</si>
  <si>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</si>
  <si>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</si>
  <si>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</si>
  <si>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</si>
  <si>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</si>
  <si>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</si>
  <si>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</si>
  <si>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</si>
  <si>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</si>
  <si>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</si>
  <si>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</si>
  <si>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</si>
  <si>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</si>
  <si>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</si>
  <si>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</si>
  <si>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</si>
  <si>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</si>
  <si>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</si>
  <si>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</si>
  <si>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</si>
  <si>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</si>
  <si>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</si>
  <si>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</si>
  <si>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</si>
  <si>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</si>
  <si>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</si>
  <si>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</si>
  <si>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</si>
  <si>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</si>
  <si>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</si>
  <si>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</si>
  <si>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</si>
  <si>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</si>
  <si>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</si>
  <si>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</si>
  <si>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</si>
  <si>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</si>
  <si>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</si>
  <si>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</si>
  <si>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</si>
  <si>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</si>
  <si>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</si>
  <si>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</si>
  <si>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</si>
  <si>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</si>
  <si>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</si>
  <si>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</si>
  <si>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</si>
  <si>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</si>
  <si>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</si>
  <si>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</si>
  <si>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</si>
  <si>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</si>
  <si>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</si>
  <si>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</si>
  <si>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</si>
  <si>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</si>
  <si>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</si>
  <si>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</si>
  <si>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</si>
  <si>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</si>
  <si>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</si>
  <si>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</si>
  <si>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</si>
  <si>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</si>
  <si>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</si>
  <si>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</si>
  <si>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</si>
  <si>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</si>
  <si>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</si>
  <si>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</si>
  <si>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</si>
  <si>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</si>
  <si>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</si>
  <si>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</si>
  <si>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</si>
  <si>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</si>
  <si>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</si>
  <si>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</si>
  <si>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</si>
  <si>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</si>
  <si>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</si>
  <si>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</si>
  <si>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</si>
  <si>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</si>
  <si>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</si>
  <si>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</si>
  <si>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</si>
  <si>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</si>
  <si>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</si>
  <si>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</si>
  <si>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</si>
  <si>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</si>
  <si>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</si>
  <si>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</si>
  <si>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</si>
  <si>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</si>
  <si>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</si>
  <si>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</si>
  <si>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</si>
  <si>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</si>
  <si>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</si>
  <si>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</si>
  <si>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</si>
  <si>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</si>
  <si>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</si>
  <si>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</si>
  <si>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</si>
  <si>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</si>
  <si>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</si>
  <si>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</si>
  <si>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</si>
  <si>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</si>
  <si>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</si>
  <si>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</si>
  <si>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</si>
  <si>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</si>
  <si>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</si>
  <si>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</si>
  <si>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</si>
  <si>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</si>
  <si>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</si>
  <si>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</si>
  <si>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</si>
  <si>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</si>
  <si>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</si>
  <si>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</si>
  <si>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</si>
  <si>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</si>
  <si>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</si>
  <si>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</si>
  <si>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</si>
  <si>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</si>
  <si>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</si>
  <si>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</si>
  <si>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</si>
  <si>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</si>
  <si>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</si>
  <si>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</si>
  <si>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</si>
  <si>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</si>
  <si>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</si>
  <si>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</si>
  <si>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</si>
  <si>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</si>
  <si>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</si>
  <si>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</si>
  <si>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</si>
  <si>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</si>
  <si>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</si>
  <si>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</si>
  <si>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</si>
  <si>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</si>
  <si>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</si>
  <si>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</si>
  <si>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</si>
  <si>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</si>
  <si>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</si>
  <si>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</si>
  <si>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</si>
  <si>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</si>
  <si>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</si>
  <si>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</si>
  <si>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</si>
  <si>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</si>
  <si>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</si>
  <si>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</si>
  <si>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</si>
  <si>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</si>
  <si>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</si>
  <si>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</si>
  <si>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</si>
  <si>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</si>
  <si>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</si>
  <si>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</si>
  <si>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</si>
  <si>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</si>
  <si>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</si>
  <si>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</si>
  <si>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</si>
  <si>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</si>
  <si>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</si>
  <si>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</si>
  <si>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</si>
  <si>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</si>
  <si>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</si>
  <si>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</si>
  <si>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</si>
  <si>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</si>
  <si>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</si>
  <si>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</si>
  <si>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</si>
  <si>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</si>
  <si>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</si>
  <si>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</si>
  <si>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</si>
  <si>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</si>
  <si>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</si>
  <si>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</si>
  <si>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</si>
  <si>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</si>
  <si>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</si>
  <si>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</si>
  <si>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</si>
  <si>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</si>
  <si>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</si>
  <si>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</si>
  <si>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</si>
  <si>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</si>
  <si>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</si>
  <si>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</si>
  <si>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</si>
  <si>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</si>
  <si>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</si>
  <si>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</si>
  <si>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</si>
  <si>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</si>
  <si>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</si>
  <si>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</si>
  <si>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</si>
  <si>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</si>
  <si>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</si>
  <si>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</si>
  <si>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</si>
  <si>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</si>
  <si>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</si>
  <si>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</si>
  <si>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</si>
  <si>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</si>
  <si>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</si>
  <si>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</si>
  <si>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</si>
  <si>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</si>
  <si>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</si>
  <si>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</si>
  <si>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</si>
  <si>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</si>
  <si>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</si>
  <si>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</si>
  <si>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</si>
  <si>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</si>
  <si>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</si>
  <si>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</si>
  <si>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</si>
  <si>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</si>
  <si>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</si>
  <si>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</si>
  <si>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</si>
  <si>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</si>
  <si>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</si>
  <si>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</si>
  <si>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</si>
  <si>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</si>
  <si>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</si>
  <si>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</si>
  <si>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</si>
  <si>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</si>
  <si>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</si>
  <si>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</si>
  <si>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</si>
  <si>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</si>
  <si>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</si>
  <si>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</si>
  <si>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</si>
  <si>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</si>
  <si>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</si>
  <si>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</si>
  <si>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</si>
  <si>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</si>
  <si>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</si>
  <si>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</si>
  <si>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</si>
  <si>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</si>
  <si>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</si>
  <si>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</si>
  <si>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</si>
  <si>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</si>
  <si>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</si>
  <si>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</si>
  <si>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</si>
  <si>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</si>
  <si>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</si>
  <si>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</si>
  <si>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</si>
  <si>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</si>
  <si>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</si>
  <si>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</si>
  <si>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</si>
  <si>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</si>
  <si>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</si>
  <si>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</si>
  <si>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</si>
  <si>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</si>
  <si>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</si>
  <si>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</si>
  <si>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</si>
  <si>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</si>
  <si>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</si>
  <si>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</si>
  <si>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</si>
  <si>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</si>
  <si>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</si>
  <si>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</si>
  <si>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</si>
  <si>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</si>
  <si>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</si>
  <si>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</si>
  <si>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</si>
  <si>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</si>
  <si>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</si>
  <si>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</si>
  <si>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</si>
  <si>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</si>
  <si>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</si>
  <si>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</si>
  <si>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</si>
  <si>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</si>
  <si>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</si>
  <si>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</si>
  <si>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</si>
  <si>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</si>
  <si>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</si>
  <si>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</si>
  <si>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</si>
  <si>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</si>
  <si>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</si>
  <si>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</si>
  <si>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</si>
  <si>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</si>
  <si>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</si>
  <si>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</si>
  <si>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</si>
  <si>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</si>
  <si>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</si>
  <si>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</si>
  <si>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</si>
  <si>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</si>
  <si>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</si>
  <si>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</si>
  <si>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</si>
  <si>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</si>
  <si>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</si>
  <si>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</si>
  <si>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</si>
  <si>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</si>
  <si>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</si>
  <si>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</si>
  <si>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</si>
  <si>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</si>
  <si>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</si>
  <si>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</si>
  <si>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</si>
  <si>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</si>
  <si>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</si>
  <si>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</si>
  <si>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</si>
  <si>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</si>
  <si>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</si>
  <si>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</si>
  <si>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</si>
  <si>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</si>
  <si>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</si>
  <si>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</si>
  <si>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</si>
  <si>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</si>
  <si>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</si>
  <si>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</si>
  <si>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</si>
  <si>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</si>
  <si>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</si>
  <si>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</si>
  <si>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</si>
  <si>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</si>
  <si>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</si>
  <si>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</si>
  <si>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</si>
  <si>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</si>
  <si>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</si>
  <si>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</si>
  <si>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</si>
  <si>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</si>
  <si>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</si>
  <si>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</si>
  <si>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</si>
  <si>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</si>
  <si>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</si>
  <si>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</si>
  <si>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</si>
  <si>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</si>
  <si>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</si>
  <si>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</si>
  <si>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</si>
  <si>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</si>
  <si>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</si>
  <si>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</si>
  <si>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</si>
  <si>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</si>
  <si>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</si>
  <si>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</si>
  <si>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</si>
  <si>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</si>
  <si>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</si>
  <si>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</si>
  <si>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</si>
  <si>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</si>
  <si>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</si>
  <si>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</si>
  <si>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</si>
  <si>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</si>
  <si>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</si>
  <si>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</si>
  <si>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</si>
  <si>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</si>
  <si>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</si>
  <si>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</si>
  <si>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</si>
  <si>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</si>
  <si>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</si>
  <si>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</si>
  <si>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</si>
  <si>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</si>
  <si>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</si>
  <si>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</si>
  <si>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</si>
  <si>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</si>
  <si>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</si>
  <si>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</si>
  <si>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</si>
  <si>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</si>
  <si>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</si>
  <si>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</si>
  <si>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</si>
  <si>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</si>
  <si>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</si>
  <si>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</si>
  <si>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</si>
  <si>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</si>
  <si>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</si>
  <si>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</si>
  <si>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</si>
  <si>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</si>
  <si>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</si>
  <si>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</si>
  <si>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</si>
  <si>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</si>
  <si>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</si>
  <si>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</si>
  <si>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</si>
  <si>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</si>
  <si>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</si>
  <si>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</si>
  <si>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</si>
  <si>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</si>
  <si>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</si>
  <si>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</si>
  <si>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</si>
  <si>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</si>
  <si>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</si>
  <si>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</si>
  <si>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</si>
  <si>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</si>
  <si>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</si>
  <si>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</si>
  <si>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</si>
  <si>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</si>
  <si>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</si>
  <si>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</si>
  <si>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</si>
  <si>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</si>
  <si>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</si>
  <si>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</si>
  <si>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</si>
  <si>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</si>
  <si>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</si>
  <si>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</si>
  <si>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</si>
  <si>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</si>
  <si>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</si>
  <si>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</si>
  <si>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</si>
  <si>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</si>
  <si>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</si>
  <si>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</si>
  <si>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</si>
  <si>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</si>
  <si>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</si>
  <si>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</si>
  <si>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</si>
  <si>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</si>
  <si>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</si>
  <si>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</si>
  <si>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</si>
  <si>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</si>
  <si>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</si>
  <si>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</si>
  <si>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</si>
  <si>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</si>
  <si>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</si>
  <si>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</si>
  <si>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</si>
  <si>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</si>
  <si>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</si>
  <si>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</si>
  <si>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</si>
  <si>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</si>
  <si>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</si>
  <si>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</si>
  <si>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</si>
  <si>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</si>
  <si>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</si>
  <si>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</si>
  <si>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</si>
  <si>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</si>
  <si>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</si>
  <si>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</si>
  <si>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</si>
  <si>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</si>
  <si>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</si>
  <si>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</si>
  <si>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</si>
  <si>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</si>
  <si>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</si>
  <si>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</si>
  <si>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</si>
  <si>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</si>
  <si>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</si>
  <si>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</si>
  <si>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</si>
  <si>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</si>
  <si>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</si>
  <si>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</si>
  <si>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</si>
  <si>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</si>
  <si>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</si>
  <si>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</si>
  <si>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</si>
  <si>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</si>
  <si>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</si>
  <si>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</si>
  <si>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</si>
  <si>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</si>
  <si>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</si>
  <si>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</si>
  <si>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</si>
  <si>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</si>
  <si>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</si>
  <si>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</si>
  <si>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</si>
  <si>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</si>
  <si>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</si>
  <si>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</si>
  <si>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</si>
  <si>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</si>
  <si>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</si>
  <si>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</si>
  <si>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</si>
  <si>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</si>
  <si>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</si>
  <si>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</si>
  <si>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</si>
  <si>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</si>
  <si>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</si>
  <si>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</si>
  <si>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</si>
  <si>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</si>
  <si>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</si>
  <si>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</si>
  <si>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</si>
  <si>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</si>
  <si>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</si>
  <si>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</si>
  <si>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</si>
  <si>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</si>
  <si>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</si>
  <si>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</si>
  <si>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</si>
  <si>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</si>
  <si>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</si>
  <si>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</si>
  <si>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</si>
  <si>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</si>
  <si>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</si>
  <si>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</si>
  <si>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</si>
  <si>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</si>
  <si>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</si>
  <si>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</si>
  <si>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</si>
  <si>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</si>
  <si>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</si>
  <si>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</si>
  <si>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</si>
  <si>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</si>
  <si>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</si>
  <si>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</si>
  <si>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</si>
  <si>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</si>
  <si>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</si>
  <si>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</si>
  <si>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</si>
  <si>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</si>
  <si>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</si>
  <si>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</si>
  <si>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</si>
  <si>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</si>
  <si>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</si>
  <si>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</si>
  <si>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</si>
  <si>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</si>
  <si>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</si>
  <si>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</si>
  <si>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</si>
  <si>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</si>
  <si>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</si>
  <si>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</si>
  <si>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</si>
  <si>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</si>
  <si>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</si>
  <si>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</si>
  <si>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</si>
  <si>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</si>
  <si>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</si>
  <si>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</si>
  <si>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</si>
  <si>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</si>
  <si>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</si>
  <si>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</si>
  <si>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</si>
  <si>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</si>
  <si>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</si>
  <si>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</si>
  <si>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</si>
  <si>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</si>
  <si>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</si>
  <si>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</si>
  <si>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</si>
  <si>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</si>
  <si>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</si>
  <si>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</si>
  <si>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</si>
  <si>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</si>
  <si>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</si>
  <si>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</si>
  <si>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</si>
  <si>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</si>
  <si>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</si>
  <si>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</si>
  <si>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</si>
  <si>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</si>
  <si>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</si>
  <si>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</si>
  <si>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</si>
  <si>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</si>
  <si>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</si>
  <si>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</si>
  <si>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</si>
  <si>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</si>
  <si>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</si>
  <si>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</si>
  <si>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</si>
  <si>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</si>
  <si>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</si>
  <si>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</si>
  <si>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</si>
  <si>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</si>
  <si>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</si>
  <si>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</si>
  <si>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</si>
  <si>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</si>
  <si>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</si>
  <si>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</si>
  <si>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</si>
  <si>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</si>
  <si>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</si>
  <si>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</si>
  <si>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</si>
  <si>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</si>
  <si>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</si>
  <si>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</si>
  <si>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</si>
  <si>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</si>
  <si>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</si>
  <si>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</si>
  <si>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</si>
  <si>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</si>
  <si>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</si>
  <si>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</si>
  <si>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</si>
  <si>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</si>
  <si>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</si>
  <si>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</si>
  <si>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</si>
  <si>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</si>
  <si>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</si>
  <si>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</si>
  <si>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</si>
  <si>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</si>
  <si>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</si>
  <si>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</si>
  <si>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</si>
  <si>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</si>
  <si>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</si>
  <si>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</si>
  <si>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</si>
  <si>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</si>
  <si>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</si>
  <si>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</si>
  <si>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</si>
  <si>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</si>
  <si>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</si>
  <si>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</si>
  <si>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</si>
  <si>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</si>
  <si>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</si>
  <si>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</si>
  <si>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</si>
  <si>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</si>
  <si>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</si>
  <si>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</si>
  <si>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</si>
  <si>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</si>
  <si>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</si>
  <si>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</si>
  <si>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</si>
  <si>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</si>
  <si>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</si>
  <si>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</si>
  <si>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</si>
  <si>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</si>
  <si>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</si>
  <si>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</si>
  <si>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</si>
  <si>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</si>
  <si>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</si>
  <si>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</si>
  <si>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</si>
  <si>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</si>
  <si>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</si>
  <si>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</si>
  <si>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</si>
  <si>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</si>
  <si>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</si>
  <si>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</si>
  <si>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</si>
  <si>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</si>
  <si>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</si>
  <si>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</si>
  <si>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</si>
  <si>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</si>
  <si>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</si>
  <si>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</si>
  <si>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</si>
  <si>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</si>
  <si>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</si>
  <si>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</si>
  <si>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</si>
  <si>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</si>
  <si>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</si>
  <si>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</si>
  <si>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</si>
  <si>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</si>
  <si>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</si>
  <si>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</si>
  <si>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</si>
  <si>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</si>
  <si>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</si>
  <si>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</si>
  <si>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</si>
  <si>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</si>
  <si>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</si>
  <si>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</si>
  <si>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</si>
  <si>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</si>
  <si>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</si>
  <si>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</si>
  <si>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</si>
  <si>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</si>
  <si>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</si>
  <si>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</si>
  <si>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</si>
  <si>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</si>
  <si>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</si>
  <si>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</si>
  <si>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</si>
  <si>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</si>
  <si>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</si>
  <si>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</si>
  <si>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</si>
  <si>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</si>
  <si>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</si>
  <si>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</si>
  <si>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</si>
  <si>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</si>
  <si>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</si>
  <si>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</si>
  <si>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</si>
  <si>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</si>
  <si>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</si>
  <si>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</si>
  <si>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</si>
  <si>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</si>
  <si>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</si>
  <si>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</si>
  <si>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</si>
  <si>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</si>
  <si>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</si>
  <si>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</si>
  <si>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</si>
  <si>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</si>
  <si>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</si>
  <si>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</si>
  <si>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</si>
  <si>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</si>
  <si>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</si>
  <si>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</si>
  <si>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</si>
  <si>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</si>
  <si>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</si>
  <si>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</si>
  <si>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</si>
  <si>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</si>
  <si>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</si>
  <si>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</si>
  <si>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</si>
  <si>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</si>
  <si>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</si>
  <si>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</si>
  <si>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</si>
  <si>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</si>
  <si>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</si>
  <si>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</si>
  <si>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</si>
  <si>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</si>
  <si>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</si>
  <si>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</si>
  <si>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</si>
  <si>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</si>
  <si>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</si>
  <si>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</si>
  <si>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</si>
  <si>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</si>
  <si>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</si>
  <si>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</si>
  <si>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</si>
  <si>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</si>
  <si>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</si>
  <si>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</si>
  <si>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</si>
  <si>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</si>
  <si>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</si>
  <si>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</si>
  <si>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</si>
  <si>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</si>
  <si>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</si>
  <si>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</si>
  <si>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</si>
  <si>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</si>
  <si>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</si>
  <si>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</si>
  <si>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</si>
  <si>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</si>
  <si>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</si>
  <si>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</si>
  <si>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</si>
  <si>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</si>
  <si>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</si>
  <si>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</si>
  <si>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</si>
  <si>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</si>
  <si>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</si>
  <si>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</si>
  <si>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</si>
  <si>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</si>
  <si>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</si>
  <si>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</si>
  <si>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</si>
  <si>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</si>
  <si>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</si>
  <si>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</si>
  <si>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</si>
  <si>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</si>
  <si>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</si>
  <si>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</si>
  <si>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</si>
  <si>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</si>
  <si>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</si>
  <si>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</si>
  <si>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</si>
  <si>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</si>
  <si>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</si>
  <si>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</si>
  <si>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</si>
  <si>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</si>
  <si>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</si>
  <si>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</si>
  <si>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</si>
  <si>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</si>
  <si>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</si>
  <si>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</si>
  <si>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</si>
  <si>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</si>
  <si>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</si>
  <si>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</si>
  <si>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</si>
  <si>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</si>
  <si>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</si>
  <si>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</si>
  <si>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</si>
  <si>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</si>
  <si>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</si>
  <si>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</si>
  <si>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</si>
  <si>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</si>
  <si>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</si>
  <si>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</si>
  <si>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</si>
  <si>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</si>
  <si>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</si>
  <si>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</si>
  <si>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</si>
  <si>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</si>
  <si>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</si>
  <si>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</si>
  <si>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</si>
  <si>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</si>
  <si>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</si>
  <si>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</si>
  <si>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</si>
  <si>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</si>
  <si>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</si>
  <si>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</si>
  <si>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</si>
  <si>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</si>
  <si>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</si>
  <si>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</si>
  <si>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</si>
  <si>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</si>
  <si>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</si>
  <si>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</si>
  <si>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</si>
  <si>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</si>
  <si>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</si>
  <si>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</si>
  <si>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</si>
  <si>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</si>
  <si>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</si>
  <si>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</si>
  <si>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</si>
  <si>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</si>
  <si>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</si>
  <si>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</si>
  <si>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</si>
  <si>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</si>
  <si>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</si>
  <si>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</si>
  <si>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</si>
  <si>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</si>
  <si>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</si>
  <si>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</si>
  <si>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</si>
  <si>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</si>
  <si>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</si>
  <si>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</si>
  <si>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</si>
  <si>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</si>
  <si>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</si>
  <si>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</si>
  <si>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</si>
  <si>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</si>
  <si>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</si>
  <si>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</si>
  <si>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</si>
  <si>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</si>
  <si>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</si>
  <si>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</si>
  <si>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</si>
  <si>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</si>
  <si>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</si>
  <si>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</si>
  <si>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</si>
  <si>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</si>
  <si>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</si>
  <si>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</si>
  <si>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</si>
  <si>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</si>
  <si>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</si>
  <si>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</si>
  <si>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</si>
  <si>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</si>
  <si>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</si>
  <si>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</si>
  <si>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</si>
  <si>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</si>
  <si>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</si>
  <si>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</si>
  <si>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</si>
  <si>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</si>
  <si>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</si>
  <si>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</si>
  <si>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</si>
  <si>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</si>
  <si>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</si>
  <si>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</si>
  <si>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</si>
  <si>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</si>
  <si>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</si>
  <si>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</si>
  <si>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</si>
  <si>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</si>
  <si>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</si>
  <si>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</si>
  <si>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</si>
  <si>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</si>
  <si>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</si>
  <si>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</si>
  <si>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</si>
  <si>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</si>
  <si>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</si>
  <si>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</si>
  <si>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</si>
  <si>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</si>
  <si>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</si>
  <si>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</si>
  <si>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</si>
  <si>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</si>
  <si>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</si>
  <si>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</si>
  <si>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</si>
  <si>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</si>
  <si>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</si>
  <si>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</si>
  <si>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</si>
  <si>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</si>
  <si>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</si>
  <si>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</si>
  <si>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</si>
  <si>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</si>
  <si>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</si>
  <si>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</si>
  <si>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</si>
  <si>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</si>
  <si>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</si>
  <si>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</si>
  <si>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</si>
  <si>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</si>
  <si>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</si>
  <si>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</si>
  <si>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</si>
  <si>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</si>
  <si>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</si>
  <si>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</si>
  <si>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</si>
  <si>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</si>
  <si>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</si>
  <si>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</si>
  <si>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</si>
  <si>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</si>
  <si>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</si>
  <si>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</si>
  <si>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</si>
  <si>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</si>
  <si>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</si>
  <si>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</si>
  <si>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</si>
  <si>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</si>
  <si>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</si>
  <si>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</si>
  <si>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</si>
  <si>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</si>
  <si>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</si>
  <si>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</si>
  <si>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</si>
  <si>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</si>
  <si>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</si>
  <si>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</si>
  <si>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</si>
  <si>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</si>
  <si>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</si>
  <si>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</si>
  <si>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</si>
  <si>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</si>
  <si>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</si>
  <si>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</si>
  <si>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</si>
  <si>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</si>
  <si>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</si>
  <si>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</si>
  <si>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</si>
  <si>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</si>
  <si>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</si>
  <si>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</si>
  <si>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</si>
  <si>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</si>
  <si>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</si>
  <si>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</si>
  <si>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</si>
  <si>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</si>
  <si>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</si>
  <si>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</si>
  <si>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</si>
  <si>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</si>
  <si>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</si>
  <si>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</si>
  <si>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</si>
  <si>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</si>
  <si>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</si>
  <si>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</si>
  <si>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</si>
  <si>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</si>
  <si>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</si>
  <si>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</si>
  <si>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</si>
  <si>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</si>
  <si>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</si>
  <si>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</si>
  <si>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</si>
  <si>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</si>
  <si>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</si>
  <si>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</si>
  <si>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</si>
  <si>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</si>
  <si>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</si>
  <si>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</si>
  <si>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</si>
  <si>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</si>
  <si>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</si>
  <si>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</si>
  <si>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</si>
  <si>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</si>
  <si>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</si>
  <si>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</si>
  <si>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</si>
  <si>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</si>
  <si>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</si>
  <si>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</si>
  <si>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</si>
  <si>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</si>
  <si>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</si>
  <si>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</si>
  <si>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</si>
  <si>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</si>
  <si>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</si>
  <si>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</si>
  <si>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</si>
  <si>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</si>
  <si>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</si>
  <si>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</si>
  <si>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</si>
  <si>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</si>
  <si>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</si>
  <si>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</si>
  <si>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</si>
  <si>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</si>
  <si>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</si>
  <si>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</si>
  <si>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</si>
  <si>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</si>
  <si>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</si>
  <si>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</si>
  <si>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</si>
  <si>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</si>
  <si>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</si>
  <si>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</si>
  <si>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</si>
  <si>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</si>
  <si>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</si>
  <si>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</si>
  <si>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</si>
  <si>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</si>
  <si>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</si>
  <si>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</si>
  <si>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</si>
  <si>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</si>
  <si>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</si>
  <si>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</si>
  <si>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</si>
  <si>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</si>
  <si>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</si>
  <si>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</si>
  <si>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</si>
  <si>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</si>
  <si>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</si>
  <si>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</si>
  <si>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</si>
  <si>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</si>
  <si>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</si>
  <si>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</si>
  <si>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</si>
  <si>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</si>
  <si>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</si>
  <si>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</si>
  <si>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</si>
  <si>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</si>
  <si>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</si>
  <si>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</si>
  <si>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</si>
  <si>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</si>
  <si>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</si>
  <si>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</si>
  <si>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</si>
  <si>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</si>
  <si>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</si>
  <si>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</si>
  <si>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</si>
  <si>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</si>
  <si>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</si>
  <si>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</si>
  <si>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</si>
  <si>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</si>
  <si>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</si>
  <si>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</si>
  <si>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</si>
  <si>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</si>
  <si>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</si>
  <si>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</si>
  <si>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</si>
  <si>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</si>
  <si>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</si>
  <si>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</si>
  <si>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</si>
  <si>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</si>
  <si>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</si>
  <si>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</si>
  <si>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</si>
  <si>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</si>
  <si>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</si>
  <si>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</si>
  <si>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</si>
  <si>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</si>
  <si>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</si>
  <si>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</si>
  <si>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</si>
  <si>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</si>
  <si>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</si>
  <si>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</si>
  <si>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</si>
  <si>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</si>
  <si>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</si>
  <si>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</si>
  <si>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</si>
  <si>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</si>
  <si>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</si>
  <si>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</si>
  <si>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</si>
  <si>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</si>
  <si>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</si>
  <si>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</si>
  <si>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</si>
  <si>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</si>
  <si>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</si>
  <si>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</si>
  <si>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</si>
  <si>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</si>
  <si>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</si>
  <si>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</si>
  <si>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</si>
  <si>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</si>
  <si>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</si>
  <si>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</si>
  <si>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</si>
  <si>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</si>
  <si>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</si>
  <si>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</si>
  <si>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</si>
  <si>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</si>
  <si>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</si>
  <si>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</si>
  <si>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</si>
  <si>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</si>
  <si>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</si>
  <si>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</si>
  <si>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</si>
  <si>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</si>
  <si>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</si>
  <si>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</si>
  <si>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</si>
  <si>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</si>
  <si>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</si>
  <si>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</si>
  <si>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</si>
  <si>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</si>
  <si>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</si>
  <si>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</si>
  <si>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</si>
  <si>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</si>
  <si>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</si>
  <si>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</si>
  <si>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</si>
  <si>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</si>
  <si>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</si>
  <si>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</si>
  <si>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</si>
  <si>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</si>
  <si>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</si>
  <si>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</si>
  <si>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</si>
  <si>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</si>
  <si>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</si>
  <si>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</si>
  <si>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</si>
  <si>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</si>
  <si>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</si>
  <si>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</si>
  <si>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</si>
  <si>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</si>
  <si>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</si>
  <si>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</si>
  <si>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</si>
  <si>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</si>
  <si>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</si>
  <si>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</si>
  <si>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</si>
  <si>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</si>
  <si>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</si>
  <si>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</si>
  <si>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</si>
  <si>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</si>
  <si>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</si>
  <si>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</si>
  <si>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</si>
  <si>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</si>
  <si>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</si>
  <si>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</si>
  <si>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</si>
  <si>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</si>
  <si>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</si>
  <si>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</si>
  <si>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</si>
  <si>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</si>
  <si>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</si>
  <si>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</si>
  <si>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</si>
  <si>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</si>
  <si>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</si>
  <si>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</si>
  <si>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</si>
  <si>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</si>
  <si>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</si>
  <si>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</si>
  <si>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</si>
  <si>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</si>
  <si>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</si>
  <si>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</si>
  <si>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</si>
  <si>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</si>
  <si>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</si>
  <si>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</si>
  <si>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</si>
  <si>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</si>
  <si>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</si>
  <si>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</si>
  <si>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</si>
  <si>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</si>
  <si>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</si>
  <si>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</si>
  <si>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</si>
  <si>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</si>
  <si>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</si>
  <si>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</si>
  <si>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</si>
  <si>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</si>
  <si>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</si>
  <si>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</si>
  <si>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</si>
  <si>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</si>
  <si>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</si>
  <si>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</si>
  <si>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</si>
  <si>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</si>
  <si>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</si>
  <si>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</si>
  <si>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</si>
  <si>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</si>
  <si>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</si>
  <si>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</si>
  <si>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</si>
  <si>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</si>
  <si>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</si>
  <si>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</si>
  <si>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</si>
  <si>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</si>
  <si>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</si>
  <si>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</si>
  <si>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</si>
  <si>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</si>
  <si>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</si>
  <si>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</si>
  <si>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</si>
  <si>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</si>
  <si>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</si>
  <si>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</si>
  <si>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</si>
  <si>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</si>
  <si>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</si>
  <si>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</si>
  <si>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</si>
  <si>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</si>
  <si>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</si>
  <si>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</si>
  <si>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</si>
  <si>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</si>
  <si>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</si>
  <si>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</si>
  <si>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</si>
  <si>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</si>
  <si>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</si>
  <si>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</si>
  <si>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</si>
  <si>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</si>
  <si>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</si>
  <si>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</si>
  <si>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</si>
  <si>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</si>
  <si>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</si>
  <si>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</si>
  <si>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</si>
  <si>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</si>
  <si>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</si>
  <si>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</si>
  <si>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</si>
  <si>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</si>
  <si>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</si>
  <si>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</si>
  <si>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</si>
  <si>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</si>
  <si>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</si>
  <si>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</si>
  <si>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</si>
  <si>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</si>
  <si>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</si>
  <si>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</si>
  <si>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</si>
  <si>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</si>
  <si>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</si>
  <si>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</si>
  <si>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</si>
  <si>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</si>
  <si>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</si>
  <si>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</si>
  <si>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</si>
  <si>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</si>
  <si>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</si>
  <si>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</si>
  <si>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</si>
  <si>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</si>
  <si>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</si>
  <si>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</si>
  <si>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</si>
  <si>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</si>
  <si>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</si>
  <si>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</si>
  <si>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</si>
  <si>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</si>
  <si>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</si>
  <si>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</si>
  <si>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</si>
  <si>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</si>
  <si>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</si>
  <si>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</si>
  <si>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</si>
  <si>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</si>
  <si>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</si>
  <si>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</si>
  <si>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</si>
  <si>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</si>
  <si>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</si>
  <si>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</si>
  <si>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</si>
  <si>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</si>
  <si>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</si>
  <si>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</si>
  <si>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</si>
  <si>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</si>
  <si>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</si>
  <si>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</si>
  <si>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</si>
  <si>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</si>
  <si>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</si>
  <si>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</si>
  <si>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</si>
  <si>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</si>
  <si>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</si>
  <si>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</si>
  <si>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</si>
  <si>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</si>
  <si>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</si>
  <si>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</si>
  <si>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</si>
  <si>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</si>
  <si>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</si>
  <si>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</si>
  <si>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</si>
  <si>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</si>
  <si>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</si>
  <si>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</si>
  <si>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</si>
  <si>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</si>
  <si>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</si>
  <si>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</si>
  <si>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</si>
  <si>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</si>
  <si>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</si>
  <si>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</si>
  <si>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</si>
  <si>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</si>
  <si>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</si>
  <si>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</si>
  <si>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</si>
  <si>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</si>
  <si>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</si>
  <si>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</si>
  <si>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</si>
  <si>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</si>
  <si>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</si>
  <si>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</si>
  <si>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</si>
  <si>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</si>
  <si>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</si>
  <si>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</si>
  <si>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</si>
  <si>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</si>
  <si>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</si>
  <si>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</si>
  <si>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</si>
  <si>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</si>
  <si>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</si>
  <si>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</si>
  <si>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</si>
  <si>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</si>
  <si>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</si>
  <si>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</si>
  <si>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</si>
  <si>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</si>
  <si>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</si>
  <si>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</si>
  <si>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</si>
  <si>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</si>
  <si>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</si>
  <si>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</si>
  <si>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</si>
  <si>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</si>
  <si>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</si>
  <si>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</si>
  <si>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</si>
  <si>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</si>
  <si>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</si>
  <si>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</si>
  <si>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</si>
  <si>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</si>
  <si>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</si>
  <si>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</si>
  <si>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</si>
  <si>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</si>
  <si>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</si>
  <si>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</si>
  <si>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</si>
  <si>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</si>
  <si>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</si>
  <si>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</si>
  <si>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</si>
  <si>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</si>
  <si>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</si>
  <si>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</si>
  <si>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</si>
  <si>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</si>
  <si>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</si>
  <si>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</si>
  <si>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</si>
  <si>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</si>
  <si>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</si>
  <si>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</si>
  <si>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</si>
  <si>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</si>
  <si>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</si>
  <si>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</si>
  <si>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</si>
  <si>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</si>
  <si>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</si>
  <si>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</si>
  <si>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</si>
  <si>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</si>
  <si>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</si>
  <si>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</si>
  <si>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</si>
  <si>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</si>
  <si>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</si>
  <si>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</si>
  <si>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</si>
  <si>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</si>
  <si>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</si>
  <si>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</si>
  <si>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</si>
  <si>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</si>
  <si>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</si>
  <si>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</si>
  <si>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</si>
  <si>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</si>
  <si>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</si>
  <si>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</si>
  <si>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</si>
  <si>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</si>
  <si>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</si>
  <si>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</si>
  <si>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</si>
  <si>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</si>
  <si>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</si>
  <si>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</si>
  <si>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</si>
  <si>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</si>
  <si>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</si>
  <si>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</si>
  <si>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</si>
  <si>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</si>
  <si>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</si>
  <si>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</si>
  <si>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</si>
  <si>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</si>
  <si>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</si>
  <si>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</si>
  <si>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</si>
  <si>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</si>
  <si>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</si>
  <si>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</si>
  <si>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</si>
  <si>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</si>
  <si>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</si>
  <si>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</si>
  <si>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</si>
  <si>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</si>
  <si>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</si>
  <si>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</si>
  <si>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</si>
  <si>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</si>
  <si>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</si>
  <si>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</si>
  <si>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</si>
  <si>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</si>
  <si>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</si>
  <si>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</si>
  <si>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</si>
  <si>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</si>
  <si>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</si>
  <si>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</si>
  <si>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</si>
  <si>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</si>
  <si>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</si>
  <si>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</si>
  <si>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</si>
  <si>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</si>
  <si>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</si>
  <si>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</si>
  <si>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</si>
  <si>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</si>
  <si>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</si>
  <si>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</si>
  <si>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</si>
  <si>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</si>
  <si>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</si>
  <si>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</si>
  <si>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</si>
  <si>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</si>
  <si>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</si>
  <si>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</si>
  <si>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</si>
  <si>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</si>
  <si>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</si>
  <si>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</si>
  <si>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</si>
  <si>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</si>
  <si>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</si>
  <si>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</si>
  <si>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</si>
  <si>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</si>
  <si>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</si>
  <si>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</si>
  <si>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</si>
  <si>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</si>
  <si>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</si>
  <si>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</si>
  <si>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</si>
  <si>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</si>
  <si>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</si>
  <si>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</si>
  <si>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</si>
  <si>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</si>
  <si>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</si>
  <si>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</si>
  <si>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</si>
  <si>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</si>
  <si>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</si>
  <si>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</si>
  <si>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</si>
  <si>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</si>
  <si>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</si>
  <si>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</si>
  <si>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</si>
  <si>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</si>
  <si>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</si>
  <si>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</si>
  <si>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</si>
  <si>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</si>
  <si>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</si>
  <si>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</si>
  <si>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</si>
  <si>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</si>
  <si>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</si>
  <si>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</si>
  <si>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</si>
  <si>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</si>
  <si>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</si>
  <si>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</si>
  <si>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</si>
  <si>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</si>
  <si>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</si>
  <si>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</si>
  <si>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</si>
  <si>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</si>
  <si>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</si>
  <si>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</si>
  <si>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</si>
  <si>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</si>
  <si>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</si>
  <si>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</si>
  <si>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</si>
  <si>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</si>
  <si>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</si>
  <si>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</si>
  <si>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</si>
  <si>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</si>
  <si>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</si>
  <si>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</si>
  <si>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</si>
  <si>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</si>
  <si>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</si>
  <si>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</si>
  <si>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</si>
  <si>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</si>
  <si>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</si>
  <si>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</si>
  <si>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</si>
  <si>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</si>
  <si>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</si>
  <si>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</si>
  <si>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</si>
  <si>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</si>
  <si>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</si>
  <si>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</si>
  <si>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</si>
  <si>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</si>
  <si>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</si>
  <si>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</si>
  <si>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</si>
  <si>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</si>
  <si>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</si>
  <si>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</si>
  <si>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</si>
  <si>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</si>
  <si>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</si>
  <si>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</si>
  <si>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</si>
  <si>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</si>
  <si>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</si>
  <si>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</si>
  <si>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</si>
  <si>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</si>
  <si>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</si>
  <si>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</si>
  <si>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</si>
  <si>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</si>
  <si>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</si>
  <si>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</si>
  <si>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</si>
  <si>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</si>
  <si>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</si>
  <si>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</si>
  <si>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</si>
  <si>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</si>
  <si>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</si>
  <si>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</si>
  <si>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</si>
  <si>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</si>
  <si>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</si>
  <si>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</si>
  <si>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</si>
  <si>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</si>
  <si>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</si>
  <si>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</si>
  <si>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</si>
  <si>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</si>
  <si>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</si>
  <si>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</si>
  <si>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</si>
  <si>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</si>
  <si>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</si>
  <si>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</si>
  <si>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</si>
  <si>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</si>
  <si>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</si>
  <si>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</si>
  <si>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</si>
  <si>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</si>
  <si>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</si>
  <si>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</si>
  <si>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</si>
  <si>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</si>
  <si>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</si>
  <si>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</si>
  <si>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</si>
  <si>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</si>
  <si>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</si>
  <si>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</si>
  <si>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</si>
  <si>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</si>
  <si>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</si>
  <si>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</si>
  <si>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</si>
  <si>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</si>
  <si>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</si>
  <si>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</si>
  <si>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</si>
  <si>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</si>
  <si>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</si>
  <si>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</si>
  <si>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</si>
  <si>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</si>
  <si>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</si>
  <si>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</si>
  <si>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</si>
  <si>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</si>
  <si>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</si>
  <si>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</si>
  <si>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</si>
  <si>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</si>
  <si>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</si>
  <si>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</si>
  <si>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</si>
  <si>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</si>
  <si>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</si>
  <si>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</si>
  <si>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</si>
  <si>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</si>
  <si>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</si>
  <si>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</si>
  <si>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</si>
  <si>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</si>
  <si>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</si>
  <si>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</si>
  <si>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</si>
  <si>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</si>
  <si>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</si>
  <si>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</si>
  <si>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</si>
  <si>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</si>
  <si>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</si>
  <si>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</si>
  <si>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</si>
  <si>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</si>
  <si>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</si>
  <si>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</si>
  <si>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</si>
  <si>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</si>
  <si>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</si>
  <si>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</si>
  <si>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</si>
  <si>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</si>
  <si>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</si>
  <si>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</si>
  <si>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</si>
  <si>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</si>
  <si>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</si>
  <si>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</si>
  <si>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</si>
  <si>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</si>
  <si>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</si>
  <si>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</si>
  <si>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</si>
  <si>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</si>
  <si>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</si>
  <si>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</si>
  <si>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</si>
  <si>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</si>
  <si>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</si>
  <si>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</si>
  <si>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</si>
  <si>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</si>
  <si>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</si>
  <si>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</si>
  <si>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</si>
  <si>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</si>
  <si>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</si>
  <si>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</si>
  <si>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</si>
  <si>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</si>
  <si>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</si>
  <si>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</si>
  <si>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</si>
  <si>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</si>
  <si>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</si>
  <si>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</si>
  <si>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</si>
  <si>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</si>
  <si>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</si>
  <si>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</si>
  <si>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</si>
  <si>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</si>
  <si>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</si>
  <si>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</si>
  <si>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</si>
  <si>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</si>
  <si>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</si>
  <si>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</si>
  <si>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</si>
  <si>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</si>
  <si>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</si>
  <si>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</si>
  <si>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</si>
  <si>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</si>
  <si>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</si>
  <si>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</si>
  <si>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</si>
  <si>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</si>
  <si>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</si>
  <si>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</si>
  <si>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</si>
  <si>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</si>
  <si>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</si>
  <si>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</si>
  <si>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</si>
  <si>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</si>
  <si>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</si>
  <si>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</si>
  <si>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</si>
  <si>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</si>
  <si>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</si>
  <si>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</si>
  <si>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</si>
  <si>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</si>
  <si>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</si>
  <si>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</si>
  <si>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</si>
  <si>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</si>
  <si>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</si>
  <si>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</si>
  <si>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</si>
  <si>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</si>
  <si>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</si>
  <si>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</si>
  <si>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</si>
  <si>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</si>
  <si>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</si>
  <si>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</si>
  <si>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</si>
  <si>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</si>
  <si>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</si>
  <si>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</si>
  <si>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</si>
  <si>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</si>
  <si>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</si>
  <si>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</si>
  <si>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</si>
  <si>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</si>
  <si>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</si>
  <si>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</si>
  <si>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</si>
  <si>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</si>
  <si>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</si>
  <si>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</si>
  <si>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</si>
  <si>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</si>
  <si>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</si>
  <si>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</si>
  <si>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</si>
  <si>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</si>
  <si>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</si>
  <si>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</si>
  <si>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</si>
  <si>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</si>
  <si>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</si>
  <si>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</si>
  <si>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</si>
  <si>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</si>
  <si>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</si>
  <si>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</si>
  <si>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</si>
  <si>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</si>
  <si>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</si>
  <si>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</si>
  <si>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</si>
  <si>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</si>
  <si>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</si>
  <si>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</si>
  <si>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</si>
  <si>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</si>
  <si>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</si>
  <si>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</si>
  <si>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</si>
  <si>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</si>
  <si>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</si>
  <si>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</si>
  <si>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</si>
  <si>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</si>
  <si>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</si>
  <si>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</si>
  <si>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</si>
  <si>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</si>
  <si>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</si>
  <si>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</si>
  <si>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</si>
  <si>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</si>
  <si>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</si>
  <si>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</si>
  <si>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</si>
  <si>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</si>
  <si>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</si>
  <si>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</si>
  <si>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</si>
  <si>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</si>
  <si>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</si>
  <si>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</si>
  <si>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</si>
  <si>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</si>
  <si>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</si>
  <si>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</si>
  <si>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</si>
  <si>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</si>
  <si>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</si>
  <si>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</si>
  <si>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</si>
  <si>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</si>
  <si>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</si>
  <si>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</si>
  <si>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</si>
  <si>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</si>
  <si>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</si>
  <si>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</si>
  <si>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</si>
  <si>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</si>
  <si>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</si>
  <si>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</si>
  <si>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</si>
  <si>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</si>
  <si>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</si>
  <si>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</si>
  <si>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</si>
  <si>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</si>
  <si>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</si>
  <si>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</si>
  <si>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</si>
  <si>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</si>
  <si>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</si>
  <si>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</si>
  <si>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</si>
  <si>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</si>
  <si>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</si>
  <si>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</si>
  <si>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</si>
  <si>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</si>
  <si>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</si>
  <si>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</si>
  <si>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</si>
  <si>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</si>
  <si>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</si>
  <si>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</si>
  <si>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</si>
  <si>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</si>
  <si>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</si>
  <si>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</si>
  <si>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</si>
  <si>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</si>
  <si>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</si>
  <si>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</si>
  <si>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</si>
  <si>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</si>
  <si>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</si>
  <si>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</si>
  <si>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</si>
  <si>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</si>
  <si>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</si>
  <si>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</si>
  <si>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</si>
  <si>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</si>
  <si>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</si>
  <si>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</si>
  <si>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</si>
  <si>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</si>
  <si>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</si>
  <si>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</si>
  <si>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</si>
  <si>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</si>
  <si>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</si>
  <si>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</si>
  <si>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</si>
  <si>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</si>
  <si>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</si>
  <si>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</si>
  <si>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</si>
  <si>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</si>
  <si>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</si>
  <si>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</si>
  <si>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</si>
  <si>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</si>
  <si>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</si>
  <si>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</si>
  <si>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</si>
  <si>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</si>
  <si>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</si>
  <si>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</si>
  <si>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</si>
  <si>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</si>
  <si>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</si>
  <si>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</si>
  <si>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</si>
  <si>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</si>
  <si>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</si>
  <si>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</si>
  <si>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</si>
  <si>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</si>
  <si>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</si>
  <si>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</si>
  <si>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</si>
  <si>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</si>
  <si>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</si>
  <si>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</si>
  <si>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</si>
  <si>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</si>
  <si>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</si>
  <si>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</si>
  <si>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</si>
  <si>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</si>
  <si>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</si>
  <si>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</si>
  <si>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</si>
  <si>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</si>
  <si>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</si>
  <si>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</si>
  <si>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</si>
  <si>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</si>
  <si>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</si>
  <si>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</si>
  <si>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</si>
  <si>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</si>
  <si>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</si>
  <si>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</si>
  <si>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</si>
  <si>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</si>
  <si>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</si>
  <si>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</si>
  <si>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</si>
  <si>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</si>
  <si>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</si>
  <si>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</si>
  <si>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</si>
  <si>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</si>
  <si>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</si>
  <si>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</si>
  <si>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</si>
  <si>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</si>
  <si>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</si>
  <si>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</si>
  <si>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</si>
  <si>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</si>
  <si>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</si>
  <si>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</si>
  <si>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</si>
  <si>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</si>
  <si>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</si>
  <si>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</si>
  <si>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</si>
  <si>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</si>
  <si>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</si>
  <si>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</si>
  <si>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</si>
  <si>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</si>
  <si>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</si>
  <si>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</si>
  <si>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</si>
  <si>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</si>
  <si>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</si>
  <si>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</si>
  <si>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</si>
  <si>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</si>
  <si>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</si>
  <si>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</si>
  <si>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</si>
  <si>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</si>
  <si>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</si>
  <si>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</si>
  <si>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</si>
  <si>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</si>
  <si>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</si>
  <si>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</si>
  <si>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</si>
  <si>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</si>
  <si>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</si>
  <si>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</si>
  <si>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</si>
  <si>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</si>
  <si>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</si>
  <si>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</si>
  <si>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</si>
  <si>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</si>
  <si>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</si>
  <si>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</si>
  <si>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</si>
  <si>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</si>
  <si>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</si>
  <si>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</si>
  <si>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</si>
  <si>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</si>
  <si>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</si>
  <si>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</si>
  <si>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</si>
  <si>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</si>
  <si>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</si>
  <si>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</si>
  <si>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</si>
  <si>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</si>
  <si>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</si>
  <si>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</si>
  <si>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</si>
  <si>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</si>
  <si>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</si>
  <si>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</si>
  <si>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</si>
  <si>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</si>
  <si>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</si>
  <si>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</si>
  <si>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</si>
  <si>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</si>
  <si>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</si>
  <si>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</si>
  <si>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</si>
  <si>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</si>
  <si>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</si>
  <si>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</si>
  <si>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</si>
  <si>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</si>
  <si>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</si>
  <si>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</si>
  <si>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</si>
  <si>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</si>
  <si>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</si>
  <si>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</si>
  <si>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</si>
  <si>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</si>
  <si>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</si>
  <si>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</si>
  <si>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</si>
  <si>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</si>
  <si>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</si>
  <si>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</si>
  <si>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</si>
  <si>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</si>
  <si>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</si>
  <si>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</si>
  <si>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</si>
  <si>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</si>
  <si>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</si>
  <si>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</si>
  <si>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</si>
  <si>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</si>
  <si>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</si>
  <si>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</si>
  <si>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</si>
  <si>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</si>
  <si>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</si>
  <si>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</si>
  <si>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</si>
  <si>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</si>
  <si>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</si>
  <si>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</si>
  <si>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</si>
  <si>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</si>
  <si>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</si>
  <si>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</si>
  <si>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</si>
  <si>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</si>
  <si>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</si>
  <si>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</si>
  <si>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</si>
  <si>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</si>
  <si>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</si>
  <si>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</si>
  <si>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</si>
  <si>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</si>
  <si>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</si>
  <si>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</si>
  <si>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</si>
  <si>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</si>
  <si>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</si>
  <si>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</si>
  <si>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</si>
  <si>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</si>
  <si>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</si>
  <si>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</si>
  <si>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</si>
  <si>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</si>
  <si>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</si>
  <si>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</si>
  <si>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</si>
  <si>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</si>
  <si>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</si>
  <si>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</si>
  <si>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</si>
  <si>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</si>
  <si>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</si>
  <si>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</si>
  <si>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</si>
  <si>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</si>
  <si>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</si>
  <si>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</si>
  <si>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</si>
  <si>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</si>
  <si>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</si>
  <si>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</si>
  <si>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</si>
  <si>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</si>
  <si>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</si>
  <si>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</si>
  <si>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</si>
  <si>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</si>
  <si>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</si>
  <si>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</si>
  <si>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</si>
  <si>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</si>
  <si>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</si>
  <si>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</si>
  <si>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</si>
  <si>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</si>
  <si>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</si>
  <si>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</si>
  <si>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</si>
  <si>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</si>
  <si>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</si>
  <si>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</si>
  <si>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</si>
  <si>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</si>
  <si>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</si>
  <si>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</si>
  <si>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</si>
  <si>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</si>
  <si>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</si>
  <si>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</si>
  <si>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</si>
  <si>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</si>
  <si>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</si>
  <si>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</si>
  <si>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</si>
  <si>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</si>
  <si>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</si>
  <si>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</si>
  <si>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</si>
  <si>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</si>
  <si>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</si>
  <si>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</si>
  <si>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</si>
  <si>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</si>
  <si>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</si>
  <si>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</si>
  <si>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</si>
  <si>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</si>
  <si>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</si>
  <si>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</si>
  <si>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</si>
  <si>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</si>
  <si>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</si>
  <si>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</si>
  <si>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</si>
  <si>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</si>
  <si>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</si>
  <si>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</si>
  <si>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</si>
  <si>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</si>
  <si>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</si>
  <si>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</si>
  <si>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</si>
  <si>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</si>
  <si>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</si>
  <si>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</si>
  <si>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</si>
  <si>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</si>
  <si>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</si>
  <si>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</si>
  <si>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</si>
  <si>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</si>
  <si>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</si>
  <si>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</si>
  <si>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</si>
  <si>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</si>
  <si>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</si>
  <si>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</si>
  <si>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</si>
  <si>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</si>
  <si>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</si>
  <si>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</si>
  <si>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</si>
  <si>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</si>
  <si>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</si>
  <si>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</si>
  <si>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</si>
  <si>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</si>
  <si>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</si>
  <si>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</si>
  <si>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</si>
  <si>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</si>
  <si>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</si>
  <si>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</si>
  <si>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</si>
  <si>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</si>
  <si>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</si>
  <si>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</si>
  <si>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</si>
  <si>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</si>
  <si>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</si>
  <si>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</si>
  <si>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</si>
  <si>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</si>
  <si>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</si>
  <si>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</si>
  <si>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</si>
  <si>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</si>
  <si>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</si>
  <si>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</si>
  <si>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</si>
  <si>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</si>
  <si>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</si>
  <si>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</si>
  <si>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</si>
  <si>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</si>
  <si>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</si>
  <si>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</si>
  <si>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</si>
  <si>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</si>
  <si>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</si>
  <si>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</si>
  <si>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</si>
  <si>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</si>
  <si>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</si>
  <si>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</si>
  <si>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</si>
  <si>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</si>
  <si>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</si>
  <si>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</si>
  <si>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</si>
  <si>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</si>
  <si>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</si>
  <si>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</si>
  <si>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</si>
  <si>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</si>
  <si>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</si>
  <si>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</si>
  <si>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</si>
  <si>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</si>
  <si>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</si>
  <si>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</si>
  <si>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</si>
  <si>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</si>
  <si>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</si>
  <si>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</si>
  <si>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</si>
  <si>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</si>
  <si>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</si>
  <si>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</si>
  <si>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</si>
  <si>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</si>
  <si>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</si>
  <si>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</si>
  <si>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</si>
  <si>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</si>
  <si>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</si>
  <si>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</si>
  <si>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</si>
  <si>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</si>
  <si>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</si>
  <si>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</si>
  <si>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</si>
  <si>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</si>
  <si>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</si>
  <si>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</si>
  <si>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</si>
  <si>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</si>
  <si>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</si>
  <si>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</si>
  <si>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</si>
  <si>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</si>
  <si>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</si>
  <si>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</si>
  <si>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</si>
  <si>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</si>
  <si>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</si>
  <si>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</si>
  <si>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</si>
  <si>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</si>
  <si>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</si>
  <si>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</si>
  <si>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</si>
  <si>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</si>
  <si>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</si>
  <si>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</si>
  <si>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</si>
  <si>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</si>
  <si>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</si>
  <si>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</si>
  <si>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</si>
  <si>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</si>
  <si>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</si>
  <si>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</si>
  <si>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</si>
  <si>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</si>
  <si>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</si>
  <si>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</si>
  <si>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</si>
  <si>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</si>
  <si>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</si>
  <si>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</si>
  <si>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</si>
  <si>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</si>
  <si>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</si>
  <si>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</si>
  <si>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</si>
  <si>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</si>
  <si>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</si>
  <si>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</si>
  <si>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</si>
  <si>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</si>
  <si>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</si>
  <si>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</si>
  <si>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</si>
  <si>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</si>
  <si>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</si>
  <si>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</si>
  <si>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</si>
  <si>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</si>
  <si>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</si>
  <si>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</si>
  <si>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</si>
  <si>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</si>
  <si>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</si>
  <si>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</si>
  <si>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</si>
  <si>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</si>
  <si>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</si>
  <si>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</si>
  <si>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</si>
  <si>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</si>
  <si>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</si>
  <si>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</si>
  <si>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</si>
  <si>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</si>
  <si>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</si>
  <si>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</si>
  <si>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</si>
  <si>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</si>
  <si>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</si>
  <si>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</si>
  <si>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</si>
  <si>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</si>
  <si>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</si>
  <si>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</si>
  <si>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</si>
  <si>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</si>
  <si>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</si>
  <si>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</si>
  <si>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</si>
  <si>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</si>
  <si>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</si>
  <si>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</si>
  <si>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</si>
  <si>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</si>
  <si>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</si>
  <si>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</si>
  <si>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</si>
  <si>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</si>
  <si>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</si>
  <si>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</si>
  <si>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</si>
  <si>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</si>
  <si>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</si>
  <si>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</si>
  <si>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</si>
  <si>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</si>
  <si>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</si>
  <si>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</si>
  <si>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</si>
  <si>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</si>
  <si>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</si>
  <si>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</si>
  <si>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</si>
  <si>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</si>
  <si>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</si>
  <si>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</si>
  <si>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</si>
  <si>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</si>
  <si>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</si>
  <si>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</si>
  <si>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</si>
  <si>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</si>
  <si>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</si>
  <si>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</si>
  <si>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</si>
  <si>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</si>
  <si>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</si>
  <si>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</si>
  <si>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</si>
  <si>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</si>
  <si>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</si>
  <si>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</si>
  <si>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</si>
  <si>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</si>
  <si>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</si>
  <si>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</si>
  <si>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</si>
  <si>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</si>
  <si>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</si>
  <si>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</si>
  <si>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</si>
  <si>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</si>
  <si>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</si>
  <si>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</si>
  <si>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</si>
  <si>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</si>
  <si>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</si>
  <si>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</si>
  <si>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</si>
  <si>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</si>
  <si>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</si>
  <si>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</si>
  <si>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</si>
  <si>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</si>
  <si>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</si>
  <si>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</si>
  <si>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</si>
  <si>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</si>
  <si>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</si>
  <si>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</si>
  <si>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</si>
  <si>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</si>
  <si>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</si>
  <si>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</si>
  <si>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</si>
  <si>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</si>
  <si>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</si>
  <si>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</si>
  <si>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</si>
  <si>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</si>
  <si>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</si>
  <si>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</si>
  <si>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</si>
  <si>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</si>
  <si>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</si>
  <si>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</si>
  <si>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</si>
  <si>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</si>
  <si>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</si>
  <si>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</si>
  <si>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</si>
  <si>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</si>
  <si>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</si>
  <si>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</si>
  <si>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</si>
  <si>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</si>
  <si>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</si>
  <si>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</si>
  <si>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</si>
  <si>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</si>
  <si>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</si>
  <si>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</si>
  <si>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</si>
  <si>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</si>
  <si>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</si>
  <si>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</si>
  <si>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</si>
  <si>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</si>
  <si>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</si>
  <si>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</si>
  <si>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</si>
  <si>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</si>
  <si>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</si>
  <si>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</si>
  <si>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</si>
  <si>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</si>
  <si>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</si>
  <si>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</si>
  <si>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</si>
  <si>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</si>
  <si>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</si>
  <si>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</si>
  <si>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</si>
  <si>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</si>
  <si>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</si>
  <si>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</si>
  <si>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</si>
  <si>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</si>
  <si>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</si>
  <si>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</si>
  <si>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</si>
  <si>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</si>
  <si>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</si>
  <si>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</si>
  <si>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</si>
  <si>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</si>
  <si>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</si>
  <si>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</si>
  <si>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</si>
  <si>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</si>
  <si>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</si>
  <si>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</si>
  <si>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</si>
  <si>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</si>
  <si>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</si>
  <si>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</si>
  <si>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</si>
  <si>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</si>
  <si>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</si>
  <si>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</si>
  <si>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</si>
  <si>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</si>
  <si>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</si>
  <si>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</si>
  <si>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</si>
  <si>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</si>
  <si>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</si>
  <si>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</si>
  <si>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</si>
  <si>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</si>
  <si>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</si>
  <si>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</si>
  <si>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</si>
  <si>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</si>
  <si>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</si>
  <si>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</si>
  <si>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</si>
  <si>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</si>
  <si>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</si>
  <si>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</si>
  <si>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</si>
  <si>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</si>
  <si>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</si>
  <si>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</si>
  <si>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</si>
  <si>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</si>
  <si>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</si>
  <si>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</si>
  <si>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</si>
  <si>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</si>
  <si>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</si>
  <si>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</si>
  <si>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</si>
  <si>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</si>
  <si>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</si>
  <si>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</si>
  <si>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</si>
  <si>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</si>
  <si>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</si>
  <si>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</si>
  <si>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</si>
  <si>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</si>
  <si>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</si>
  <si>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</si>
  <si>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</si>
  <si>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</si>
  <si>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</si>
  <si>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</si>
  <si>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</si>
  <si>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</si>
  <si>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</si>
  <si>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</si>
  <si>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</si>
  <si>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</si>
  <si>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</si>
  <si>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</si>
  <si>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</si>
  <si>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</si>
  <si>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</si>
  <si>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</si>
  <si>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</si>
  <si>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</si>
  <si>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</si>
  <si>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</si>
  <si>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</si>
  <si>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</si>
  <si>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</si>
  <si>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</si>
  <si>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</si>
  <si>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</si>
  <si>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</si>
  <si>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</si>
  <si>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</si>
  <si>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</si>
  <si>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</si>
  <si>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</si>
  <si>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</si>
  <si>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</si>
  <si>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</si>
  <si>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</si>
  <si>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</si>
  <si>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</si>
  <si>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</si>
  <si>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</si>
  <si>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</si>
  <si>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</si>
  <si>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</si>
  <si>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</si>
  <si>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</si>
  <si>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</si>
  <si>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</si>
  <si>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</si>
  <si>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</si>
  <si>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</si>
  <si>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</si>
  <si>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</si>
  <si>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</si>
  <si>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</si>
  <si>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</si>
  <si>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</si>
  <si>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</si>
  <si>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</si>
  <si>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</si>
  <si>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</si>
  <si>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</si>
  <si>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</si>
  <si>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</si>
  <si>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</si>
  <si>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</si>
  <si>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</si>
  <si>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</si>
  <si>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</si>
  <si>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</si>
  <si>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</si>
  <si>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</si>
  <si>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</si>
  <si>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</si>
  <si>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</si>
  <si>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</si>
  <si>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</si>
  <si>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</si>
  <si>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</si>
  <si>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</si>
  <si>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</si>
  <si>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</si>
  <si>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</si>
  <si>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</si>
  <si>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</si>
  <si>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</si>
  <si>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</si>
  <si>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</si>
  <si>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</si>
  <si>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</si>
  <si>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</si>
  <si>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</si>
  <si>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</si>
  <si>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</si>
  <si>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</si>
  <si>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</si>
  <si>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</si>
  <si>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</si>
  <si>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</si>
  <si>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</si>
  <si>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</si>
  <si>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</si>
  <si>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</si>
  <si>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</si>
  <si>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</si>
  <si>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</si>
  <si>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</si>
  <si>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</si>
  <si>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</si>
  <si>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</si>
  <si>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</si>
  <si>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</si>
  <si>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</si>
  <si>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</si>
  <si>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</si>
  <si>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</si>
  <si>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</si>
  <si>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</si>
  <si>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</si>
  <si>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</si>
  <si>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</si>
  <si>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</si>
  <si>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</si>
  <si>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</si>
  <si>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</si>
  <si>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</si>
  <si>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</si>
  <si>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</si>
  <si>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</si>
  <si>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</si>
  <si>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</si>
  <si>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</si>
  <si>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</si>
  <si>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</si>
  <si>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</si>
  <si>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</si>
  <si>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</si>
  <si>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</si>
  <si>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</si>
  <si>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</si>
  <si>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</si>
  <si>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</si>
  <si>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</si>
  <si>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</si>
  <si>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</si>
  <si>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</si>
  <si>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</si>
  <si>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</si>
  <si>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</si>
  <si>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</si>
  <si>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</si>
  <si>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</si>
  <si>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</si>
  <si>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</si>
  <si>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</si>
  <si>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</si>
  <si>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</si>
  <si>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</si>
  <si>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</si>
  <si>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</si>
  <si>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</si>
  <si>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</si>
  <si>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</si>
  <si>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</si>
  <si>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</si>
  <si>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</si>
  <si>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</si>
  <si>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</si>
  <si>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</si>
  <si>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</si>
  <si>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</si>
  <si>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</si>
  <si>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</si>
  <si>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</si>
  <si>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</si>
  <si>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</si>
  <si>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</si>
  <si>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</si>
  <si>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</si>
  <si>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</si>
  <si>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</si>
  <si>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</si>
  <si>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</si>
  <si>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</si>
  <si>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</si>
  <si>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</si>
  <si>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</si>
  <si>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</si>
  <si>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</si>
  <si>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</si>
  <si>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</si>
  <si>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</si>
  <si>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</si>
  <si>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</si>
  <si>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</si>
  <si>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</si>
  <si>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</si>
  <si>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</si>
  <si>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</si>
  <si>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</si>
  <si>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</si>
  <si>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</si>
  <si>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</si>
  <si>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</si>
  <si>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</si>
  <si>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</si>
  <si>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</si>
  <si>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</si>
  <si>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</si>
  <si>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</si>
  <si>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</si>
  <si>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</si>
  <si>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</si>
  <si>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</si>
  <si>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</si>
  <si>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</si>
  <si>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</si>
  <si>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</si>
  <si>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</si>
  <si>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</si>
  <si>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</si>
  <si>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</si>
  <si>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</si>
  <si>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</si>
  <si>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</si>
  <si>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</si>
  <si>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</si>
  <si>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</si>
  <si>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</si>
  <si>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</si>
  <si>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</si>
  <si>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</si>
  <si>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</si>
  <si>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</si>
  <si>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</si>
  <si>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</si>
  <si>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</si>
  <si>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</si>
  <si>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</si>
  <si>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</si>
  <si>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</si>
  <si>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</si>
  <si>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</si>
  <si>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</si>
  <si>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</si>
  <si>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</si>
  <si>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</si>
  <si>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</si>
  <si>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</si>
  <si>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</si>
  <si>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</si>
  <si>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</si>
  <si>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</si>
  <si>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</si>
  <si>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</si>
  <si>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</si>
  <si>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</si>
  <si>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</si>
  <si>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</si>
  <si>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</si>
  <si>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</si>
  <si>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</si>
  <si>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</si>
  <si>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</si>
  <si>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</si>
  <si>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</si>
  <si>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</si>
  <si>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</si>
  <si>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</si>
  <si>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</si>
  <si>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</si>
  <si>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</si>
  <si>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</si>
  <si>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</si>
  <si>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</si>
  <si>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</si>
  <si>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</si>
  <si>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</si>
  <si>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</si>
  <si>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</si>
  <si>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</si>
  <si>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</si>
  <si>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</si>
  <si>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</si>
  <si>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</si>
  <si>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</si>
  <si>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</si>
  <si>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</si>
  <si>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</si>
  <si>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</si>
  <si>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</si>
  <si>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</si>
  <si>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</si>
  <si>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</si>
  <si>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</si>
  <si>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</si>
  <si>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</si>
  <si>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</si>
  <si>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</si>
  <si>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</si>
  <si>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</si>
  <si>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</si>
  <si>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</si>
  <si>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</si>
  <si>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</si>
  <si>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</si>
  <si>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</si>
  <si>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</si>
  <si>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</si>
  <si>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</si>
  <si>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</si>
  <si>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</si>
  <si>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</si>
  <si>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</si>
  <si>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</si>
  <si>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</si>
  <si>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</si>
  <si>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</si>
  <si>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</si>
  <si>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</si>
  <si>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</si>
  <si>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</si>
  <si>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</si>
  <si>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</si>
  <si>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</si>
  <si>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</si>
  <si>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</si>
  <si>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</si>
  <si>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</si>
  <si>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</si>
  <si>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</si>
  <si>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</si>
  <si>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</si>
  <si>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</si>
  <si>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</si>
  <si>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</si>
  <si>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</si>
  <si>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</si>
  <si>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</si>
  <si>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</si>
  <si>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</si>
  <si>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</si>
  <si>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</si>
  <si>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</si>
  <si>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</si>
  <si>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</si>
  <si>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</si>
  <si>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</si>
  <si>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</si>
  <si>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</si>
  <si>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</si>
  <si>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</si>
  <si>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</si>
  <si>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</si>
  <si>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</si>
  <si>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</si>
  <si>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</si>
  <si>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</si>
  <si>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</si>
  <si>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</si>
  <si>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</si>
  <si>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</si>
  <si>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</si>
  <si>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</si>
  <si>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</si>
  <si>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</si>
  <si>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</si>
  <si>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</si>
  <si>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</si>
  <si>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</si>
  <si>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</si>
  <si>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</si>
  <si>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</si>
  <si>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</si>
  <si>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</si>
  <si>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</si>
  <si>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</si>
  <si>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</si>
  <si>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</si>
  <si>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</si>
  <si>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</si>
  <si>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</si>
  <si>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</si>
  <si>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</si>
  <si>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</si>
  <si>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</si>
  <si>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</si>
  <si>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</si>
  <si>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</si>
  <si>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</si>
  <si>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</si>
  <si>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</si>
  <si>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</si>
  <si>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</si>
  <si>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</si>
  <si>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</si>
  <si>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</si>
  <si>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</si>
  <si>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</si>
  <si>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</si>
  <si>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</si>
  <si>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</si>
  <si>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</si>
  <si>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</si>
  <si>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</si>
  <si>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</si>
  <si>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</si>
  <si>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</si>
  <si>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</si>
  <si>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</si>
  <si>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</si>
  <si>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</si>
  <si>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</si>
  <si>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</si>
  <si>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</si>
  <si>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</si>
  <si>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</si>
  <si>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</si>
  <si>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</si>
  <si>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</si>
  <si>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</si>
  <si>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</si>
  <si>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</si>
  <si>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</si>
  <si>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</si>
  <si>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</si>
  <si>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</si>
  <si>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</si>
  <si>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</si>
  <si>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</si>
  <si>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</si>
  <si>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</si>
  <si>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</si>
  <si>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</si>
  <si>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</si>
  <si>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</si>
  <si>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</si>
  <si>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</si>
  <si>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</si>
  <si>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</si>
  <si>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</si>
  <si>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</si>
  <si>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</si>
  <si>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</si>
  <si>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</si>
  <si>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</si>
  <si>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</si>
  <si>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</si>
  <si>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</si>
  <si>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</si>
  <si>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</si>
  <si>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</si>
  <si>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</si>
  <si>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</si>
  <si>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</si>
  <si>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</si>
  <si>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4537947#1</t>
  </si>
  <si>
    <t>Ferrymac</t>
  </si>
  <si>
    <t>4546353#1</t>
  </si>
  <si>
    <t>Soluvial.cl</t>
  </si>
  <si>
    <t>4596296#1</t>
  </si>
  <si>
    <t>Sensatostudio</t>
  </si>
  <si>
    <t>4538378#1</t>
  </si>
  <si>
    <t>Ajsolutionsa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</si>
  <si>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</si>
  <si>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</si>
  <si>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</si>
  <si>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</si>
  <si>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</si>
  <si>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</si>
  <si>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</si>
  <si>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</si>
  <si>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</si>
  <si>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</si>
  <si>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</si>
  <si>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</si>
  <si>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</si>
  <si>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</si>
  <si>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</si>
  <si>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</si>
  <si>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</si>
  <si>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</si>
  <si>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</si>
  <si>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</si>
  <si>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</si>
  <si>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</si>
  <si>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</si>
  <si>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</si>
  <si>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</si>
  <si>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</si>
  <si>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</si>
  <si>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</si>
  <si>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</si>
  <si>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</si>
  <si>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</si>
  <si>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</si>
  <si>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</si>
  <si>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</si>
  <si>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</si>
  <si>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</si>
  <si>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</si>
  <si>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</si>
  <si>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</si>
  <si>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</si>
  <si>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</si>
  <si>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</si>
  <si>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</si>
  <si>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</si>
  <si>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</si>
  <si>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</si>
  <si>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</si>
  <si>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</si>
  <si>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</si>
  <si>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</si>
  <si>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</si>
  <si>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</si>
  <si>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</si>
  <si>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</si>
  <si>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</si>
  <si>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</si>
  <si>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</si>
  <si>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</si>
  <si>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</si>
  <si>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</si>
  <si>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</si>
  <si>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</si>
  <si>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</si>
  <si>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</si>
  <si>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</si>
  <si>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</si>
  <si>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</si>
  <si>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</si>
  <si>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</si>
  <si>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</si>
  <si>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</si>
  <si>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</si>
  <si>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</si>
  <si>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</si>
  <si>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</si>
  <si>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</si>
  <si>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</si>
  <si>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</si>
  <si>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</si>
  <si>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</si>
  <si>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</si>
  <si>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</si>
  <si>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</si>
  <si>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</si>
  <si>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</si>
  <si>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</si>
  <si>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</si>
  <si>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</si>
  <si>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</si>
  <si>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</si>
  <si>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</si>
  <si>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</si>
  <si>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</si>
  <si>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</si>
  <si>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</si>
  <si>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</si>
  <si>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</si>
  <si>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</si>
  <si>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</si>
  <si>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</si>
  <si>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3405547#1</t>
  </si>
  <si>
    <t>Brilliantmindshn</t>
  </si>
  <si>
    <t>4529979#1</t>
  </si>
  <si>
    <t>Omnitracssa</t>
  </si>
  <si>
    <t>4575435#1</t>
  </si>
  <si>
    <t>Woodinteriorspma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</si>
  <si>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</si>
  <si>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</si>
  <si>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</si>
  <si>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</si>
  <si>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</si>
  <si>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</si>
  <si>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1554504#2</t>
  </si>
  <si>
    <t>Frimont Sa</t>
  </si>
  <si>
    <t>An additional case related to the entity was identified and investigated</t>
  </si>
  <si>
    <t>4549848#1</t>
  </si>
  <si>
    <t>Cmrcimbras</t>
  </si>
  <si>
    <t>4478992#1, 1129100#1</t>
  </si>
  <si>
    <t>Jvconstructor</t>
  </si>
  <si>
    <t>4553745#1</t>
  </si>
  <si>
    <t>Hrcasinopuntacana</t>
  </si>
  <si>
    <t>4474665#1</t>
  </si>
  <si>
    <t>Grupochier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</si>
  <si>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</si>
  <si>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</si>
  <si>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</si>
  <si>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</si>
  <si>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</si>
  <si>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</si>
  <si>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</si>
  <si>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</si>
  <si>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</si>
  <si>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</si>
  <si>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</si>
  <si>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</si>
  <si>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</si>
  <si>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</si>
  <si>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</si>
  <si>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</si>
  <si>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</si>
  <si>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</si>
  <si>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</si>
  <si>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</si>
  <si>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</si>
  <si>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</si>
  <si>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</si>
  <si>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</si>
  <si>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</si>
  <si>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</si>
  <si>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</si>
  <si>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</si>
  <si>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</si>
  <si>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</si>
  <si>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</si>
  <si>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</si>
  <si>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</si>
  <si>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189561#2</t>
  </si>
  <si>
    <t>Enacal</t>
  </si>
  <si>
    <t>4570145#1</t>
  </si>
  <si>
    <t>Bavikon</t>
  </si>
  <si>
    <t>4614486#1</t>
  </si>
  <si>
    <t>Anaaltunadesign</t>
  </si>
  <si>
    <t>2514614#1</t>
  </si>
  <si>
    <t>Colortex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</si>
  <si>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</si>
  <si>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</si>
  <si>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</si>
  <si>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</si>
  <si>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</si>
  <si>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</si>
  <si>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</si>
  <si>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</si>
  <si>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</si>
  <si>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</si>
  <si>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</si>
  <si>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</si>
  <si>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</si>
  <si>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</si>
  <si>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</si>
  <si>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</si>
  <si>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</si>
  <si>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</si>
  <si>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</si>
  <si>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</si>
  <si>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</si>
  <si>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</si>
  <si>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</si>
  <si>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</si>
  <si>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</si>
  <si>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</si>
  <si>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</si>
  <si>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</si>
  <si>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</si>
  <si>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</si>
  <si>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</si>
  <si>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</si>
  <si>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</si>
  <si>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</si>
  <si>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</si>
  <si>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</si>
  <si>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</si>
  <si>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</si>
  <si>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</si>
  <si>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</si>
  <si>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</si>
  <si>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</si>
  <si>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</si>
  <si>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</si>
  <si>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</si>
  <si>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</si>
  <si>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</si>
  <si>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</si>
  <si>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</si>
  <si>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</si>
  <si>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</si>
  <si>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</si>
  <si>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</si>
  <si>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</si>
  <si>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</si>
  <si>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</si>
  <si>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</si>
  <si>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</si>
  <si>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</si>
  <si>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</si>
  <si>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</si>
  <si>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</si>
  <si>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</si>
  <si>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</si>
  <si>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</si>
  <si>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</si>
  <si>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</si>
  <si>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</si>
  <si>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</si>
  <si>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</si>
  <si>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</si>
  <si>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</si>
  <si>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</si>
  <si>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</si>
  <si>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</si>
  <si>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</si>
  <si>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</si>
  <si>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</si>
  <si>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</si>
  <si>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</si>
  <si>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</si>
  <si>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</si>
  <si>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</si>
  <si>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</si>
  <si>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</si>
  <si>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</si>
  <si>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</si>
  <si>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</si>
  <si>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</si>
  <si>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</si>
  <si>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</si>
  <si>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</si>
  <si>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</si>
  <si>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</si>
  <si>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4212196#1</t>
  </si>
  <si>
    <t>Ifssac</t>
  </si>
  <si>
    <t>4528943#1</t>
  </si>
  <si>
    <t>Construccionescct</t>
  </si>
  <si>
    <t>2392382#1</t>
  </si>
  <si>
    <t>Cobitat</t>
  </si>
  <si>
    <t>4610393#1</t>
  </si>
  <si>
    <t>Ingomar - Soluciones en Caucho</t>
  </si>
  <si>
    <t>4589085#1</t>
  </si>
  <si>
    <t>Omeinteriors</t>
  </si>
  <si>
    <t>3867287#1</t>
  </si>
  <si>
    <t>Gomez Roco</t>
  </si>
  <si>
    <t>4573944#1</t>
  </si>
  <si>
    <t>Laposta</t>
  </si>
  <si>
    <t>4562412#1</t>
  </si>
  <si>
    <t>Aesarquitectos</t>
  </si>
  <si>
    <t>1329080#1</t>
  </si>
  <si>
    <t>EXO S.A. - Soluciones Tecnológicas</t>
  </si>
  <si>
    <t>4605286#1</t>
  </si>
  <si>
    <t>Grupoancon</t>
  </si>
  <si>
    <t>1830401#2</t>
  </si>
  <si>
    <t>DelCampo School</t>
  </si>
  <si>
    <t>2394114#1</t>
  </si>
  <si>
    <t>Carpeal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</si>
  <si>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</si>
  <si>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</si>
  <si>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</si>
  <si>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</si>
  <si>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</si>
  <si>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</si>
  <si>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</si>
  <si>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4643293#1</t>
  </si>
  <si>
    <t>MUEBLES GL SAC</t>
  </si>
  <si>
    <t>4576242#1</t>
  </si>
  <si>
    <t>Echegarayarquitectos</t>
  </si>
  <si>
    <t>4590983#1</t>
  </si>
  <si>
    <t>Filabe</t>
  </si>
  <si>
    <t>4544508#1</t>
  </si>
  <si>
    <t>Ofinova</t>
  </si>
  <si>
    <t>534433#1</t>
  </si>
  <si>
    <t>Discover</t>
  </si>
  <si>
    <t>3876430#1</t>
  </si>
  <si>
    <t>Santateresita</t>
  </si>
  <si>
    <t>4627065#1</t>
  </si>
  <si>
    <t>Mmaarq</t>
  </si>
  <si>
    <t>4550240#1</t>
  </si>
  <si>
    <t>Corporacionmac</t>
  </si>
  <si>
    <t>2446700#3</t>
  </si>
  <si>
    <t>C.E.P. Santa Maria De Brena E.I.R.L.</t>
  </si>
  <si>
    <t>2286559#2</t>
  </si>
  <si>
    <t>Prochap</t>
  </si>
  <si>
    <t xml:space="preserve">4567048#1
</t>
  </si>
  <si>
    <t>ModularA01</t>
  </si>
  <si>
    <t>1264047#1</t>
  </si>
  <si>
    <t>Frigerio Nelson Horacio</t>
  </si>
  <si>
    <t>4524163#1</t>
  </si>
  <si>
    <t>Oriontis</t>
  </si>
  <si>
    <t>1999370#1</t>
  </si>
  <si>
    <t>BTL Marketing</t>
  </si>
  <si>
    <t>1843590#1</t>
  </si>
  <si>
    <t>Andariega SRL</t>
  </si>
  <si>
    <t>4470575#1</t>
  </si>
  <si>
    <t>Dearcos</t>
  </si>
  <si>
    <t>607749#1</t>
  </si>
  <si>
    <t>Contempo Casa</t>
  </si>
  <si>
    <t>1629451#1</t>
  </si>
  <si>
    <t>ISCOT Services</t>
  </si>
  <si>
    <t>4529099#1</t>
  </si>
  <si>
    <t>Construtex</t>
  </si>
  <si>
    <t>236423#2</t>
  </si>
  <si>
    <t>Emycsa</t>
  </si>
  <si>
    <t>2308890#1</t>
  </si>
  <si>
    <t>Bestchem</t>
  </si>
  <si>
    <t>4365646#1</t>
  </si>
  <si>
    <t>XBRI Cubiertas</t>
  </si>
  <si>
    <t>482192#1</t>
  </si>
  <si>
    <t>INMARK</t>
  </si>
  <si>
    <t>902412#1</t>
  </si>
  <si>
    <t>Alubrysl</t>
  </si>
  <si>
    <t>4507688#1</t>
  </si>
  <si>
    <t>Angapet</t>
  </si>
  <si>
    <t>1744348#1</t>
  </si>
  <si>
    <t>Edson Simeon</t>
  </si>
  <si>
    <t>1101658#1</t>
  </si>
  <si>
    <t>Plastigas Mar del Plata SA</t>
  </si>
  <si>
    <t>982008#1</t>
  </si>
  <si>
    <t>Ximena Ximenez</t>
  </si>
  <si>
    <t>582377#1</t>
  </si>
  <si>
    <t>Newcity Residencial</t>
  </si>
  <si>
    <t>2143072#1</t>
  </si>
  <si>
    <t>suministro de obras</t>
  </si>
  <si>
    <t>4320677#1</t>
  </si>
  <si>
    <t>Blindajesecurity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</si>
  <si>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</si>
  <si>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</si>
  <si>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</si>
  <si>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</si>
  <si>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</si>
  <si>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</si>
  <si>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</si>
  <si>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</si>
  <si>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</si>
  <si>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</si>
  <si>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</si>
  <si>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</si>
  <si>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</si>
  <si>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</si>
  <si>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</si>
  <si>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</si>
  <si>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</si>
  <si>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</si>
  <si>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1069552#1</t>
  </si>
  <si>
    <t>Zibza Arquitectos</t>
  </si>
  <si>
    <t>752966#2</t>
  </si>
  <si>
    <t>Intenisa</t>
  </si>
  <si>
    <t>1909411#1, 1692352#1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</si>
  <si>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</si>
  <si>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</si>
  <si>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</si>
  <si>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</si>
  <si>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</si>
  <si>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</si>
  <si>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</si>
  <si>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</si>
  <si>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</si>
  <si>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</si>
  <si>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</si>
  <si>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</si>
  <si>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</si>
  <si>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</si>
  <si>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</si>
  <si>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</si>
  <si>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</si>
  <si>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</si>
  <si>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</si>
  <si>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</si>
  <si>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</si>
  <si>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</si>
  <si>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</si>
  <si>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</si>
  <si>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1033113#1</t>
  </si>
  <si>
    <t>Veyco</t>
  </si>
  <si>
    <t>1414832#1</t>
  </si>
  <si>
    <t>Apeec</t>
  </si>
  <si>
    <t>2922574#1</t>
  </si>
  <si>
    <t>Addison House Panama</t>
  </si>
  <si>
    <t>1477809#1</t>
  </si>
  <si>
    <t>Sinergiagrupo</t>
  </si>
  <si>
    <t>Last event 2023, not valid. Disqualified.</t>
  </si>
  <si>
    <t>482307#1</t>
  </si>
  <si>
    <t>Arqge Arquitectos SRL</t>
  </si>
  <si>
    <t xml:space="preserve">4648684#1
</t>
  </si>
  <si>
    <t>Miranda Arquitectos Peru</t>
  </si>
  <si>
    <t>4334064#1</t>
  </si>
  <si>
    <t>Elmntosarquitectura</t>
  </si>
  <si>
    <t>891797#1</t>
  </si>
  <si>
    <t>Benito Roggio e Hijos S.A Paraguay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</si>
  <si>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</si>
  <si>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</si>
  <si>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</si>
  <si>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</si>
  <si>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</si>
  <si>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1548654#1</t>
  </si>
  <si>
    <t>Duodesignlatam</t>
  </si>
  <si>
    <t>1193653#1</t>
  </si>
  <si>
    <t>Lihue Ingenieria S A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</si>
  <si>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</si>
  <si>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</si>
  <si>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</si>
  <si>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</si>
  <si>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</si>
  <si>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4390615#1</t>
  </si>
  <si>
    <t>Cohenarchitecture</t>
  </si>
  <si>
    <t>1856715#1</t>
  </si>
  <si>
    <t>Rowa S A</t>
  </si>
  <si>
    <t>4427483#1</t>
  </si>
  <si>
    <t>Dfsolucionescr</t>
  </si>
  <si>
    <t>448954#1</t>
  </si>
  <si>
    <t>Arke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</si>
  <si>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</si>
  <si>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</si>
  <si>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</si>
  <si>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</si>
  <si>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</si>
  <si>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2243817#1</t>
  </si>
  <si>
    <t>Arquifoamgt</t>
  </si>
  <si>
    <t>Multiplied case - Ruvixx Strategic Old Accounts</t>
  </si>
  <si>
    <t>715742#1</t>
  </si>
  <si>
    <t>ROSART Eirl</t>
  </si>
  <si>
    <t>2294246#1</t>
  </si>
  <si>
    <t>Programática de Costa Rica S.A.</t>
  </si>
  <si>
    <t>4366325#1</t>
  </si>
  <si>
    <t>Admdalvian</t>
  </si>
  <si>
    <t>3802131#2</t>
  </si>
  <si>
    <t>Desarrollo Y Nutricion Animal</t>
  </si>
  <si>
    <t>4551859#1</t>
  </si>
  <si>
    <t>Alcasrl</t>
  </si>
  <si>
    <t>3402597#1</t>
  </si>
  <si>
    <t>Prepanama</t>
  </si>
  <si>
    <t>4527503#1</t>
  </si>
  <si>
    <t>Cucina Ideale</t>
  </si>
  <si>
    <t>454344#1</t>
  </si>
  <si>
    <t>Cortinaje by Angel Cabrera</t>
  </si>
  <si>
    <t>2222172#2</t>
  </si>
  <si>
    <t>Omnitronic S.A.</t>
  </si>
  <si>
    <t>4216035#1</t>
  </si>
  <si>
    <t>Solrealgroup</t>
  </si>
  <si>
    <t>2189826#1</t>
  </si>
  <si>
    <t>Grupo MDay</t>
  </si>
  <si>
    <t>1451853#2</t>
  </si>
  <si>
    <t>SCH ConsultorÃ­a y ConstrucciÃ³n</t>
  </si>
  <si>
    <t>2353931#1</t>
  </si>
  <si>
    <t>Palma Orlando Agustin</t>
  </si>
  <si>
    <t>593940#1</t>
  </si>
  <si>
    <t>Cb2arq</t>
  </si>
  <si>
    <t>1265310#1</t>
  </si>
  <si>
    <t>CScreatividad Stands</t>
  </si>
  <si>
    <t>1347606#1</t>
  </si>
  <si>
    <t>Sandiego</t>
  </si>
  <si>
    <t>1061146#1</t>
  </si>
  <si>
    <t>ENGINEERING S.A.</t>
  </si>
  <si>
    <t>4386543#1</t>
  </si>
  <si>
    <t>Industrias Merlet S.A. De C.V</t>
  </si>
  <si>
    <t>798135#1</t>
  </si>
  <si>
    <t>UNIBER</t>
  </si>
  <si>
    <t>4333772#1</t>
  </si>
  <si>
    <t>Rosul</t>
  </si>
  <si>
    <t>1793643#1</t>
  </si>
  <si>
    <t>Perfilsrl</t>
  </si>
  <si>
    <t>4515528#1</t>
  </si>
  <si>
    <t>Pulsoarquitectura</t>
  </si>
  <si>
    <t>1362150#1</t>
  </si>
  <si>
    <t>CLC Arquitectos</t>
  </si>
  <si>
    <t>1793331#1</t>
  </si>
  <si>
    <t>ISAD, S.A.</t>
  </si>
  <si>
    <t>1261839#1</t>
  </si>
  <si>
    <t>Norfor SA</t>
  </si>
  <si>
    <t>3900448#1</t>
  </si>
  <si>
    <t>Metalicaimperio</t>
  </si>
  <si>
    <t>1025747#1</t>
  </si>
  <si>
    <t>Urbano Express Argentina S.A.</t>
  </si>
  <si>
    <t>932564#1</t>
  </si>
  <si>
    <t>Plastikito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</si>
  <si>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</si>
  <si>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</si>
  <si>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</si>
  <si>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</si>
  <si>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</si>
  <si>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</si>
  <si>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</si>
  <si>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</si>
  <si>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</si>
  <si>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</si>
  <si>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</si>
  <si>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</si>
  <si>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 xml:space="preserve">Cooperatives are constituted as non-profit entities.
</t>
  </si>
  <si>
    <t>4567420#1</t>
  </si>
  <si>
    <t>Grupo</t>
  </si>
  <si>
    <t>Re launch</t>
  </si>
  <si>
    <t>3885743#1</t>
  </si>
  <si>
    <t>Metrocubico</t>
  </si>
  <si>
    <t>Reincidencia</t>
  </si>
  <si>
    <t>4546369#1</t>
  </si>
  <si>
    <t>Frigoconcepcion</t>
  </si>
  <si>
    <t>4649451#1</t>
  </si>
  <si>
    <t>Gapper</t>
  </si>
  <si>
    <t>4523042#1</t>
  </si>
  <si>
    <t>ICE INGENIEROS S.A.</t>
  </si>
  <si>
    <t>4538827#1</t>
  </si>
  <si>
    <t>Madenco</t>
  </si>
  <si>
    <t>4608487#1</t>
  </si>
  <si>
    <t>Manterolainteriorismo</t>
  </si>
  <si>
    <t>4578574#1</t>
  </si>
  <si>
    <t>Menesesvaldes</t>
  </si>
  <si>
    <t>4569417#1</t>
  </si>
  <si>
    <t>Mrree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</si>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</sst>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fbac25cb-774b-43f5-a387-ddb0969b70d2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m/>
      </sharedItems>
    </cacheField>
    <cacheField name="Country" numFmtId="0">
      <sharedItems containsBlank="1">
        <s v="Dominican Republic"/>
        <s v="Costa Rica"/>
        <s v="Guatemala"/>
        <s v="Belize"/>
        <s v="Honduras"/>
        <s v="Nicaragua"/>
        <s v="Mexico"/>
        <s v="Panama"/>
        <s v="El Salvador"/>
        <m/>
      </sharedItems>
    </cacheField>
    <cacheField name="Investigator" numFmtId="0">
      <sharedItems containsBlank="1">
        <s v="Clara"/>
        <s v="Maria Celeste"/>
        <s v="Noel"/>
        <s v="Francisco"/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3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t="default"/>
      </items>
    </pivotField>
    <pivotField name="Country" axis="axisRow" dataField="1" compact="0" outline="0" multipleItemSelectionAllowed="1" showAll="0" sortType="ascending">
      <items>
        <item x="9"/>
        <item x="3"/>
        <item x="1"/>
        <item x="0"/>
        <item x="8"/>
        <item x="2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fbac25cb-774b-43f5-a387-ddb0969b70d2}" id="{298a37ee-768e-4b53-ad72-d6ac386e9b0c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</v>
      </c>
      <c r="F55" s="246">
        <f t="shared" ref="F55:F57" si="3">C55-E55</f>
        <v>29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10</v>
      </c>
      <c r="L55" s="33">
        <f t="shared" ref="L55:L59" si="4">I55-K55</f>
        <v>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20</v>
      </c>
      <c r="F56" s="246">
        <f t="shared" si="3"/>
        <v>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9</v>
      </c>
      <c r="L56" s="33">
        <f t="shared" si="4"/>
        <v>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12</v>
      </c>
      <c r="F57" s="246">
        <f t="shared" si="3"/>
        <v>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9</v>
      </c>
      <c r="L57" s="33">
        <f t="shared" si="4"/>
        <v>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4</v>
      </c>
      <c r="L58" s="33">
        <f t="shared" si="4"/>
        <v>16</v>
      </c>
    </row>
    <row r="59" outlineLevel="1">
      <c r="D59" s="10"/>
      <c r="E59" s="37" t="s">
        <v>41</v>
      </c>
      <c r="F59" s="38">
        <f>SUM(F55:F57)</f>
        <v>37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18</v>
      </c>
      <c r="L59" s="33">
        <f t="shared" si="4"/>
        <v>-8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20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/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3674</v>
      </c>
      <c r="D3" s="273" t="s">
        <v>3675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3676</v>
      </c>
      <c r="L3" s="109" t="s">
        <v>3677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3678</v>
      </c>
      <c r="T3" s="326" t="s">
        <v>3679</v>
      </c>
      <c r="U3" s="370" t="s">
        <v>10</v>
      </c>
      <c r="V3" s="370" t="s">
        <v>9</v>
      </c>
      <c r="W3" s="195"/>
      <c r="X3" s="371"/>
      <c r="Z3" s="403">
        <v>46181.0</v>
      </c>
      <c r="AA3" s="294" t="s">
        <v>3680</v>
      </c>
      <c r="AB3" s="294" t="s">
        <v>3681</v>
      </c>
      <c r="AC3" s="295" t="s">
        <v>23</v>
      </c>
      <c r="AD3" s="391" t="s">
        <v>2337</v>
      </c>
      <c r="AE3" s="109"/>
      <c r="AF3" s="269" t="b">
        <v>1</v>
      </c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3682</v>
      </c>
      <c r="D4" s="373" t="s">
        <v>3683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3684</v>
      </c>
      <c r="L4" s="317" t="s">
        <v>3685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3686</v>
      </c>
      <c r="T4" s="326" t="s">
        <v>3687</v>
      </c>
      <c r="U4" s="370" t="s">
        <v>16</v>
      </c>
      <c r="V4" s="370" t="s">
        <v>9</v>
      </c>
      <c r="W4" s="195"/>
      <c r="X4" s="371"/>
      <c r="Z4" s="401">
        <v>46181.0</v>
      </c>
      <c r="AA4" s="273" t="s">
        <v>3688</v>
      </c>
      <c r="AB4" s="273" t="s">
        <v>3689</v>
      </c>
      <c r="AC4" s="342" t="s">
        <v>21</v>
      </c>
      <c r="AD4" s="402" t="s">
        <v>2337</v>
      </c>
      <c r="AE4" s="61"/>
      <c r="AF4" s="269" t="b">
        <v>1</v>
      </c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3690</v>
      </c>
      <c r="D5" s="373" t="s">
        <v>3691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3692</v>
      </c>
      <c r="L5" s="109" t="s">
        <v>3693</v>
      </c>
      <c r="M5" s="58"/>
      <c r="N5" s="58" t="s">
        <v>20</v>
      </c>
      <c r="O5" s="109" t="s">
        <v>3694</v>
      </c>
      <c r="P5" s="298"/>
      <c r="R5" s="369">
        <v>46182.0</v>
      </c>
      <c r="S5" s="326" t="s">
        <v>3695</v>
      </c>
      <c r="T5" s="326" t="s">
        <v>3696</v>
      </c>
      <c r="U5" s="370" t="s">
        <v>10</v>
      </c>
      <c r="V5" s="370" t="s">
        <v>9</v>
      </c>
      <c r="W5" s="195"/>
      <c r="X5" s="371"/>
      <c r="Z5" s="403">
        <v>46181.0</v>
      </c>
      <c r="AA5" s="294" t="s">
        <v>3697</v>
      </c>
      <c r="AB5" s="294" t="s">
        <v>3698</v>
      </c>
      <c r="AC5" s="391" t="s">
        <v>18</v>
      </c>
      <c r="AD5" s="391" t="s">
        <v>2337</v>
      </c>
      <c r="AE5" s="109"/>
      <c r="AF5" s="269" t="b">
        <v>1</v>
      </c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3699</v>
      </c>
      <c r="D6" s="273" t="s">
        <v>3700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3701</v>
      </c>
      <c r="L6" s="109" t="s">
        <v>3702</v>
      </c>
      <c r="M6" s="58"/>
      <c r="N6" s="58" t="s">
        <v>20</v>
      </c>
      <c r="O6" s="109" t="s">
        <v>3703</v>
      </c>
      <c r="P6" s="298"/>
      <c r="R6" s="369">
        <v>46182.0</v>
      </c>
      <c r="S6" s="326" t="s">
        <v>3704</v>
      </c>
      <c r="T6" s="326" t="s">
        <v>3705</v>
      </c>
      <c r="U6" s="370" t="s">
        <v>10</v>
      </c>
      <c r="V6" s="370" t="s">
        <v>9</v>
      </c>
      <c r="W6" s="326"/>
      <c r="X6" s="386"/>
      <c r="Z6" s="401">
        <v>46181.0</v>
      </c>
      <c r="AA6" s="273" t="s">
        <v>3706</v>
      </c>
      <c r="AB6" s="273" t="s">
        <v>3707</v>
      </c>
      <c r="AC6" s="402" t="s">
        <v>27</v>
      </c>
      <c r="AD6" s="402" t="s">
        <v>2337</v>
      </c>
      <c r="AE6" s="61"/>
      <c r="AF6" s="269" t="b">
        <v>1</v>
      </c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3708</v>
      </c>
      <c r="D7" s="373" t="s">
        <v>3709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3710</v>
      </c>
      <c r="L7" s="109" t="s">
        <v>3711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3712</v>
      </c>
      <c r="T7" s="326" t="s">
        <v>3713</v>
      </c>
      <c r="U7" s="370" t="s">
        <v>950</v>
      </c>
      <c r="V7" s="370" t="s">
        <v>9</v>
      </c>
      <c r="W7" s="195"/>
      <c r="X7" s="371"/>
      <c r="Z7" s="403">
        <v>46181.0</v>
      </c>
      <c r="AA7" s="294" t="s">
        <v>3714</v>
      </c>
      <c r="AB7" s="294" t="s">
        <v>3715</v>
      </c>
      <c r="AC7" s="391" t="s">
        <v>18</v>
      </c>
      <c r="AD7" s="391" t="s">
        <v>2337</v>
      </c>
      <c r="AE7" s="109"/>
      <c r="AF7" s="269" t="b">
        <v>1</v>
      </c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3716</v>
      </c>
      <c r="D8" s="457" t="s">
        <v>3717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3718</v>
      </c>
      <c r="L8" s="109" t="s">
        <v>3719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3720</v>
      </c>
      <c r="T8" s="460" t="s">
        <v>3721</v>
      </c>
      <c r="U8" s="461" t="s">
        <v>19</v>
      </c>
      <c r="V8" s="462" t="s">
        <v>2347</v>
      </c>
      <c r="W8" s="109"/>
      <c r="X8" s="298"/>
      <c r="Z8" s="401">
        <v>46181.0</v>
      </c>
      <c r="AA8" s="273" t="s">
        <v>3722</v>
      </c>
      <c r="AB8" s="273" t="s">
        <v>3723</v>
      </c>
      <c r="AC8" s="402" t="s">
        <v>18</v>
      </c>
      <c r="AD8" s="402" t="s">
        <v>2337</v>
      </c>
      <c r="AE8" s="61"/>
      <c r="AF8" s="269" t="b">
        <v>1</v>
      </c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3724</v>
      </c>
      <c r="D9" s="373" t="s">
        <v>3725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3726</v>
      </c>
      <c r="L9" s="294" t="s">
        <v>3727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3728</v>
      </c>
      <c r="T9" s="459" t="s">
        <v>3729</v>
      </c>
      <c r="U9" s="464" t="s">
        <v>19</v>
      </c>
      <c r="V9" s="465" t="s">
        <v>9</v>
      </c>
      <c r="W9" s="61"/>
      <c r="X9" s="269"/>
      <c r="Z9" s="403">
        <v>46181.0</v>
      </c>
      <c r="AA9" s="294" t="s">
        <v>3730</v>
      </c>
      <c r="AB9" s="294" t="s">
        <v>3731</v>
      </c>
      <c r="AC9" s="391" t="s">
        <v>27</v>
      </c>
      <c r="AD9" s="391" t="s">
        <v>2337</v>
      </c>
      <c r="AE9" s="61"/>
      <c r="AF9" s="269" t="b">
        <v>1</v>
      </c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6"/>
      <c r="AT9" s="452"/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3732</v>
      </c>
      <c r="D10" s="413" t="s">
        <v>3733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3734</v>
      </c>
      <c r="L10" s="273" t="s">
        <v>3735</v>
      </c>
      <c r="M10" s="274" t="s">
        <v>15</v>
      </c>
      <c r="N10" s="274" t="s">
        <v>2337</v>
      </c>
      <c r="O10" s="109" t="s">
        <v>3736</v>
      </c>
      <c r="P10" s="298"/>
      <c r="R10" s="369">
        <v>46182.0</v>
      </c>
      <c r="S10" s="459" t="s">
        <v>3737</v>
      </c>
      <c r="T10" s="459" t="s">
        <v>3738</v>
      </c>
      <c r="U10" s="58" t="s">
        <v>32</v>
      </c>
      <c r="V10" s="58" t="s">
        <v>9</v>
      </c>
      <c r="W10" s="61"/>
      <c r="X10" s="269"/>
      <c r="Z10" s="401">
        <v>46181.0</v>
      </c>
      <c r="AA10" s="273" t="s">
        <v>3739</v>
      </c>
      <c r="AB10" s="273" t="s">
        <v>3740</v>
      </c>
      <c r="AC10" s="402" t="s">
        <v>18</v>
      </c>
      <c r="AD10" s="402" t="s">
        <v>2337</v>
      </c>
      <c r="AE10" s="61"/>
      <c r="AF10" s="269" t="b">
        <v>1</v>
      </c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8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3741</v>
      </c>
      <c r="D11" s="273" t="s">
        <v>3742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3743</v>
      </c>
      <c r="L11" s="294" t="s">
        <v>3744</v>
      </c>
      <c r="M11" s="295" t="s">
        <v>18</v>
      </c>
      <c r="N11" s="295" t="s">
        <v>2337</v>
      </c>
      <c r="O11" s="109" t="s">
        <v>3745</v>
      </c>
      <c r="P11" s="269" t="b">
        <v>1</v>
      </c>
      <c r="R11" s="270">
        <v>46182.0</v>
      </c>
      <c r="S11" s="273" t="s">
        <v>3746</v>
      </c>
      <c r="T11" s="413" t="s">
        <v>3747</v>
      </c>
      <c r="U11" s="402" t="s">
        <v>32</v>
      </c>
      <c r="V11" s="58" t="s">
        <v>12</v>
      </c>
      <c r="W11" s="109"/>
      <c r="X11" s="269"/>
      <c r="Z11" s="270">
        <v>46182.0</v>
      </c>
      <c r="AA11" s="109" t="s">
        <v>3748</v>
      </c>
      <c r="AB11" s="109" t="s">
        <v>3749</v>
      </c>
      <c r="AC11" s="58" t="s">
        <v>21</v>
      </c>
      <c r="AD11" s="58" t="s">
        <v>28</v>
      </c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3750</v>
      </c>
      <c r="D12" s="294" t="s">
        <v>3751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3752</v>
      </c>
      <c r="L12" s="273" t="s">
        <v>3753</v>
      </c>
      <c r="M12" s="274" t="s">
        <v>27</v>
      </c>
      <c r="N12" s="274" t="s">
        <v>2337</v>
      </c>
      <c r="O12" s="109" t="s">
        <v>3745</v>
      </c>
      <c r="P12" s="269" t="b">
        <v>1</v>
      </c>
      <c r="R12" s="270">
        <v>46182.0</v>
      </c>
      <c r="S12" s="294" t="s">
        <v>3754</v>
      </c>
      <c r="T12" s="411" t="s">
        <v>3755</v>
      </c>
      <c r="U12" s="391" t="s">
        <v>22</v>
      </c>
      <c r="V12" s="58" t="s">
        <v>12</v>
      </c>
      <c r="W12" s="61"/>
      <c r="X12" s="269"/>
      <c r="Z12" s="270">
        <v>46182.0</v>
      </c>
      <c r="AA12" s="109" t="s">
        <v>3756</v>
      </c>
      <c r="AB12" s="109" t="s">
        <v>3757</v>
      </c>
      <c r="AC12" s="58" t="s">
        <v>30</v>
      </c>
      <c r="AD12" s="58" t="s">
        <v>28</v>
      </c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8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3758</v>
      </c>
      <c r="D13" s="273" t="s">
        <v>3759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3760</v>
      </c>
      <c r="L13" s="294" t="s">
        <v>3761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3762</v>
      </c>
      <c r="T13" s="413" t="s">
        <v>3763</v>
      </c>
      <c r="U13" s="402" t="s">
        <v>32</v>
      </c>
      <c r="V13" s="58" t="s">
        <v>12</v>
      </c>
      <c r="W13" s="61"/>
      <c r="X13" s="269"/>
      <c r="Z13" s="270">
        <v>46182.0</v>
      </c>
      <c r="AA13" s="109" t="s">
        <v>3764</v>
      </c>
      <c r="AB13" s="109" t="s">
        <v>3765</v>
      </c>
      <c r="AC13" s="58" t="s">
        <v>25</v>
      </c>
      <c r="AD13" s="58" t="s">
        <v>28</v>
      </c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3"/>
      <c r="BH13" s="453"/>
      <c r="BI13" s="471"/>
      <c r="BJ13" s="455"/>
      <c r="BK13" s="61"/>
      <c r="BL13" s="269"/>
    </row>
    <row r="14" ht="22.5" customHeight="1">
      <c r="A14" s="368"/>
      <c r="B14" s="270">
        <v>46175.0</v>
      </c>
      <c r="C14" s="312" t="s">
        <v>3766</v>
      </c>
      <c r="D14" s="472" t="s">
        <v>3767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3768</v>
      </c>
      <c r="L14" s="273" t="s">
        <v>3769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3770</v>
      </c>
      <c r="T14" s="411" t="s">
        <v>3771</v>
      </c>
      <c r="U14" s="391" t="s">
        <v>10</v>
      </c>
      <c r="V14" s="58" t="s">
        <v>12</v>
      </c>
      <c r="W14" s="109"/>
      <c r="X14" s="269"/>
      <c r="Z14" s="270">
        <v>46182.0</v>
      </c>
      <c r="AA14" s="109" t="s">
        <v>3772</v>
      </c>
      <c r="AB14" s="109" t="s">
        <v>3773</v>
      </c>
      <c r="AC14" s="58" t="s">
        <v>23</v>
      </c>
      <c r="AD14" s="58" t="s">
        <v>28</v>
      </c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3"/>
      <c r="BA14" s="58"/>
      <c r="BB14" s="58"/>
      <c r="BC14" s="61"/>
      <c r="BD14" s="269"/>
      <c r="BF14" s="473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3774</v>
      </c>
      <c r="D15" s="294" t="s">
        <v>3775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3776</v>
      </c>
      <c r="L15" s="294" t="s">
        <v>3777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4" t="s">
        <v>3778</v>
      </c>
      <c r="T15" s="273" t="s">
        <v>3779</v>
      </c>
      <c r="U15" s="402" t="s">
        <v>24</v>
      </c>
      <c r="V15" s="402" t="s">
        <v>2344</v>
      </c>
      <c r="W15" s="61"/>
      <c r="X15" s="269"/>
      <c r="Z15" s="270">
        <v>46182.0</v>
      </c>
      <c r="AA15" s="384" t="s">
        <v>3780</v>
      </c>
      <c r="AB15" s="109" t="s">
        <v>3781</v>
      </c>
      <c r="AC15" s="58" t="s">
        <v>27</v>
      </c>
      <c r="AD15" s="58" t="s">
        <v>28</v>
      </c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3782</v>
      </c>
      <c r="D16" s="273" t="s">
        <v>3783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3784</v>
      </c>
      <c r="L16" s="273" t="s">
        <v>3785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4" t="s">
        <v>3786</v>
      </c>
      <c r="T16" s="294" t="s">
        <v>3787</v>
      </c>
      <c r="U16" s="391" t="s">
        <v>13</v>
      </c>
      <c r="V16" s="391" t="s">
        <v>2344</v>
      </c>
      <c r="W16" s="61"/>
      <c r="X16" s="269"/>
      <c r="Z16" s="270">
        <v>46182.0</v>
      </c>
      <c r="AA16" s="109" t="s">
        <v>3788</v>
      </c>
      <c r="AB16" s="109" t="s">
        <v>3789</v>
      </c>
      <c r="AC16" s="58" t="s">
        <v>11</v>
      </c>
      <c r="AD16" s="58" t="s">
        <v>20</v>
      </c>
      <c r="AE16" s="61"/>
      <c r="AF16" s="269" t="b">
        <v>1</v>
      </c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3"/>
      <c r="BA16" s="58"/>
      <c r="BB16" s="58"/>
      <c r="BC16" s="61"/>
      <c r="BD16" s="269"/>
      <c r="BF16" s="473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3790</v>
      </c>
      <c r="D17" s="273" t="s">
        <v>3791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3792</v>
      </c>
      <c r="L17" s="294" t="s">
        <v>3793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4" t="s">
        <v>3794</v>
      </c>
      <c r="T17" s="294" t="s">
        <v>3795</v>
      </c>
      <c r="U17" s="391" t="s">
        <v>24</v>
      </c>
      <c r="V17" s="391" t="s">
        <v>2344</v>
      </c>
      <c r="W17" s="61"/>
      <c r="X17" s="269"/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3"/>
      <c r="BA17" s="58"/>
      <c r="BB17" s="58"/>
      <c r="BC17" s="61"/>
      <c r="BD17" s="269"/>
      <c r="BF17" s="449"/>
      <c r="BG17" s="450"/>
      <c r="BH17" s="450"/>
      <c r="BI17" s="452"/>
      <c r="BJ17" s="475"/>
      <c r="BK17" s="61"/>
      <c r="BL17" s="269"/>
    </row>
    <row r="18" ht="22.5" customHeight="1">
      <c r="A18" s="368"/>
      <c r="B18" s="270">
        <v>46175.0</v>
      </c>
      <c r="C18" s="273" t="s">
        <v>3796</v>
      </c>
      <c r="D18" s="273" t="s">
        <v>3797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3798</v>
      </c>
      <c r="L18" s="273" t="s">
        <v>3799</v>
      </c>
      <c r="M18" s="399" t="s">
        <v>11</v>
      </c>
      <c r="N18" s="410" t="s">
        <v>2338</v>
      </c>
      <c r="O18" s="109" t="s">
        <v>3800</v>
      </c>
      <c r="P18" s="298"/>
      <c r="R18" s="270">
        <v>46182.0</v>
      </c>
      <c r="S18" s="474" t="s">
        <v>3801</v>
      </c>
      <c r="T18" s="273" t="s">
        <v>2186</v>
      </c>
      <c r="U18" s="402" t="s">
        <v>24</v>
      </c>
      <c r="V18" s="402" t="s">
        <v>2344</v>
      </c>
      <c r="W18" s="61"/>
      <c r="X18" s="269"/>
      <c r="Z18" s="270">
        <v>46182.0</v>
      </c>
      <c r="AA18" s="109" t="s">
        <v>3802</v>
      </c>
      <c r="AB18" s="109" t="s">
        <v>3803</v>
      </c>
      <c r="AC18" s="58" t="s">
        <v>11</v>
      </c>
      <c r="AD18" s="58" t="s">
        <v>20</v>
      </c>
      <c r="AE18" s="109" t="s">
        <v>3804</v>
      </c>
      <c r="AF18" s="269" t="b">
        <v>1</v>
      </c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3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3805</v>
      </c>
      <c r="D19" s="294" t="s">
        <v>3806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3807</v>
      </c>
      <c r="L19" s="294" t="s">
        <v>3808</v>
      </c>
      <c r="M19" s="441" t="s">
        <v>23</v>
      </c>
      <c r="N19" s="404" t="s">
        <v>2338</v>
      </c>
      <c r="O19" s="109" t="s">
        <v>3745</v>
      </c>
      <c r="P19" s="269" t="b">
        <v>1</v>
      </c>
      <c r="R19" s="270">
        <v>46182.0</v>
      </c>
      <c r="S19" s="474" t="s">
        <v>3809</v>
      </c>
      <c r="T19" s="273" t="s">
        <v>3810</v>
      </c>
      <c r="U19" s="402" t="s">
        <v>44</v>
      </c>
      <c r="V19" s="402" t="s">
        <v>2344</v>
      </c>
      <c r="W19" s="109"/>
      <c r="X19" s="269"/>
      <c r="Z19" s="270">
        <v>46182.0</v>
      </c>
      <c r="AA19" s="109" t="s">
        <v>3811</v>
      </c>
      <c r="AB19" s="109" t="s">
        <v>3812</v>
      </c>
      <c r="AC19" s="58" t="s">
        <v>18</v>
      </c>
      <c r="AD19" s="58" t="s">
        <v>20</v>
      </c>
      <c r="AE19" s="61"/>
      <c r="AF19" s="269" t="b">
        <v>1</v>
      </c>
      <c r="AH19" s="270"/>
      <c r="AI19" s="384"/>
      <c r="AJ19" s="373"/>
      <c r="AK19" s="81"/>
      <c r="AL19" s="58"/>
      <c r="AM19" s="61"/>
      <c r="AN19" s="269"/>
      <c r="AP19" s="470"/>
      <c r="AQ19" s="453"/>
      <c r="AR19" s="453"/>
      <c r="AS19" s="471"/>
      <c r="AT19" s="455"/>
      <c r="AU19" s="476"/>
      <c r="AV19" s="269"/>
      <c r="AX19" s="270"/>
      <c r="AY19" s="384"/>
      <c r="AZ19" s="463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3813</v>
      </c>
      <c r="D20" s="273" t="s">
        <v>3814</v>
      </c>
      <c r="E20" s="402"/>
      <c r="F20" s="274" t="s">
        <v>2344</v>
      </c>
      <c r="G20" s="109" t="s">
        <v>3815</v>
      </c>
      <c r="H20" s="269"/>
      <c r="J20" s="382">
        <v>46174.0</v>
      </c>
      <c r="K20" s="273" t="s">
        <v>3816</v>
      </c>
      <c r="L20" s="273" t="s">
        <v>3817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3818</v>
      </c>
      <c r="T20" s="413" t="s">
        <v>3819</v>
      </c>
      <c r="U20" s="402" t="s">
        <v>13</v>
      </c>
      <c r="V20" s="58" t="s">
        <v>12</v>
      </c>
      <c r="W20" s="61"/>
      <c r="X20" s="269"/>
      <c r="Z20" s="270">
        <v>46182.0</v>
      </c>
      <c r="AA20" s="109" t="s">
        <v>3820</v>
      </c>
      <c r="AB20" s="407" t="s">
        <v>3821</v>
      </c>
      <c r="AC20" s="58" t="s">
        <v>11</v>
      </c>
      <c r="AD20" s="58" t="s">
        <v>20</v>
      </c>
      <c r="AE20" s="109" t="s">
        <v>3804</v>
      </c>
      <c r="AF20" s="269" t="b">
        <v>1</v>
      </c>
      <c r="AH20" s="270"/>
      <c r="AI20" s="384"/>
      <c r="AJ20" s="373"/>
      <c r="AK20" s="58"/>
      <c r="AL20" s="58"/>
      <c r="AM20" s="61"/>
      <c r="AN20" s="269"/>
      <c r="AP20" s="473"/>
      <c r="AQ20" s="450"/>
      <c r="AR20" s="450"/>
      <c r="AS20" s="477"/>
      <c r="AT20" s="452"/>
      <c r="AU20" s="478"/>
      <c r="AV20" s="269"/>
      <c r="AX20" s="270"/>
      <c r="AY20" s="384"/>
      <c r="AZ20" s="463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3822</v>
      </c>
      <c r="D21" s="430" t="s">
        <v>3823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3824</v>
      </c>
      <c r="L21" s="294" t="s">
        <v>3825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3826</v>
      </c>
      <c r="T21" s="411" t="s">
        <v>3827</v>
      </c>
      <c r="U21" s="391" t="s">
        <v>10</v>
      </c>
      <c r="V21" s="58" t="s">
        <v>12</v>
      </c>
      <c r="W21" s="109"/>
      <c r="X21" s="269"/>
      <c r="Z21" s="270">
        <v>46182.0</v>
      </c>
      <c r="AA21" s="109" t="s">
        <v>3828</v>
      </c>
      <c r="AB21" s="109" t="s">
        <v>3829</v>
      </c>
      <c r="AC21" s="58" t="s">
        <v>11</v>
      </c>
      <c r="AD21" s="58" t="s">
        <v>20</v>
      </c>
      <c r="AE21" s="109"/>
      <c r="AF21" s="298"/>
      <c r="AH21" s="270"/>
      <c r="AI21" s="109"/>
      <c r="AJ21" s="373"/>
      <c r="AK21" s="58"/>
      <c r="AL21" s="58"/>
      <c r="AM21" s="61"/>
      <c r="AN21" s="269"/>
      <c r="AP21" s="470"/>
      <c r="AQ21" s="453"/>
      <c r="AR21" s="453"/>
      <c r="AS21" s="471"/>
      <c r="AT21" s="455"/>
      <c r="AU21" s="476"/>
      <c r="AV21" s="269"/>
      <c r="AX21" s="270"/>
      <c r="AY21" s="384"/>
      <c r="AZ21" s="479"/>
      <c r="BA21" s="58"/>
      <c r="BB21" s="58"/>
      <c r="BC21" s="61"/>
      <c r="BD21" s="269"/>
      <c r="BF21" s="470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3830</v>
      </c>
      <c r="D22" s="480" t="s">
        <v>3831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3832</v>
      </c>
      <c r="L22" s="273" t="s">
        <v>3833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3834</v>
      </c>
      <c r="T22" s="413" t="s">
        <v>3835</v>
      </c>
      <c r="U22" s="402" t="s">
        <v>32</v>
      </c>
      <c r="V22" s="58" t="s">
        <v>12</v>
      </c>
      <c r="W22" s="61"/>
      <c r="X22" s="269"/>
      <c r="Z22" s="270">
        <v>46182.0</v>
      </c>
      <c r="AA22" s="109" t="s">
        <v>3836</v>
      </c>
      <c r="AB22" s="109" t="s">
        <v>3837</v>
      </c>
      <c r="AC22" s="58" t="s">
        <v>11</v>
      </c>
      <c r="AD22" s="58" t="s">
        <v>20</v>
      </c>
      <c r="AE22" s="61"/>
      <c r="AF22" s="269" t="b">
        <v>1</v>
      </c>
      <c r="AH22" s="270"/>
      <c r="AI22" s="109"/>
      <c r="AJ22" s="373"/>
      <c r="AK22" s="58"/>
      <c r="AL22" s="58"/>
      <c r="AM22" s="61"/>
      <c r="AN22" s="269"/>
      <c r="AP22" s="473"/>
      <c r="AQ22" s="450"/>
      <c r="AR22" s="450"/>
      <c r="AS22" s="477"/>
      <c r="AT22" s="452"/>
      <c r="AU22" s="478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3838</v>
      </c>
      <c r="D23" s="405" t="s">
        <v>3839</v>
      </c>
      <c r="E23" s="481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3840</v>
      </c>
      <c r="L23" s="294" t="s">
        <v>3841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3842</v>
      </c>
      <c r="T23" s="411" t="s">
        <v>3843</v>
      </c>
      <c r="U23" s="391" t="s">
        <v>24</v>
      </c>
      <c r="V23" s="58" t="s">
        <v>12</v>
      </c>
      <c r="W23" s="61"/>
      <c r="X23" s="269"/>
      <c r="Z23" s="270">
        <v>46182.0</v>
      </c>
      <c r="AA23" s="109" t="s">
        <v>3844</v>
      </c>
      <c r="AB23" s="109" t="s">
        <v>3845</v>
      </c>
      <c r="AC23" s="58" t="s">
        <v>21</v>
      </c>
      <c r="AD23" s="58" t="s">
        <v>20</v>
      </c>
      <c r="AE23" s="61"/>
      <c r="AF23" s="269" t="b">
        <v>1</v>
      </c>
      <c r="AH23" s="270"/>
      <c r="AI23" s="47"/>
      <c r="AJ23" s="373"/>
      <c r="AK23" s="58"/>
      <c r="AL23" s="58"/>
      <c r="AM23" s="61"/>
      <c r="AN23" s="269"/>
      <c r="AP23" s="470"/>
      <c r="AQ23" s="453"/>
      <c r="AR23" s="453"/>
      <c r="AS23" s="471"/>
      <c r="AT23" s="455"/>
      <c r="AU23" s="476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3846</v>
      </c>
      <c r="D24" s="373" t="s">
        <v>3847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3848</v>
      </c>
      <c r="L24" s="273" t="s">
        <v>3849</v>
      </c>
      <c r="M24" s="402" t="s">
        <v>27</v>
      </c>
      <c r="N24" s="402" t="s">
        <v>2337</v>
      </c>
      <c r="O24" s="109"/>
      <c r="P24" s="269" t="b">
        <v>1</v>
      </c>
      <c r="R24" s="270">
        <v>46182.0</v>
      </c>
      <c r="S24" s="109" t="s">
        <v>3850</v>
      </c>
      <c r="T24" s="109" t="s">
        <v>3851</v>
      </c>
      <c r="U24" s="58" t="s">
        <v>24</v>
      </c>
      <c r="V24" s="58" t="s">
        <v>2347</v>
      </c>
      <c r="W24" s="61"/>
      <c r="X24" s="269"/>
      <c r="Z24" s="270">
        <v>46182.0</v>
      </c>
      <c r="AA24" s="109" t="s">
        <v>3852</v>
      </c>
      <c r="AB24" s="109" t="s">
        <v>3853</v>
      </c>
      <c r="AC24" s="58" t="s">
        <v>11</v>
      </c>
      <c r="AD24" s="58" t="s">
        <v>20</v>
      </c>
      <c r="AE24" s="61"/>
      <c r="AF24" s="269" t="b">
        <v>1</v>
      </c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8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3854</v>
      </c>
      <c r="D25" s="430" t="s">
        <v>3855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3856</v>
      </c>
      <c r="L25" s="294" t="s">
        <v>3857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3858</v>
      </c>
      <c r="T25" s="109" t="s">
        <v>3859</v>
      </c>
      <c r="U25" s="58" t="s">
        <v>24</v>
      </c>
      <c r="V25" s="58" t="s">
        <v>2347</v>
      </c>
      <c r="W25" s="61"/>
      <c r="X25" s="269"/>
      <c r="Z25" s="270">
        <v>46182.0</v>
      </c>
      <c r="AA25" s="109" t="s">
        <v>3860</v>
      </c>
      <c r="AB25" s="109" t="s">
        <v>3861</v>
      </c>
      <c r="AC25" s="58" t="s">
        <v>21</v>
      </c>
      <c r="AD25" s="58" t="s">
        <v>20</v>
      </c>
      <c r="AE25" s="61"/>
      <c r="AF25" s="269" t="b">
        <v>1</v>
      </c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6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3862</v>
      </c>
      <c r="D26" s="294" t="s">
        <v>3863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3864</v>
      </c>
      <c r="L26" s="273" t="s">
        <v>3865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3866</v>
      </c>
      <c r="T26" s="109" t="s">
        <v>3867</v>
      </c>
      <c r="U26" s="58" t="s">
        <v>24</v>
      </c>
      <c r="V26" s="58" t="s">
        <v>9</v>
      </c>
      <c r="W26" s="61"/>
      <c r="X26" s="269"/>
      <c r="Z26" s="270">
        <v>46182.0</v>
      </c>
      <c r="AA26" s="109" t="s">
        <v>3868</v>
      </c>
      <c r="AB26" s="109" t="s">
        <v>3869</v>
      </c>
      <c r="AC26" s="58" t="s">
        <v>21</v>
      </c>
      <c r="AD26" s="58" t="s">
        <v>20</v>
      </c>
      <c r="AE26" s="109"/>
      <c r="AF26" s="269" t="b">
        <v>1</v>
      </c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8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3870</v>
      </c>
      <c r="D27" s="273" t="s">
        <v>3871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3872</v>
      </c>
      <c r="L27" s="294" t="s">
        <v>3873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3874</v>
      </c>
      <c r="T27" s="109" t="s">
        <v>3875</v>
      </c>
      <c r="U27" s="322" t="s">
        <v>44</v>
      </c>
      <c r="V27" s="58" t="s">
        <v>9</v>
      </c>
      <c r="W27" s="109"/>
      <c r="X27" s="269"/>
      <c r="Z27" s="270">
        <v>46182.0</v>
      </c>
      <c r="AA27" s="109" t="s">
        <v>3876</v>
      </c>
      <c r="AB27" s="109" t="s">
        <v>3877</v>
      </c>
      <c r="AC27" s="58" t="s">
        <v>21</v>
      </c>
      <c r="AD27" s="58" t="s">
        <v>20</v>
      </c>
      <c r="AE27" s="109" t="s">
        <v>3878</v>
      </c>
      <c r="AF27" s="269"/>
      <c r="AH27" s="270"/>
      <c r="AI27" s="109"/>
      <c r="AJ27" s="373"/>
      <c r="AK27" s="322"/>
      <c r="AL27" s="58"/>
      <c r="AM27" s="61"/>
      <c r="AN27" s="269"/>
      <c r="AP27" s="473"/>
      <c r="AQ27" s="450"/>
      <c r="AR27" s="450"/>
      <c r="AS27" s="477"/>
      <c r="AT27" s="452"/>
      <c r="AU27" s="478"/>
      <c r="AV27" s="269"/>
      <c r="AX27" s="270"/>
      <c r="AY27" s="450"/>
      <c r="AZ27" s="482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3879</v>
      </c>
      <c r="D28" s="373" t="s">
        <v>3880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3881</v>
      </c>
      <c r="L28" s="273" t="s">
        <v>3882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3883</v>
      </c>
      <c r="T28" s="109" t="s">
        <v>3884</v>
      </c>
      <c r="U28" s="58" t="s">
        <v>32</v>
      </c>
      <c r="V28" s="58" t="s">
        <v>9</v>
      </c>
      <c r="W28" s="61"/>
      <c r="X28" s="269"/>
      <c r="Z28" s="270">
        <v>46182.0</v>
      </c>
      <c r="AA28" s="109" t="s">
        <v>3885</v>
      </c>
      <c r="AB28" s="109" t="s">
        <v>3886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470"/>
      <c r="AQ28" s="453"/>
      <c r="AR28" s="453"/>
      <c r="AS28" s="471"/>
      <c r="AT28" s="455"/>
      <c r="AU28" s="476"/>
      <c r="AV28" s="269"/>
      <c r="AX28" s="270"/>
      <c r="AY28" s="453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3887</v>
      </c>
      <c r="D29" s="373" t="s">
        <v>3888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3889</v>
      </c>
      <c r="L29" s="294" t="s">
        <v>3890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3891</v>
      </c>
      <c r="T29" s="109" t="s">
        <v>3892</v>
      </c>
      <c r="U29" s="58" t="s">
        <v>10</v>
      </c>
      <c r="V29" s="58" t="s">
        <v>9</v>
      </c>
      <c r="W29" s="61"/>
      <c r="X29" s="269"/>
      <c r="Z29" s="270">
        <v>46182.0</v>
      </c>
      <c r="AA29" s="109" t="s">
        <v>3893</v>
      </c>
      <c r="AB29" s="109" t="s">
        <v>3894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473"/>
      <c r="AQ29" s="450"/>
      <c r="AR29" s="450"/>
      <c r="AS29" s="477"/>
      <c r="AT29" s="452"/>
      <c r="AU29" s="478"/>
      <c r="AV29" s="269"/>
      <c r="AX29" s="270"/>
      <c r="AY29" s="450"/>
      <c r="AZ29" s="482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3895</v>
      </c>
      <c r="D30" s="373" t="s">
        <v>3896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3897</v>
      </c>
      <c r="L30" s="273" t="s">
        <v>3898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3899</v>
      </c>
      <c r="T30" s="109" t="s">
        <v>3900</v>
      </c>
      <c r="U30" s="58" t="s">
        <v>24</v>
      </c>
      <c r="V30" s="58" t="s">
        <v>9</v>
      </c>
      <c r="W30" s="61"/>
      <c r="X30" s="269"/>
      <c r="Z30" s="270">
        <v>46182.0</v>
      </c>
      <c r="AA30" s="109" t="s">
        <v>3901</v>
      </c>
      <c r="AB30" s="109" t="s">
        <v>3902</v>
      </c>
      <c r="AC30" s="58" t="s">
        <v>21</v>
      </c>
      <c r="AD30" s="58" t="s">
        <v>20</v>
      </c>
      <c r="AE30" s="109" t="s">
        <v>3903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3"/>
      <c r="AR30" s="453"/>
      <c r="AS30" s="455"/>
      <c r="AT30" s="455"/>
      <c r="AU30" s="484"/>
      <c r="AV30" s="298"/>
      <c r="AX30" s="270"/>
      <c r="AY30" s="453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3904</v>
      </c>
      <c r="D31" s="373" t="s">
        <v>3905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3906</v>
      </c>
      <c r="L31" s="273" t="s">
        <v>3907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3908</v>
      </c>
      <c r="T31" s="109" t="s">
        <v>3909</v>
      </c>
      <c r="U31" s="58" t="s">
        <v>16</v>
      </c>
      <c r="V31" s="58" t="s">
        <v>9</v>
      </c>
      <c r="W31" s="61"/>
      <c r="X31" s="269"/>
      <c r="Z31" s="270">
        <v>46182.0</v>
      </c>
      <c r="AA31" s="109" t="s">
        <v>3910</v>
      </c>
      <c r="AB31" s="109" t="s">
        <v>3911</v>
      </c>
      <c r="AC31" s="58" t="s">
        <v>11</v>
      </c>
      <c r="AD31" s="58" t="s">
        <v>20</v>
      </c>
      <c r="AE31" s="61"/>
      <c r="AF31" s="269" t="b">
        <v>1</v>
      </c>
      <c r="AH31" s="473"/>
      <c r="AI31" s="450"/>
      <c r="AJ31" s="450"/>
      <c r="AK31" s="477"/>
      <c r="AL31" s="452"/>
      <c r="AM31" s="61"/>
      <c r="AN31" s="269"/>
      <c r="AP31" s="449"/>
      <c r="AQ31" s="450"/>
      <c r="AR31" s="450"/>
      <c r="AS31" s="468"/>
      <c r="AT31" s="452"/>
      <c r="AU31" s="485"/>
      <c r="AV31" s="269"/>
      <c r="AX31" s="270"/>
      <c r="AY31" s="450"/>
      <c r="AZ31" s="482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3912</v>
      </c>
      <c r="D32" s="373" t="s">
        <v>3913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3914</v>
      </c>
      <c r="L32" s="294" t="s">
        <v>3915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3916</v>
      </c>
      <c r="T32" s="109" t="s">
        <v>3917</v>
      </c>
      <c r="U32" s="58" t="s">
        <v>10</v>
      </c>
      <c r="V32" s="58" t="s">
        <v>9</v>
      </c>
      <c r="W32" s="61"/>
      <c r="X32" s="269"/>
      <c r="Z32" s="270">
        <v>46182.0</v>
      </c>
      <c r="AA32" s="486" t="s">
        <v>3918</v>
      </c>
      <c r="AB32" s="460" t="s">
        <v>3919</v>
      </c>
      <c r="AC32" s="461" t="s">
        <v>18</v>
      </c>
      <c r="AD32" s="462" t="s">
        <v>14</v>
      </c>
      <c r="AE32" s="61"/>
      <c r="AF32" s="269" t="b">
        <v>1</v>
      </c>
      <c r="AH32" s="470"/>
      <c r="AI32" s="453"/>
      <c r="AJ32" s="453"/>
      <c r="AK32" s="471"/>
      <c r="AL32" s="455"/>
      <c r="AM32" s="61"/>
      <c r="AN32" s="269"/>
      <c r="AP32" s="449"/>
      <c r="AQ32" s="453"/>
      <c r="AR32" s="453"/>
      <c r="AS32" s="466"/>
      <c r="AT32" s="455"/>
      <c r="AU32" s="459"/>
      <c r="AV32" s="298"/>
      <c r="AX32" s="270"/>
      <c r="AY32" s="453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3920</v>
      </c>
      <c r="D33" s="373" t="s">
        <v>3921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3922</v>
      </c>
      <c r="L33" s="273" t="s">
        <v>3923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3924</v>
      </c>
      <c r="T33" s="109" t="s">
        <v>3925</v>
      </c>
      <c r="U33" s="58" t="s">
        <v>44</v>
      </c>
      <c r="V33" s="58" t="s">
        <v>9</v>
      </c>
      <c r="W33" s="61"/>
      <c r="X33" s="269"/>
      <c r="Z33" s="270">
        <v>46182.0</v>
      </c>
      <c r="AA33" s="486" t="s">
        <v>3926</v>
      </c>
      <c r="AB33" s="486" t="s">
        <v>3927</v>
      </c>
      <c r="AC33" s="487" t="s">
        <v>21</v>
      </c>
      <c r="AD33" s="462" t="s">
        <v>14</v>
      </c>
      <c r="AE33" s="109" t="s">
        <v>982</v>
      </c>
      <c r="AF33" s="269"/>
      <c r="AH33" s="473"/>
      <c r="AI33" s="450"/>
      <c r="AJ33" s="450"/>
      <c r="AK33" s="452"/>
      <c r="AL33" s="452"/>
      <c r="AM33" s="109"/>
      <c r="AN33" s="269"/>
      <c r="AP33" s="449"/>
      <c r="AQ33" s="450"/>
      <c r="AR33" s="450"/>
      <c r="AS33" s="468"/>
      <c r="AT33" s="452"/>
      <c r="AU33" s="488"/>
      <c r="AV33" s="298"/>
      <c r="AX33" s="270"/>
      <c r="AY33" s="450"/>
      <c r="AZ33" s="482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3928</v>
      </c>
      <c r="D34" s="373" t="s">
        <v>3929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3930</v>
      </c>
      <c r="L34" s="294" t="s">
        <v>3931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3932</v>
      </c>
      <c r="T34" s="109" t="s">
        <v>3933</v>
      </c>
      <c r="U34" s="58" t="s">
        <v>24</v>
      </c>
      <c r="V34" s="58" t="s">
        <v>2347</v>
      </c>
      <c r="W34" s="61"/>
      <c r="X34" s="269"/>
      <c r="Z34" s="270">
        <v>46182.0</v>
      </c>
      <c r="AA34" s="109" t="s">
        <v>3934</v>
      </c>
      <c r="AB34" s="109" t="s">
        <v>3935</v>
      </c>
      <c r="AC34" s="58" t="s">
        <v>27</v>
      </c>
      <c r="AD34" s="462" t="s">
        <v>14</v>
      </c>
      <c r="AE34" s="61"/>
      <c r="AF34" s="269"/>
      <c r="AH34" s="449"/>
      <c r="AI34" s="453"/>
      <c r="AJ34" s="453"/>
      <c r="AK34" s="466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3936</v>
      </c>
      <c r="D35" s="373" t="s">
        <v>3937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3938</v>
      </c>
      <c r="L35" s="273" t="s">
        <v>3939</v>
      </c>
      <c r="M35" s="398"/>
      <c r="N35" s="431" t="s">
        <v>2338</v>
      </c>
      <c r="O35" s="109" t="s">
        <v>3940</v>
      </c>
      <c r="P35" s="269"/>
      <c r="R35" s="270"/>
      <c r="S35" s="109"/>
      <c r="T35" s="109"/>
      <c r="U35" s="58"/>
      <c r="V35" s="344"/>
      <c r="W35" s="61"/>
      <c r="X35" s="269"/>
      <c r="Z35" s="403">
        <v>46182.0</v>
      </c>
      <c r="AA35" s="294" t="s">
        <v>3941</v>
      </c>
      <c r="AB35" s="294" t="s">
        <v>3942</v>
      </c>
      <c r="AC35" s="391" t="s">
        <v>18</v>
      </c>
      <c r="AD35" s="391" t="s">
        <v>2337</v>
      </c>
      <c r="AE35" s="61"/>
      <c r="AF35" s="269"/>
      <c r="AH35" s="449"/>
      <c r="AI35" s="450"/>
      <c r="AJ35" s="450"/>
      <c r="AK35" s="468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82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3943</v>
      </c>
      <c r="D36" s="294" t="s">
        <v>3944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3945</v>
      </c>
      <c r="L36" s="294" t="s">
        <v>3946</v>
      </c>
      <c r="M36" s="396"/>
      <c r="N36" s="391" t="s">
        <v>2338</v>
      </c>
      <c r="O36" s="109" t="s">
        <v>3947</v>
      </c>
      <c r="P36" s="269"/>
      <c r="R36" s="270"/>
      <c r="S36" s="109"/>
      <c r="T36" s="109"/>
      <c r="U36" s="58"/>
      <c r="V36" s="344"/>
      <c r="W36" s="61"/>
      <c r="X36" s="269"/>
      <c r="Z36" s="401">
        <v>46182.0</v>
      </c>
      <c r="AA36" s="273" t="s">
        <v>3948</v>
      </c>
      <c r="AB36" s="273" t="s">
        <v>3949</v>
      </c>
      <c r="AC36" s="402" t="s">
        <v>23</v>
      </c>
      <c r="AD36" s="402" t="s">
        <v>2337</v>
      </c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3950</v>
      </c>
      <c r="D37" s="430" t="s">
        <v>3951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3952</v>
      </c>
      <c r="L37" s="109" t="s">
        <v>3953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344"/>
      <c r="W37" s="61"/>
      <c r="X37" s="269"/>
      <c r="Z37" s="403">
        <v>46182.0</v>
      </c>
      <c r="AA37" s="294" t="s">
        <v>3954</v>
      </c>
      <c r="AB37" s="294" t="s">
        <v>3955</v>
      </c>
      <c r="AC37" s="391" t="s">
        <v>18</v>
      </c>
      <c r="AD37" s="391" t="s">
        <v>2337</v>
      </c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82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3956</v>
      </c>
      <c r="D38" s="373" t="s">
        <v>3957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3958</v>
      </c>
      <c r="L38" s="109" t="s">
        <v>3959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344"/>
      <c r="W38" s="61"/>
      <c r="X38" s="269"/>
      <c r="Z38" s="401">
        <v>46182.0</v>
      </c>
      <c r="AA38" s="273" t="s">
        <v>3960</v>
      </c>
      <c r="AB38" s="273" t="s">
        <v>3961</v>
      </c>
      <c r="AC38" s="402" t="s">
        <v>30</v>
      </c>
      <c r="AD38" s="402" t="s">
        <v>2337</v>
      </c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3"/>
      <c r="BA38" s="58"/>
      <c r="BB38" s="58"/>
      <c r="BC38" s="61"/>
      <c r="BD38" s="269"/>
      <c r="BF38" s="449"/>
      <c r="BG38" s="450"/>
      <c r="BH38" s="450"/>
      <c r="BI38" s="451"/>
      <c r="BJ38" s="475"/>
      <c r="BK38" s="61"/>
      <c r="BL38" s="298"/>
    </row>
    <row r="39" ht="22.5" customHeight="1">
      <c r="A39" s="368"/>
      <c r="B39" s="270">
        <v>46177.0</v>
      </c>
      <c r="C39" s="273" t="s">
        <v>3962</v>
      </c>
      <c r="D39" s="273" t="s">
        <v>3963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3964</v>
      </c>
      <c r="L39" s="109" t="s">
        <v>3965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344"/>
      <c r="W39" s="61"/>
      <c r="X39" s="269"/>
      <c r="Z39" s="403">
        <v>46182.0</v>
      </c>
      <c r="AA39" s="294" t="s">
        <v>3966</v>
      </c>
      <c r="AB39" s="294" t="s">
        <v>3967</v>
      </c>
      <c r="AC39" s="391" t="s">
        <v>30</v>
      </c>
      <c r="AD39" s="391" t="s">
        <v>2337</v>
      </c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82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3968</v>
      </c>
      <c r="D40" s="405" t="s">
        <v>3969</v>
      </c>
      <c r="E40" s="481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3970</v>
      </c>
      <c r="L40" s="109" t="s">
        <v>3971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344"/>
      <c r="W40" s="61"/>
      <c r="X40" s="269"/>
      <c r="Z40" s="401">
        <v>46182.0</v>
      </c>
      <c r="AA40" s="273" t="s">
        <v>3972</v>
      </c>
      <c r="AB40" s="273" t="s">
        <v>3973</v>
      </c>
      <c r="AC40" s="402" t="s">
        <v>27</v>
      </c>
      <c r="AD40" s="402" t="s">
        <v>2337</v>
      </c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3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3974</v>
      </c>
      <c r="D41" s="373" t="s">
        <v>3975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3976</v>
      </c>
      <c r="L41" s="109" t="s">
        <v>3977</v>
      </c>
      <c r="M41" s="58" t="s">
        <v>11</v>
      </c>
      <c r="N41" s="58" t="s">
        <v>20</v>
      </c>
      <c r="O41" s="109" t="s">
        <v>3978</v>
      </c>
      <c r="P41" s="269"/>
      <c r="R41" s="270"/>
      <c r="S41" s="384"/>
      <c r="T41" s="109"/>
      <c r="U41" s="344"/>
      <c r="V41" s="344"/>
      <c r="W41" s="109"/>
      <c r="X41" s="298"/>
      <c r="Z41" s="403">
        <v>46182.0</v>
      </c>
      <c r="AA41" s="294" t="s">
        <v>3979</v>
      </c>
      <c r="AB41" s="294" t="s">
        <v>3980</v>
      </c>
      <c r="AC41" s="391" t="s">
        <v>23</v>
      </c>
      <c r="AD41" s="391" t="s">
        <v>2337</v>
      </c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82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3981</v>
      </c>
      <c r="D42" s="373" t="s">
        <v>3982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3983</v>
      </c>
      <c r="L42" s="109" t="s">
        <v>3984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344"/>
      <c r="W42" s="61"/>
      <c r="X42" s="269"/>
      <c r="Z42" s="401">
        <v>46182.0</v>
      </c>
      <c r="AA42" s="273" t="s">
        <v>3985</v>
      </c>
      <c r="AB42" s="273" t="s">
        <v>3986</v>
      </c>
      <c r="AC42" s="402" t="s">
        <v>27</v>
      </c>
      <c r="AD42" s="402" t="s">
        <v>2337</v>
      </c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3"/>
      <c r="BA42" s="58"/>
      <c r="BB42" s="58"/>
      <c r="BC42" s="61"/>
      <c r="BD42" s="269"/>
      <c r="BF42" s="473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3987</v>
      </c>
      <c r="D43" s="489" t="s">
        <v>3988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3989</v>
      </c>
      <c r="L43" s="109" t="s">
        <v>3990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344"/>
      <c r="W43" s="61"/>
      <c r="X43" s="269"/>
      <c r="Z43" s="401">
        <v>46183.0</v>
      </c>
      <c r="AA43" s="109" t="s">
        <v>3991</v>
      </c>
      <c r="AB43" s="109" t="s">
        <v>3992</v>
      </c>
      <c r="AC43" s="58" t="s">
        <v>25</v>
      </c>
      <c r="AD43" s="58" t="s">
        <v>14</v>
      </c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3993</v>
      </c>
      <c r="D44" s="373" t="s">
        <v>3994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3995</v>
      </c>
      <c r="L44" s="109" t="s">
        <v>3996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344"/>
      <c r="W44" s="61"/>
      <c r="X44" s="269"/>
      <c r="Z44" s="270">
        <v>46183.0</v>
      </c>
      <c r="AA44" s="109" t="s">
        <v>3997</v>
      </c>
      <c r="AB44" s="109" t="s">
        <v>3998</v>
      </c>
      <c r="AC44" s="58" t="s">
        <v>11</v>
      </c>
      <c r="AD44" s="58" t="s">
        <v>20</v>
      </c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3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3999</v>
      </c>
      <c r="D45" s="373" t="s">
        <v>4000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4001</v>
      </c>
      <c r="L45" s="109" t="s">
        <v>4002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344"/>
      <c r="W45" s="61"/>
      <c r="X45" s="269"/>
      <c r="Z45" s="270">
        <v>46183.0</v>
      </c>
      <c r="AA45" s="109" t="s">
        <v>4003</v>
      </c>
      <c r="AB45" s="109" t="s">
        <v>4004</v>
      </c>
      <c r="AC45" s="58" t="s">
        <v>21</v>
      </c>
      <c r="AD45" s="58" t="s">
        <v>20</v>
      </c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4005</v>
      </c>
      <c r="D46" s="373" t="s">
        <v>4006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4007</v>
      </c>
      <c r="L46" s="109" t="s">
        <v>4008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344"/>
      <c r="W46" s="61"/>
      <c r="X46" s="269"/>
      <c r="Z46" s="270">
        <v>46183.0</v>
      </c>
      <c r="AA46" s="109" t="s">
        <v>4009</v>
      </c>
      <c r="AB46" s="109" t="s">
        <v>4010</v>
      </c>
      <c r="AC46" s="58" t="s">
        <v>25</v>
      </c>
      <c r="AD46" s="58" t="s">
        <v>20</v>
      </c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3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4011</v>
      </c>
      <c r="D47" s="373" t="s">
        <v>4012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4013</v>
      </c>
      <c r="L47" s="109" t="s">
        <v>4014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344"/>
      <c r="W47" s="109"/>
      <c r="X47" s="269"/>
      <c r="Z47" s="270">
        <v>46183.0</v>
      </c>
      <c r="AA47" s="109" t="s">
        <v>4015</v>
      </c>
      <c r="AB47" s="109" t="s">
        <v>4016</v>
      </c>
      <c r="AC47" s="58" t="s">
        <v>21</v>
      </c>
      <c r="AD47" s="58" t="s">
        <v>20</v>
      </c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4017</v>
      </c>
      <c r="D48" s="373" t="s">
        <v>4018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4019</v>
      </c>
      <c r="L48" s="109" t="s">
        <v>4020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3"/>
      <c r="U48" s="58"/>
      <c r="V48" s="344"/>
      <c r="W48" s="61"/>
      <c r="X48" s="269"/>
      <c r="Z48" s="270">
        <v>46183.0</v>
      </c>
      <c r="AA48" s="109" t="s">
        <v>4021</v>
      </c>
      <c r="AB48" s="109" t="s">
        <v>4022</v>
      </c>
      <c r="AC48" s="58" t="s">
        <v>21</v>
      </c>
      <c r="AD48" s="58" t="s">
        <v>20</v>
      </c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4023</v>
      </c>
      <c r="D49" s="373" t="s">
        <v>4024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4025</v>
      </c>
      <c r="L49" s="109" t="s">
        <v>4026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3"/>
      <c r="U49" s="58"/>
      <c r="V49" s="344"/>
      <c r="W49" s="61"/>
      <c r="X49" s="269"/>
      <c r="Z49" s="270">
        <v>46183.0</v>
      </c>
      <c r="AA49" s="109" t="s">
        <v>4027</v>
      </c>
      <c r="AB49" s="109" t="s">
        <v>4028</v>
      </c>
      <c r="AC49" s="58" t="s">
        <v>15</v>
      </c>
      <c r="AD49" s="58" t="s">
        <v>20</v>
      </c>
      <c r="AE49" s="61"/>
      <c r="AF49" s="269"/>
      <c r="AH49" s="490"/>
      <c r="AI49" s="453"/>
      <c r="AJ49" s="453"/>
      <c r="AK49" s="471"/>
      <c r="AL49" s="455"/>
      <c r="AM49" s="61"/>
      <c r="AN49" s="269"/>
      <c r="AP49" s="449"/>
      <c r="AQ49" s="450"/>
      <c r="AR49" s="460"/>
      <c r="AS49" s="468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4029</v>
      </c>
      <c r="D50" s="373" t="s">
        <v>4030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4031</v>
      </c>
      <c r="L50" s="109" t="s">
        <v>4032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7"/>
      <c r="U50" s="58"/>
      <c r="V50" s="344"/>
      <c r="W50" s="109"/>
      <c r="X50" s="269"/>
      <c r="Z50" s="270">
        <v>46183.0</v>
      </c>
      <c r="AA50" s="109" t="s">
        <v>4033</v>
      </c>
      <c r="AB50" s="109" t="s">
        <v>4034</v>
      </c>
      <c r="AC50" s="58" t="s">
        <v>15</v>
      </c>
      <c r="AD50" s="58" t="s">
        <v>20</v>
      </c>
      <c r="AE50" s="61"/>
      <c r="AF50" s="269"/>
      <c r="AH50" s="491"/>
      <c r="AI50" s="450"/>
      <c r="AJ50" s="450"/>
      <c r="AK50" s="477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4035</v>
      </c>
      <c r="D51" s="373" t="s">
        <v>4036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4037</v>
      </c>
      <c r="L51" s="109" t="s">
        <v>4038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3"/>
      <c r="U51" s="344"/>
      <c r="V51" s="344"/>
      <c r="W51" s="109"/>
      <c r="X51" s="298"/>
      <c r="Z51" s="270">
        <v>46183.0</v>
      </c>
      <c r="AA51" s="109" t="s">
        <v>4039</v>
      </c>
      <c r="AB51" s="109" t="s">
        <v>4040</v>
      </c>
      <c r="AC51" s="58" t="s">
        <v>15</v>
      </c>
      <c r="AD51" s="58" t="s">
        <v>20</v>
      </c>
      <c r="AE51" s="61"/>
      <c r="AF51" s="269"/>
      <c r="AH51" s="490"/>
      <c r="AI51" s="453"/>
      <c r="AJ51" s="453"/>
      <c r="AK51" s="471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4041</v>
      </c>
      <c r="D52" s="373" t="s">
        <v>4042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4043</v>
      </c>
      <c r="L52" s="109" t="s">
        <v>4044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344"/>
      <c r="W52" s="61"/>
      <c r="X52" s="269"/>
      <c r="Z52" s="270"/>
      <c r="AA52" s="109"/>
      <c r="AB52" s="109"/>
      <c r="AC52" s="58"/>
      <c r="AD52" s="58"/>
      <c r="AE52" s="61"/>
      <c r="AF52" s="269"/>
      <c r="AH52" s="491"/>
      <c r="AI52" s="450"/>
      <c r="AJ52" s="450"/>
      <c r="AK52" s="477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4045</v>
      </c>
      <c r="D53" s="489" t="s">
        <v>4046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4047</v>
      </c>
      <c r="L53" s="109" t="s">
        <v>4048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344"/>
      <c r="W53" s="61"/>
      <c r="X53" s="269"/>
      <c r="Z53" s="270"/>
      <c r="AA53" s="109"/>
      <c r="AB53" s="109"/>
      <c r="AC53" s="58"/>
      <c r="AD53" s="58"/>
      <c r="AE53" s="61"/>
      <c r="AF53" s="269"/>
      <c r="AH53" s="490"/>
      <c r="AI53" s="453"/>
      <c r="AJ53" s="453"/>
      <c r="AK53" s="471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7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89" t="s">
        <v>4049</v>
      </c>
      <c r="D54" s="392" t="s">
        <v>4050</v>
      </c>
      <c r="E54" s="58" t="s">
        <v>19</v>
      </c>
      <c r="F54" s="58" t="s">
        <v>2349</v>
      </c>
      <c r="G54" s="427" t="s">
        <v>4051</v>
      </c>
      <c r="H54" s="269"/>
      <c r="J54" s="403">
        <v>46176.0</v>
      </c>
      <c r="K54" s="294" t="s">
        <v>4052</v>
      </c>
      <c r="L54" s="294" t="s">
        <v>4053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344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2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3" t="s">
        <v>4054</v>
      </c>
      <c r="D55" s="430" t="s">
        <v>4055</v>
      </c>
      <c r="E55" s="431" t="s">
        <v>19</v>
      </c>
      <c r="F55" s="58" t="s">
        <v>12</v>
      </c>
      <c r="G55" s="109" t="s">
        <v>4056</v>
      </c>
      <c r="H55" s="269" t="b">
        <v>1</v>
      </c>
      <c r="J55" s="401">
        <v>46176.0</v>
      </c>
      <c r="K55" s="273" t="s">
        <v>4057</v>
      </c>
      <c r="L55" s="273" t="s">
        <v>4058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344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6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4059</v>
      </c>
      <c r="D56" s="373" t="s">
        <v>4060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4061</v>
      </c>
      <c r="L56" s="294" t="s">
        <v>4062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344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8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4063</v>
      </c>
      <c r="D57" s="373" t="s">
        <v>4064</v>
      </c>
      <c r="E57" s="58" t="s">
        <v>16</v>
      </c>
      <c r="F57" s="58" t="s">
        <v>20</v>
      </c>
      <c r="G57" s="109" t="s">
        <v>4056</v>
      </c>
      <c r="H57" s="269" t="b">
        <v>1</v>
      </c>
      <c r="J57" s="401">
        <v>46176.0</v>
      </c>
      <c r="K57" s="273" t="s">
        <v>4065</v>
      </c>
      <c r="L57" s="273" t="s">
        <v>4066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344"/>
      <c r="W57" s="492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6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4067</v>
      </c>
      <c r="D58" s="430" t="s">
        <v>4068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4069</v>
      </c>
      <c r="L58" s="294" t="s">
        <v>4070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344"/>
      <c r="W58" s="109"/>
      <c r="X58" s="269"/>
      <c r="Z58" s="270"/>
      <c r="AA58" s="109"/>
      <c r="AB58" s="109"/>
      <c r="AC58" s="58"/>
      <c r="AD58" s="58"/>
      <c r="AE58" s="61"/>
      <c r="AF58" s="269"/>
      <c r="AH58" s="473"/>
      <c r="AI58" s="450"/>
      <c r="AJ58" s="450"/>
      <c r="AK58" s="477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4071</v>
      </c>
      <c r="D59" s="373" t="s">
        <v>4072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4073</v>
      </c>
      <c r="L59" s="294" t="s">
        <v>4074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344"/>
      <c r="W59" s="109"/>
      <c r="X59" s="269"/>
      <c r="Z59" s="270"/>
      <c r="AA59" s="109"/>
      <c r="AB59" s="109"/>
      <c r="AC59" s="58"/>
      <c r="AD59" s="58"/>
      <c r="AE59" s="61"/>
      <c r="AF59" s="269"/>
      <c r="AH59" s="470"/>
      <c r="AI59" s="453"/>
      <c r="AJ59" s="453"/>
      <c r="AK59" s="471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4075</v>
      </c>
      <c r="D60" s="373" t="s">
        <v>4076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4077</v>
      </c>
      <c r="L60" s="273" t="s">
        <v>4078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344"/>
      <c r="W60" s="109"/>
      <c r="X60" s="298"/>
      <c r="Z60" s="270"/>
      <c r="AA60" s="109"/>
      <c r="AB60" s="109"/>
      <c r="AC60" s="58"/>
      <c r="AD60" s="58"/>
      <c r="AE60" s="61"/>
      <c r="AF60" s="269"/>
      <c r="AH60" s="473"/>
      <c r="AI60" s="450"/>
      <c r="AJ60" s="450"/>
      <c r="AK60" s="477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4079</v>
      </c>
      <c r="D61" s="373" t="s">
        <v>4080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4081</v>
      </c>
      <c r="L61" s="294" t="s">
        <v>4082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344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4083</v>
      </c>
      <c r="D62" s="373" t="s">
        <v>4084</v>
      </c>
      <c r="E62" s="58" t="s">
        <v>10</v>
      </c>
      <c r="F62" s="58" t="s">
        <v>14</v>
      </c>
      <c r="G62" s="109" t="s">
        <v>4085</v>
      </c>
      <c r="H62" s="269"/>
      <c r="J62" s="382">
        <v>46176.0</v>
      </c>
      <c r="K62" s="273" t="s">
        <v>4086</v>
      </c>
      <c r="L62" s="273" t="s">
        <v>4087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94"/>
      <c r="U62" s="58"/>
      <c r="V62" s="344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4088</v>
      </c>
      <c r="D63" s="373" t="s">
        <v>4089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4090</v>
      </c>
      <c r="L63" s="294" t="s">
        <v>4091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344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4092</v>
      </c>
      <c r="D64" s="373" t="s">
        <v>4093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4094</v>
      </c>
      <c r="L64" s="273" t="s">
        <v>4095</v>
      </c>
      <c r="M64" s="398"/>
      <c r="N64" s="431" t="s">
        <v>2338</v>
      </c>
      <c r="O64" s="109" t="s">
        <v>4096</v>
      </c>
      <c r="P64" s="269"/>
      <c r="R64" s="270"/>
      <c r="S64" s="109"/>
      <c r="T64" s="47"/>
      <c r="U64" s="58"/>
      <c r="V64" s="344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4097</v>
      </c>
      <c r="D65" s="373" t="s">
        <v>4098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4099</v>
      </c>
      <c r="L65" s="109" t="s">
        <v>4100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344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4101</v>
      </c>
      <c r="D66" s="373" t="s">
        <v>4102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4103</v>
      </c>
      <c r="L66" s="109" t="s">
        <v>4104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344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4105</v>
      </c>
      <c r="D67" s="373" t="s">
        <v>4106</v>
      </c>
      <c r="E67" s="58" t="s">
        <v>10</v>
      </c>
      <c r="F67" s="58" t="s">
        <v>9</v>
      </c>
      <c r="G67" s="109" t="s">
        <v>4107</v>
      </c>
      <c r="H67" s="269" t="b">
        <v>1</v>
      </c>
      <c r="J67" s="270">
        <v>46177.0</v>
      </c>
      <c r="K67" s="109" t="s">
        <v>4108</v>
      </c>
      <c r="L67" s="109" t="s">
        <v>4109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344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4110</v>
      </c>
      <c r="D68" s="373" t="s">
        <v>4111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4112</v>
      </c>
      <c r="L68" s="109" t="s">
        <v>4113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344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4114</v>
      </c>
      <c r="D69" s="373" t="s">
        <v>4115</v>
      </c>
      <c r="E69" s="58" t="s">
        <v>10</v>
      </c>
      <c r="F69" s="58" t="s">
        <v>9</v>
      </c>
      <c r="G69" s="109" t="s">
        <v>4116</v>
      </c>
      <c r="H69" s="269"/>
      <c r="J69" s="270">
        <v>46177.0</v>
      </c>
      <c r="K69" s="109" t="s">
        <v>4117</v>
      </c>
      <c r="L69" s="109" t="s">
        <v>4118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344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4119</v>
      </c>
      <c r="D70" s="373" t="s">
        <v>4120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4121</v>
      </c>
      <c r="L70" s="109" t="s">
        <v>4122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4123</v>
      </c>
      <c r="D71" s="373" t="s">
        <v>4124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4125</v>
      </c>
      <c r="L71" s="109" t="s">
        <v>4126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4127</v>
      </c>
      <c r="D72" s="373" t="s">
        <v>4128</v>
      </c>
      <c r="E72" s="58" t="s">
        <v>22</v>
      </c>
      <c r="F72" s="58" t="s">
        <v>9</v>
      </c>
      <c r="G72" s="109" t="s">
        <v>4129</v>
      </c>
      <c r="H72" s="298"/>
      <c r="J72" s="270">
        <v>46177.0</v>
      </c>
      <c r="K72" s="109" t="s">
        <v>4130</v>
      </c>
      <c r="L72" s="109" t="s">
        <v>4131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4132</v>
      </c>
      <c r="D73" s="373" t="s">
        <v>4133</v>
      </c>
      <c r="E73" s="58" t="s">
        <v>16</v>
      </c>
      <c r="F73" s="58" t="s">
        <v>2347</v>
      </c>
      <c r="G73" s="109" t="s">
        <v>4134</v>
      </c>
      <c r="H73" s="269" t="b">
        <v>1</v>
      </c>
      <c r="J73" s="270">
        <v>46177.0</v>
      </c>
      <c r="K73" s="109" t="s">
        <v>4135</v>
      </c>
      <c r="L73" s="109" t="s">
        <v>4136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4137</v>
      </c>
      <c r="D74" s="373" t="s">
        <v>4138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4139</v>
      </c>
      <c r="L74" s="273" t="s">
        <v>4140</v>
      </c>
      <c r="M74" s="402" t="s">
        <v>11</v>
      </c>
      <c r="N74" s="402" t="s">
        <v>2337</v>
      </c>
      <c r="O74" s="109" t="s">
        <v>3745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4141</v>
      </c>
      <c r="D75" s="373" t="s">
        <v>4142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4143</v>
      </c>
      <c r="L75" s="294" t="s">
        <v>4144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70"/>
      <c r="AA75" s="453"/>
      <c r="AB75" s="453"/>
      <c r="AC75" s="471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4145</v>
      </c>
      <c r="D76" s="294" t="s">
        <v>4146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4147</v>
      </c>
      <c r="L76" s="273" t="s">
        <v>4148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3"/>
      <c r="AA76" s="450"/>
      <c r="AB76" s="450"/>
      <c r="AC76" s="477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4149</v>
      </c>
      <c r="D77" s="273" t="s">
        <v>4150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4151</v>
      </c>
      <c r="L77" s="294" t="s">
        <v>4152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70"/>
      <c r="AA77" s="453"/>
      <c r="AB77" s="453"/>
      <c r="AC77" s="471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4153</v>
      </c>
      <c r="D78" s="294" t="s">
        <v>4154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4155</v>
      </c>
      <c r="L78" s="273" t="s">
        <v>4156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3"/>
      <c r="AA78" s="450"/>
      <c r="AB78" s="450"/>
      <c r="AC78" s="477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4157</v>
      </c>
      <c r="D79" s="273" t="s">
        <v>4158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4159</v>
      </c>
      <c r="L79" s="294" t="s">
        <v>4160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70"/>
      <c r="AA79" s="453"/>
      <c r="AB79" s="453"/>
      <c r="AC79" s="471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4161</v>
      </c>
      <c r="D80" s="294" t="s">
        <v>4162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4163</v>
      </c>
      <c r="L80" s="273" t="s">
        <v>4164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7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4165</v>
      </c>
      <c r="D81" s="373" t="s">
        <v>4166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4167</v>
      </c>
      <c r="L81" s="109" t="s">
        <v>4168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8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4169</v>
      </c>
      <c r="D82" s="373" t="s">
        <v>4170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4171</v>
      </c>
      <c r="L82" s="109" t="s">
        <v>4172</v>
      </c>
      <c r="M82" s="58" t="s">
        <v>11</v>
      </c>
      <c r="N82" s="58" t="s">
        <v>20</v>
      </c>
      <c r="O82" s="61"/>
      <c r="P82" s="269" t="b">
        <v>1</v>
      </c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6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4173</v>
      </c>
      <c r="D83" s="373" t="s">
        <v>4174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4175</v>
      </c>
      <c r="L83" s="109" t="s">
        <v>4176</v>
      </c>
      <c r="M83" s="58" t="s">
        <v>11</v>
      </c>
      <c r="N83" s="58" t="s">
        <v>20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495"/>
      <c r="AA83" s="460"/>
      <c r="AB83" s="460"/>
      <c r="AC83" s="496"/>
      <c r="AD83" s="46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4177</v>
      </c>
      <c r="D84" s="294" t="s">
        <v>4178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4179</v>
      </c>
      <c r="L84" s="109" t="s">
        <v>4180</v>
      </c>
      <c r="M84" s="58" t="s">
        <v>11</v>
      </c>
      <c r="N84" s="58" t="s">
        <v>20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4181</v>
      </c>
      <c r="D85" s="326" t="s">
        <v>4182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4183</v>
      </c>
      <c r="L85" s="109" t="s">
        <v>4184</v>
      </c>
      <c r="M85" s="58" t="s">
        <v>11</v>
      </c>
      <c r="N85" s="58" t="s">
        <v>20</v>
      </c>
      <c r="O85" s="109"/>
      <c r="P85" s="269" t="b">
        <v>1</v>
      </c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4185</v>
      </c>
      <c r="D86" s="273" t="s">
        <v>4186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4187</v>
      </c>
      <c r="L86" s="109" t="s">
        <v>4188</v>
      </c>
      <c r="M86" s="58" t="s">
        <v>11</v>
      </c>
      <c r="N86" s="58" t="s">
        <v>20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4189</v>
      </c>
      <c r="D87" s="294" t="s">
        <v>4190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4191</v>
      </c>
      <c r="L87" s="430" t="s">
        <v>4192</v>
      </c>
      <c r="M87" s="431" t="s">
        <v>11</v>
      </c>
      <c r="N87" s="58" t="s">
        <v>2338</v>
      </c>
      <c r="O87" s="61"/>
      <c r="P87" s="269" t="b">
        <v>1</v>
      </c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4193</v>
      </c>
      <c r="L88" s="405" t="s">
        <v>4194</v>
      </c>
      <c r="M88" s="481" t="s">
        <v>11</v>
      </c>
      <c r="N88" s="58" t="s">
        <v>2338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4195</v>
      </c>
      <c r="L89" s="273" t="s">
        <v>4196</v>
      </c>
      <c r="M89" s="402" t="s">
        <v>11</v>
      </c>
      <c r="N89" s="58" t="s">
        <v>2338</v>
      </c>
      <c r="O89" s="61"/>
      <c r="P89" s="269" t="b">
        <v>1</v>
      </c>
      <c r="R89" s="270"/>
      <c r="S89" s="109"/>
      <c r="T89" s="109"/>
      <c r="U89" s="344"/>
      <c r="V89" s="344"/>
      <c r="W89" s="109"/>
      <c r="X89" s="298"/>
      <c r="Z89" s="473"/>
      <c r="AA89" s="460"/>
      <c r="AB89" s="450"/>
      <c r="AC89" s="477"/>
      <c r="AD89" s="452"/>
      <c r="AE89" s="478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4197</v>
      </c>
      <c r="L90" s="294" t="s">
        <v>4198</v>
      </c>
      <c r="M90" s="396" t="s">
        <v>23</v>
      </c>
      <c r="N90" s="58" t="s">
        <v>2338</v>
      </c>
      <c r="O90" s="61"/>
      <c r="P90" s="269" t="b">
        <v>1</v>
      </c>
      <c r="R90" s="270"/>
      <c r="S90" s="384"/>
      <c r="T90" s="109"/>
      <c r="U90" s="344"/>
      <c r="V90" s="344"/>
      <c r="W90" s="61"/>
      <c r="X90" s="298"/>
      <c r="Z90" s="470"/>
      <c r="AA90" s="453"/>
      <c r="AB90" s="453"/>
      <c r="AC90" s="471"/>
      <c r="AD90" s="455"/>
      <c r="AE90" s="476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4199</v>
      </c>
      <c r="L91" s="294" t="s">
        <v>4200</v>
      </c>
      <c r="M91" s="396" t="s">
        <v>11</v>
      </c>
      <c r="N91" s="391" t="s">
        <v>2338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73"/>
      <c r="AA91" s="450"/>
      <c r="AB91" s="450"/>
      <c r="AC91" s="452"/>
      <c r="AD91" s="452"/>
      <c r="AE91" s="497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4201</v>
      </c>
      <c r="L92" s="273" t="s">
        <v>4202</v>
      </c>
      <c r="M92" s="498" t="s">
        <v>11</v>
      </c>
      <c r="N92" s="402" t="s">
        <v>2338</v>
      </c>
      <c r="O92" s="109" t="s">
        <v>4203</v>
      </c>
      <c r="P92" s="269"/>
      <c r="R92" s="270"/>
      <c r="S92" s="384"/>
      <c r="T92" s="109"/>
      <c r="U92" s="344"/>
      <c r="V92" s="344"/>
      <c r="W92" s="61"/>
      <c r="X92" s="298"/>
      <c r="Z92" s="470"/>
      <c r="AA92" s="453"/>
      <c r="AB92" s="453"/>
      <c r="AC92" s="471"/>
      <c r="AD92" s="455"/>
      <c r="AE92" s="476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4204</v>
      </c>
      <c r="L93" s="430" t="s">
        <v>4205</v>
      </c>
      <c r="M93" s="499" t="s">
        <v>11</v>
      </c>
      <c r="N93" s="431" t="s">
        <v>2338</v>
      </c>
      <c r="O93" s="109" t="s">
        <v>4206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3"/>
      <c r="AA93" s="450"/>
      <c r="AB93" s="460"/>
      <c r="AC93" s="452"/>
      <c r="AD93" s="452"/>
      <c r="AE93" s="497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0">
        <v>46181.0</v>
      </c>
      <c r="K94" s="501" t="s">
        <v>4207</v>
      </c>
      <c r="L94" s="501" t="s">
        <v>4208</v>
      </c>
      <c r="M94" s="502" t="s">
        <v>11</v>
      </c>
      <c r="N94" s="503" t="s">
        <v>28</v>
      </c>
      <c r="O94" s="501" t="s">
        <v>4209</v>
      </c>
      <c r="P94" s="504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4210</v>
      </c>
      <c r="L95" s="294" t="s">
        <v>4211</v>
      </c>
      <c r="M95" s="409" t="s">
        <v>21</v>
      </c>
      <c r="N95" s="391" t="s">
        <v>2338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4212</v>
      </c>
      <c r="L96" s="273" t="s">
        <v>4213</v>
      </c>
      <c r="M96" s="395" t="s">
        <v>23</v>
      </c>
      <c r="N96" s="402" t="s">
        <v>2338</v>
      </c>
      <c r="O96" s="61"/>
      <c r="P96" s="269" t="b">
        <v>1</v>
      </c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4214</v>
      </c>
      <c r="L97" s="294" t="s">
        <v>4215</v>
      </c>
      <c r="M97" s="409" t="s">
        <v>15</v>
      </c>
      <c r="N97" s="391" t="s">
        <v>2338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4216</v>
      </c>
      <c r="L98" s="273" t="s">
        <v>4217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4218</v>
      </c>
      <c r="L99" s="294" t="s">
        <v>4219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4220</v>
      </c>
      <c r="L100" s="273" t="s">
        <v>4221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4222</v>
      </c>
      <c r="L101" s="294" t="s">
        <v>4223</v>
      </c>
      <c r="M101" s="409" t="s">
        <v>25</v>
      </c>
      <c r="N101" s="391" t="s">
        <v>2338</v>
      </c>
      <c r="O101" s="61"/>
      <c r="P101" s="269" t="b">
        <v>1</v>
      </c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5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6"/>
      <c r="C1003" s="507" t="s">
        <v>3164</v>
      </c>
      <c r="D1003" s="109" t="s">
        <v>3165</v>
      </c>
      <c r="E1003" s="508" t="s">
        <v>13</v>
      </c>
      <c r="F1003" s="508" t="s">
        <v>2347</v>
      </c>
      <c r="G1003" s="509"/>
      <c r="H1003" s="510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6"/>
      <c r="C1004" s="109" t="s">
        <v>4224</v>
      </c>
      <c r="D1004" s="109" t="s">
        <v>4225</v>
      </c>
      <c r="E1004" s="508" t="s">
        <v>22</v>
      </c>
      <c r="F1004" s="508" t="s">
        <v>2347</v>
      </c>
      <c r="G1004" s="509"/>
      <c r="H1004" s="510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6"/>
      <c r="C1005" s="109" t="s">
        <v>4226</v>
      </c>
      <c r="D1005" s="109" t="s">
        <v>4227</v>
      </c>
      <c r="E1005" s="508" t="s">
        <v>22</v>
      </c>
      <c r="F1005" s="508" t="s">
        <v>2347</v>
      </c>
      <c r="G1005" s="509"/>
      <c r="H1005" s="510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6"/>
      <c r="C1006" s="109" t="s">
        <v>4228</v>
      </c>
      <c r="D1006" s="109" t="s">
        <v>4229</v>
      </c>
      <c r="E1006" s="508" t="s">
        <v>22</v>
      </c>
      <c r="F1006" s="508" t="s">
        <v>2347</v>
      </c>
      <c r="G1006" s="509"/>
      <c r="H1006" s="510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6"/>
      <c r="C1007" s="109"/>
      <c r="D1007" s="109"/>
      <c r="E1007" s="508"/>
      <c r="F1007" s="508"/>
      <c r="G1007" s="509"/>
      <c r="H1007" s="510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6"/>
      <c r="C1008" s="109"/>
      <c r="D1008" s="109"/>
      <c r="E1008" s="508"/>
      <c r="F1008" s="508"/>
      <c r="G1008" s="509"/>
      <c r="H1008" s="510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