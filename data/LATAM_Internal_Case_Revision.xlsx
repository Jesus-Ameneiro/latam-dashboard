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tc={91b1b1d4-d905-4550-8e25-1676ebedfa03}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91b1b1d4-d905-4550-8e25-1676ebedfa03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<sst xmlns="http://schemas.openxmlformats.org/spreadsheetml/2006/main" count="8394" uniqueCount="3730">
  <si>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</si>
  <si>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</si>
  <si>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</si>
  <si>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</si>
  <si>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</si>
  <si>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</si>
  <si>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</si>
  <si>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</si>
  <si>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</si>
  <si>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</si>
  <si>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</si>
  <si>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</si>
  <si>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</si>
  <si>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</si>
  <si>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</si>
  <si>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</si>
  <si>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</si>
  <si>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</si>
  <si>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</si>
  <si>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</si>
  <si>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</si>
  <si>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</si>
  <si>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</si>
  <si>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</si>
  <si>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</si>
  <si>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</si>
  <si>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</si>
  <si>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</si>
  <si>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</si>
  <si>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</si>
  <si>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</si>
  <si>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</si>
  <si>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</si>
  <si>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</si>
  <si>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</si>
  <si>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</si>
  <si>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</si>
  <si>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</si>
  <si>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</si>
  <si>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</si>
  <si>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</si>
  <si>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</si>
  <si>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</si>
  <si>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</si>
  <si>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</si>
  <si>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</si>
  <si>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</si>
  <si>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</si>
  <si>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</si>
  <si>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</si>
  <si>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</si>
  <si>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</si>
  <si>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</si>
  <si>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</si>
  <si>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</si>
  <si>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</si>
  <si>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</si>
  <si>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</si>
  <si>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</si>
  <si>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</si>
  <si>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</si>
  <si>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</si>
  <si>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</si>
  <si>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</si>
  <si>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</si>
  <si>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</si>
  <si>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</si>
  <si>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</si>
  <si>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</si>
  <si>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</si>
  <si>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</si>
  <si>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</si>
  <si>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</si>
  <si>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</si>
  <si>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</si>
  <si>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</si>
  <si>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</si>
  <si>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</si>
  <si>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</si>
  <si>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</si>
  <si>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</si>
  <si>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</si>
  <si>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</si>
  <si>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</si>
  <si>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</si>
  <si>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</si>
  <si>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</si>
  <si>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</si>
  <si>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</si>
  <si>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</si>
  <si>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</si>
  <si>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</si>
  <si>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</si>
  <si>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</si>
  <si>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</si>
  <si>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</si>
  <si>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</si>
  <si>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</si>
  <si>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</si>
  <si>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</si>
  <si>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</si>
  <si>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</si>
  <si>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</si>
  <si>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</si>
  <si>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</si>
  <si>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</si>
  <si>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</si>
  <si>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</si>
  <si>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</si>
  <si>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</si>
  <si>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</si>
  <si>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</si>
  <si>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</si>
  <si>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</si>
  <si>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</si>
  <si>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</si>
  <si>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</si>
  <si>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</si>
  <si>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</si>
  <si>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</si>
  <si>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</si>
  <si>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</si>
  <si>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</si>
  <si>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</si>
  <si>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</si>
  <si>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</si>
  <si>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</si>
  <si>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</si>
  <si>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</si>
  <si>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</si>
  <si>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</si>
  <si>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</si>
  <si>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</si>
  <si>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</si>
  <si>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</si>
  <si>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</si>
  <si>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</si>
  <si>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</si>
  <si>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</si>
  <si>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</si>
  <si>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</si>
  <si>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</si>
  <si>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</si>
  <si>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</si>
  <si>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</si>
  <si>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</si>
  <si>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</si>
  <si>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</si>
  <si>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</si>
  <si>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</si>
  <si>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</si>
  <si>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</si>
  <si>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</si>
  <si>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</si>
  <si>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</si>
  <si>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</si>
  <si>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</si>
  <si>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</si>
  <si>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</si>
  <si>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</si>
  <si>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</si>
  <si>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</si>
  <si>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</si>
  <si>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</si>
  <si>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</si>
  <si>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</si>
  <si>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</si>
  <si>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</si>
  <si>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</si>
  <si>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</si>
  <si>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</si>
  <si>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</si>
  <si>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</si>
  <si>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</si>
  <si>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</si>
  <si>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</si>
  <si>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</si>
  <si>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</si>
  <si>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</si>
  <si>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</si>
  <si>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</si>
  <si>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</si>
  <si>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</si>
  <si>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</si>
  <si>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</si>
  <si>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</si>
  <si>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</si>
  <si>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</si>
  <si>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</si>
  <si>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</si>
  <si>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</si>
  <si>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</si>
  <si>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</si>
  <si>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</si>
  <si>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</si>
  <si>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</si>
  <si>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</si>
  <si>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</si>
  <si>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</si>
  <si>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</si>
  <si>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</si>
  <si>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</si>
  <si>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</si>
  <si>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</si>
  <si>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</si>
  <si>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</si>
  <si>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</si>
  <si>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</si>
  <si>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</si>
  <si>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</si>
  <si>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</si>
  <si>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</si>
  <si>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</si>
  <si>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</si>
  <si>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</si>
  <si>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</si>
  <si>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</si>
  <si>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</si>
  <si>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</si>
  <si>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</si>
  <si>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</si>
  <si>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</si>
  <si>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</si>
  <si>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</si>
  <si>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</si>
  <si>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</si>
  <si>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</si>
  <si>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</si>
  <si>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</si>
  <si>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</si>
  <si>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</si>
  <si>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</si>
  <si>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</si>
  <si>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</si>
  <si>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</si>
  <si>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</si>
  <si>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</si>
  <si>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</si>
  <si>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</si>
  <si>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</si>
  <si>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</si>
  <si>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</si>
  <si>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</si>
  <si>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</si>
  <si>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</si>
  <si>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</si>
  <si>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</si>
  <si>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</si>
  <si>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</si>
  <si>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</si>
  <si>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</si>
  <si>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</si>
  <si>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</si>
  <si>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</si>
  <si>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</si>
  <si>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</si>
  <si>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</si>
  <si>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</si>
  <si>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</si>
  <si>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</si>
  <si>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</si>
  <si>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</si>
  <si>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</si>
  <si>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</si>
  <si>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</si>
  <si>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</si>
  <si>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</si>
  <si>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</si>
  <si>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</si>
  <si>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</si>
  <si>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</si>
  <si>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</si>
  <si>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</si>
  <si>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</si>
  <si>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</si>
  <si>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</si>
  <si>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</si>
  <si>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</si>
  <si>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</si>
  <si>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</si>
  <si>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</si>
  <si>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</si>
  <si>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</si>
  <si>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</si>
  <si>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</si>
  <si>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</si>
  <si>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</si>
  <si>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</si>
  <si>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</si>
  <si>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</si>
  <si>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</si>
  <si>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</si>
  <si>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</si>
  <si>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</si>
  <si>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</si>
  <si>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</si>
  <si>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</si>
  <si>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</si>
  <si>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</si>
  <si>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</si>
  <si>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</si>
  <si>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</si>
  <si>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</si>
  <si>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</si>
  <si>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</si>
  <si>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</si>
  <si>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</si>
  <si>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</si>
  <si>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</si>
  <si>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</si>
  <si>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</si>
  <si>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</si>
  <si>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</si>
  <si>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</si>
  <si>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</si>
  <si>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</si>
  <si>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</si>
  <si>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</si>
  <si>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</si>
  <si>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</si>
  <si>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</si>
  <si>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</si>
  <si>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</si>
  <si>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</si>
  <si>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</si>
  <si>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</si>
  <si>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</si>
  <si>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</si>
  <si>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</si>
  <si>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</si>
  <si>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</si>
  <si>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</si>
  <si>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</si>
  <si>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</si>
  <si>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</si>
  <si>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</si>
  <si>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</si>
  <si>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</si>
  <si>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</si>
  <si>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</si>
  <si>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</si>
  <si>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</si>
  <si>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</si>
  <si>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</si>
  <si>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</si>
  <si>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</si>
  <si>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</si>
  <si>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</si>
  <si>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</si>
  <si>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</si>
  <si>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</si>
  <si>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</si>
  <si>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</si>
  <si>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</si>
  <si>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</si>
  <si>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</si>
  <si>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</si>
  <si>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</si>
  <si>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</si>
  <si>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</si>
  <si>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</si>
  <si>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</si>
  <si>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</si>
  <si>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</si>
  <si>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</si>
  <si>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</si>
  <si>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</si>
  <si>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</si>
  <si>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</si>
  <si>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</si>
  <si>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</si>
  <si>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</si>
  <si>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</si>
  <si>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</si>
  <si>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</si>
  <si>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</si>
  <si>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</si>
  <si>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</si>
  <si>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</si>
  <si>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</si>
  <si>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</si>
  <si>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</si>
  <si>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</si>
  <si>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</si>
  <si>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</si>
  <si>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</si>
  <si>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</si>
  <si>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</si>
  <si>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</si>
  <si>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</si>
  <si>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</si>
  <si>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</si>
  <si>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</si>
  <si>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</si>
  <si>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</si>
  <si>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</si>
  <si>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</si>
  <si>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</si>
  <si>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</si>
  <si>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</si>
  <si>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</si>
  <si>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</si>
  <si>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</si>
  <si>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</si>
  <si>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</si>
  <si>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</si>
  <si>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</si>
  <si>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</si>
  <si>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</si>
  <si>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</si>
  <si>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</si>
  <si>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</si>
  <si>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</si>
  <si>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</si>
  <si>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</si>
  <si>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</si>
  <si>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</si>
  <si>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</si>
  <si>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</si>
  <si>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</si>
  <si>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</si>
  <si>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</si>
  <si>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</si>
  <si>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</si>
  <si>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</si>
  <si>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</si>
  <si>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</si>
  <si>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</si>
  <si>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</si>
  <si>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</si>
  <si>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</si>
  <si>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</si>
  <si>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</si>
  <si>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</si>
  <si>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</si>
  <si>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</si>
  <si>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</si>
  <si>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</si>
  <si>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</si>
  <si>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</si>
  <si>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</si>
  <si>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</si>
  <si>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</si>
  <si>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</si>
  <si>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</si>
  <si>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</si>
  <si>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</si>
  <si>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</si>
  <si>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</si>
  <si>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</si>
  <si>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</si>
  <si>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</si>
  <si>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</si>
  <si>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</si>
  <si>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</si>
  <si>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</si>
  <si>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</si>
  <si>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</si>
  <si>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</si>
  <si>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</si>
  <si>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</si>
  <si>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</si>
  <si>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</si>
  <si>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</si>
  <si>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</si>
  <si>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</si>
  <si>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</si>
  <si>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</si>
  <si>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</si>
  <si>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</si>
  <si>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</si>
  <si>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</si>
  <si>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</si>
  <si>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</si>
  <si>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</si>
  <si>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</si>
  <si>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</si>
  <si>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</si>
  <si>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</si>
  <si>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</si>
  <si>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</si>
  <si>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</si>
  <si>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</si>
  <si>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</si>
  <si>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</si>
  <si>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</si>
  <si>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</si>
  <si>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</si>
  <si>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</si>
  <si>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</si>
  <si>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</si>
  <si>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</si>
  <si>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</si>
  <si>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</si>
  <si>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</si>
  <si>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</si>
  <si>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</si>
  <si>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</si>
  <si>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</si>
  <si>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</si>
  <si>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</si>
  <si>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</si>
  <si>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</si>
  <si>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</si>
  <si>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</si>
  <si>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</si>
  <si>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</si>
  <si>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</si>
  <si>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</si>
  <si>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</si>
  <si>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</si>
  <si>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</si>
  <si>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</si>
  <si>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</si>
  <si>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</si>
  <si>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</si>
  <si>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</si>
  <si>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</si>
  <si>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</si>
  <si>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</si>
  <si>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</si>
  <si>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</si>
  <si>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</si>
  <si>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</si>
  <si>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</si>
  <si>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</si>
  <si>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</si>
  <si>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</si>
  <si>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</si>
  <si>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</si>
  <si>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</si>
  <si>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</si>
  <si>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</si>
  <si>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</si>
  <si>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</si>
  <si>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</si>
  <si>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</si>
  <si>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</si>
  <si>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</si>
  <si>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</si>
  <si>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</si>
  <si>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</si>
  <si>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</si>
  <si>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</si>
  <si>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</si>
  <si>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</si>
  <si>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</si>
  <si>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</si>
  <si>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</si>
  <si>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</si>
  <si>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</si>
  <si>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</si>
  <si>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</si>
  <si>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</si>
  <si>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</si>
  <si>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</si>
  <si>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</si>
  <si>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</si>
  <si>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</si>
  <si>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</si>
  <si>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</si>
  <si>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</si>
  <si>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</si>
  <si>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</si>
  <si>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</si>
  <si>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</si>
  <si>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</si>
  <si>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</si>
  <si>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</si>
  <si>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</si>
  <si>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</si>
  <si>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</si>
  <si>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</si>
  <si>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</si>
  <si>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</si>
  <si>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</si>
  <si>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</si>
  <si>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</si>
  <si>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</si>
  <si>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</si>
  <si>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</si>
  <si>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</si>
  <si>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</si>
  <si>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</si>
  <si>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</si>
  <si>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</si>
  <si>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</si>
  <si>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</si>
  <si>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</si>
  <si>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</si>
  <si>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</si>
  <si>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</si>
  <si>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</si>
  <si>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</si>
  <si>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</si>
  <si>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</si>
  <si>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</si>
  <si>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</si>
  <si>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</si>
  <si>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</si>
  <si>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</si>
  <si>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</si>
  <si>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</si>
  <si>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</si>
  <si>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</si>
  <si>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</si>
  <si>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</si>
  <si>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</si>
  <si>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</si>
  <si>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</si>
  <si>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</si>
  <si>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</si>
  <si>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</si>
  <si>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</si>
  <si>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</si>
  <si>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</si>
  <si>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</si>
  <si>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</si>
  <si>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</si>
  <si>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</si>
  <si>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</si>
  <si>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</si>
  <si>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</si>
  <si>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</si>
  <si>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</si>
  <si>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</si>
  <si>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</si>
  <si>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</si>
  <si>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</si>
  <si>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</si>
  <si>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</si>
  <si>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</si>
  <si>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</si>
  <si>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</si>
  <si>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</si>
  <si>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</si>
  <si>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</si>
  <si>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</si>
  <si>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</si>
  <si>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</si>
  <si>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</si>
  <si>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</si>
  <si>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</si>
  <si>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</si>
  <si>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</si>
  <si>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</si>
  <si>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</si>
  <si>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</si>
  <si>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</si>
  <si>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</si>
  <si>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</si>
  <si>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</si>
  <si>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</si>
  <si>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</si>
  <si>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</si>
  <si>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</si>
  <si>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</si>
  <si>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</si>
  <si>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</si>
  <si>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</si>
  <si>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</si>
  <si>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</si>
  <si>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</si>
  <si>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</si>
  <si>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</si>
  <si>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</si>
  <si>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</si>
  <si>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</si>
  <si>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</si>
  <si>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</si>
  <si>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</si>
  <si>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</si>
  <si>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</si>
  <si>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</si>
  <si>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</si>
  <si>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</si>
  <si>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</si>
  <si>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</si>
  <si>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</si>
  <si>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</si>
  <si>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</si>
  <si>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</si>
  <si>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</si>
  <si>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</si>
  <si>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</si>
  <si>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</si>
  <si>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</si>
  <si>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</si>
  <si>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</si>
  <si>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</si>
  <si>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</si>
  <si>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</si>
  <si>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</si>
  <si>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</si>
  <si>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</si>
  <si>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</si>
  <si>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</si>
  <si>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</si>
  <si>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</si>
  <si>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</si>
  <si>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</si>
  <si>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</si>
  <si>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</si>
  <si>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</si>
  <si>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</si>
  <si>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</si>
  <si>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</si>
  <si>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</si>
  <si>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</si>
  <si>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</si>
  <si>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</si>
  <si>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</si>
  <si>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</si>
  <si>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</si>
  <si>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</si>
  <si>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</si>
  <si>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</si>
  <si>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</si>
  <si>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</si>
  <si>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</si>
  <si>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</si>
  <si>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</si>
  <si>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</si>
  <si>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</si>
  <si>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</si>
  <si>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</si>
  <si>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</si>
  <si>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</si>
  <si>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</si>
  <si>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</si>
  <si>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</si>
  <si>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</si>
  <si>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</si>
  <si>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</si>
  <si>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</si>
  <si>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</si>
  <si>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</si>
  <si>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</si>
  <si>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</si>
  <si>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</si>
  <si>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</si>
  <si>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</si>
  <si>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</si>
  <si>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</si>
  <si>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</si>
  <si>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</si>
  <si>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</si>
  <si>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</si>
  <si>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</si>
  <si>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</si>
  <si>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</si>
  <si>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</si>
  <si>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</si>
  <si>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</si>
  <si>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</si>
  <si>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</si>
  <si>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</si>
  <si>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</si>
  <si>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</si>
  <si>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</si>
  <si>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</si>
  <si>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</si>
  <si>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</si>
  <si>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</si>
  <si>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</si>
  <si>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</si>
  <si>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</si>
  <si>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</si>
  <si>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</si>
  <si>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</si>
  <si>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</si>
  <si>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</si>
  <si>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</si>
  <si>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</si>
  <si>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</si>
  <si>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</si>
  <si>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</si>
  <si>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</si>
  <si>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</si>
  <si>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</si>
  <si>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</si>
  <si>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</si>
  <si>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</si>
  <si>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</si>
  <si>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</si>
  <si>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</si>
  <si>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</si>
  <si>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</si>
  <si>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</si>
  <si>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</si>
  <si>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</si>
  <si>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</si>
  <si>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</si>
  <si>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</si>
  <si>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</si>
  <si>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</si>
  <si>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</si>
  <si>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</si>
  <si>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</si>
  <si>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</si>
  <si>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</si>
  <si>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</si>
  <si>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</si>
  <si>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</si>
  <si>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</si>
  <si>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</si>
  <si>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</si>
  <si>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</si>
  <si>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</si>
  <si>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</si>
  <si>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</si>
  <si>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</si>
  <si>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</si>
  <si>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</si>
  <si>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</si>
  <si>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</si>
  <si>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</si>
  <si>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</si>
  <si>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</si>
  <si>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</si>
  <si>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</si>
  <si>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</si>
  <si>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</si>
  <si>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</si>
  <si>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</si>
  <si>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</si>
  <si>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</si>
  <si>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</si>
  <si>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</si>
  <si>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</si>
  <si>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</si>
  <si>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</si>
  <si>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</si>
  <si>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</si>
  <si>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</si>
  <si>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</si>
  <si>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</si>
  <si>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</si>
  <si>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</si>
  <si>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</si>
  <si>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</si>
  <si>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</si>
  <si>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</si>
  <si>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</si>
  <si>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</si>
  <si>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</si>
  <si>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</si>
  <si>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</si>
  <si>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</si>
  <si>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</si>
  <si>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</si>
  <si>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</si>
  <si>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</si>
  <si>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</si>
  <si>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</si>
  <si>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</si>
  <si>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</si>
  <si>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</si>
  <si>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</si>
  <si>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</si>
  <si>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</si>
  <si>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</si>
  <si>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</si>
  <si>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</si>
  <si>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</si>
  <si>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</si>
  <si>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</si>
  <si>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</si>
  <si>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</si>
  <si>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</si>
  <si>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</si>
  <si>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</si>
  <si>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</si>
  <si>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</si>
  <si>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</si>
  <si>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</si>
  <si>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</si>
  <si>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</si>
  <si>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</si>
  <si>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</si>
  <si>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</si>
  <si>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</si>
  <si>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</si>
  <si>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</si>
  <si>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</si>
  <si>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</si>
  <si>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</si>
  <si>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</si>
  <si>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</si>
  <si>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</si>
  <si>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</si>
  <si>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</si>
  <si>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</si>
  <si>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</si>
  <si>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</si>
  <si>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</si>
  <si>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</si>
  <si>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</si>
  <si>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</si>
  <si>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</si>
  <si>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</si>
  <si>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</si>
  <si>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</si>
  <si>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</si>
  <si>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</si>
  <si>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</si>
  <si>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</si>
  <si>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</si>
  <si>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</si>
  <si>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</si>
  <si>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</si>
  <si>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</si>
  <si>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</si>
  <si>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</si>
  <si>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</si>
  <si>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</si>
  <si>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</si>
  <si>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</si>
  <si>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</si>
  <si>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</si>
  <si>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</si>
  <si>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</si>
  <si>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</si>
  <si>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</si>
  <si>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</si>
  <si>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</si>
  <si>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</si>
  <si>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</si>
  <si>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</si>
  <si>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</si>
  <si>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</si>
  <si>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</si>
  <si>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</si>
  <si>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</si>
  <si>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</si>
  <si>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</si>
  <si>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</si>
  <si>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</si>
  <si>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</si>
  <si>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</si>
  <si>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</si>
  <si>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</si>
  <si>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</si>
  <si>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</si>
  <si>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</si>
  <si>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</si>
  <si>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</si>
  <si>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</si>
  <si>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</si>
  <si>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</si>
  <si>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</si>
  <si>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</si>
  <si>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</si>
  <si>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</si>
  <si>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</si>
  <si>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</si>
  <si>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</si>
  <si>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</si>
  <si>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</si>
  <si>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</si>
  <si>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</si>
  <si>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</si>
  <si>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</si>
  <si>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</si>
  <si>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</si>
  <si>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</si>
  <si>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</si>
  <si>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</si>
  <si>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</si>
  <si>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</si>
  <si>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</si>
  <si>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</si>
  <si>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</si>
  <si>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</si>
  <si>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</si>
  <si>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</si>
  <si>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</si>
  <si>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</si>
  <si>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</si>
  <si>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</si>
  <si>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</si>
  <si>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</si>
  <si>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</si>
  <si>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</si>
  <si>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</si>
  <si>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</si>
  <si>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</si>
  <si>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</si>
  <si>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</si>
  <si>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</si>
  <si>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</si>
  <si>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</si>
  <si>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</si>
  <si>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</si>
  <si>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</si>
  <si>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</si>
  <si>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</si>
  <si>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</si>
  <si>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</si>
  <si>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</si>
  <si>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</si>
  <si>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</si>
  <si>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</si>
  <si>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</si>
  <si>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</si>
  <si>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</si>
  <si>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</si>
  <si>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</si>
  <si>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</si>
  <si>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</si>
  <si>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</si>
  <si>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</si>
  <si>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</si>
  <si>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</si>
  <si>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</si>
  <si>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</si>
  <si>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</si>
  <si>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</si>
  <si>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</si>
  <si>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</si>
  <si>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</si>
  <si>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</si>
  <si>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</si>
  <si>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</si>
  <si>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</si>
  <si>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</si>
  <si>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</si>
  <si>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</si>
  <si>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</si>
  <si>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</si>
  <si>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</si>
  <si>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</si>
  <si>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</si>
  <si>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</si>
  <si>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</si>
  <si>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</si>
  <si>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</si>
  <si>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</si>
  <si>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</si>
  <si>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</si>
  <si>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</si>
  <si>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</si>
  <si>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</si>
  <si>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</si>
  <si>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</si>
  <si>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</si>
  <si>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</si>
  <si>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</si>
  <si>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</si>
  <si>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</si>
  <si>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</si>
  <si>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</si>
  <si>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</si>
  <si>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</si>
  <si>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</si>
  <si>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</si>
  <si>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</si>
  <si>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</si>
  <si>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</si>
  <si>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</si>
  <si>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</si>
  <si>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</si>
  <si>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</si>
  <si>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</si>
  <si>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</si>
  <si>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</si>
  <si>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</si>
  <si>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</si>
  <si>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</si>
  <si>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</si>
  <si>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</si>
  <si>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</si>
  <si>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</si>
  <si>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</si>
  <si>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</si>
  <si>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</si>
  <si>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</si>
  <si>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</si>
  <si>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</si>
  <si>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</si>
  <si>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</si>
  <si>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</si>
  <si>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</si>
  <si>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</si>
  <si>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</si>
  <si>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</si>
  <si>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</si>
  <si>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</si>
  <si>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</si>
  <si>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</si>
  <si>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</si>
  <si>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</si>
  <si>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</si>
  <si>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</si>
  <si>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</si>
  <si>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</si>
  <si>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</si>
  <si>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</si>
  <si>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</si>
  <si>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</si>
  <si>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</si>
  <si>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</si>
  <si>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</si>
  <si>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</si>
  <si>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</si>
  <si>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</si>
  <si>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</si>
  <si>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</si>
  <si>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</si>
  <si>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</si>
  <si>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</si>
  <si>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</si>
  <si>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</si>
  <si>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</si>
  <si>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</si>
  <si>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</si>
  <si>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</si>
  <si>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</si>
  <si>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</si>
  <si>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</si>
  <si>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</si>
  <si>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</si>
  <si>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</si>
  <si>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</si>
  <si>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</si>
  <si>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</si>
  <si>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</si>
  <si>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</si>
  <si>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</si>
  <si>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</si>
  <si>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</si>
  <si>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</si>
  <si>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</si>
  <si>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</si>
  <si>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</si>
  <si>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</si>
  <si>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</si>
  <si>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</si>
  <si>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</si>
  <si>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</si>
  <si>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</si>
  <si>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</si>
  <si>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</si>
  <si>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</si>
  <si>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</si>
  <si>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</si>
  <si>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</si>
  <si>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</si>
  <si>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</si>
  <si>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</si>
  <si>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</si>
  <si>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</si>
  <si>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</si>
  <si>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</si>
  <si>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</si>
  <si>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</si>
  <si>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</si>
  <si>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</si>
  <si>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</si>
  <si>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</si>
  <si>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</si>
  <si>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</si>
  <si>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</si>
  <si>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</si>
  <si>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</si>
  <si>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</si>
  <si>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</si>
  <si>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</si>
  <si>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</si>
  <si>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</si>
  <si>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</si>
  <si>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</si>
  <si>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</si>
  <si>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</si>
  <si>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</si>
  <si>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</si>
  <si>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</si>
  <si>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</si>
  <si>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</si>
  <si>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</si>
  <si>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</si>
  <si>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</si>
  <si>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</si>
  <si>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</si>
  <si>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</si>
  <si>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</si>
  <si>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</si>
  <si>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</si>
  <si>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</si>
  <si>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</si>
  <si>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</si>
  <si>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</si>
  <si>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</si>
  <si>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</si>
  <si>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</si>
  <si>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</si>
  <si>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</si>
  <si>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</si>
  <si>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</si>
  <si>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</si>
  <si>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</si>
  <si>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</si>
  <si>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</si>
  <si>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</si>
  <si>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</si>
  <si>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</si>
  <si>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</si>
  <si>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</si>
  <si>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</si>
  <si>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</si>
  <si>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</si>
  <si>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</si>
  <si>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</si>
  <si>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</si>
  <si>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</si>
  <si>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</si>
  <si>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</si>
  <si>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</si>
  <si>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</si>
  <si>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</si>
  <si>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</si>
  <si>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</si>
  <si>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</si>
  <si>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</si>
  <si>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</si>
  <si>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</si>
  <si>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</si>
  <si>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</si>
  <si>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</si>
  <si>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</si>
  <si>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</si>
  <si>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</si>
  <si>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</si>
  <si>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</si>
  <si>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</si>
  <si>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</si>
  <si>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</si>
  <si>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</si>
  <si>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</si>
  <si>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</si>
  <si>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</si>
  <si>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</si>
  <si>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</si>
  <si>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</si>
  <si>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</si>
  <si>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</si>
  <si>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</si>
  <si>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</si>
  <si>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</si>
  <si>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</si>
  <si>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</si>
  <si>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</si>
  <si>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</si>
  <si>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</si>
  <si>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</si>
  <si>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</si>
  <si>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</si>
  <si>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</si>
  <si>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</si>
  <si>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</si>
  <si>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</si>
  <si>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</si>
  <si>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</si>
  <si>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</si>
  <si>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</si>
  <si>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</si>
  <si>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</si>
  <si>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</si>
  <si>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</si>
  <si>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</si>
  <si>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</si>
  <si>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</si>
  <si>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</si>
  <si>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</si>
  <si>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</si>
  <si>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</si>
  <si>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</si>
  <si>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</si>
  <si>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</si>
  <si>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</si>
  <si>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</si>
  <si>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</si>
  <si>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</si>
  <si>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</si>
  <si>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</si>
  <si>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</si>
  <si>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</si>
  <si>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</si>
  <si>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</si>
  <si>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</si>
  <si>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</si>
  <si>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</si>
  <si>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</si>
  <si>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</si>
  <si>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</si>
  <si>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</si>
  <si>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</si>
  <si>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</si>
  <si>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</si>
  <si>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</si>
  <si>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</si>
  <si>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</si>
  <si>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</si>
  <si>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</si>
  <si>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</si>
  <si>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</si>
  <si>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</si>
  <si>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</si>
  <si>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</si>
  <si>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</si>
  <si>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</si>
  <si>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</si>
  <si>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</si>
  <si>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</si>
  <si>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</si>
  <si>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</si>
  <si>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</si>
  <si>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</si>
  <si>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</si>
  <si>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</si>
  <si>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</si>
  <si>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</si>
  <si>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</si>
  <si>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</si>
  <si>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</si>
  <si>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</si>
  <si>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</si>
  <si>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</si>
  <si>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</si>
  <si>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</si>
  <si>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</si>
  <si>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</si>
  <si>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</si>
  <si>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</si>
  <si>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</si>
  <si>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</si>
  <si>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</si>
  <si>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</si>
  <si>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</si>
  <si>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</si>
  <si>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</si>
  <si>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</si>
  <si>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</si>
  <si>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</si>
  <si>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</si>
  <si>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</si>
  <si>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</si>
  <si>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</si>
  <si>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</si>
  <si>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</si>
  <si>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</si>
  <si>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</si>
  <si>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</si>
  <si>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</si>
  <si>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</si>
  <si>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</si>
  <si>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</si>
  <si>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</si>
  <si>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</si>
  <si>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</si>
  <si>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</si>
  <si>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</si>
  <si>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</si>
  <si>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</si>
  <si>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</si>
  <si>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</si>
  <si>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</si>
  <si>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</si>
  <si>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</si>
  <si>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</si>
  <si>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</si>
  <si>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</si>
  <si>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</si>
  <si>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</si>
  <si>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</si>
  <si>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</si>
  <si>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</si>
  <si>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</si>
  <si>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</si>
  <si>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</si>
  <si>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</si>
  <si>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</si>
  <si>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</si>
  <si>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</si>
  <si>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</si>
  <si>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</si>
  <si>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</si>
  <si>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</si>
  <si>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</si>
  <si>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</si>
  <si>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</si>
  <si>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</si>
  <si>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</si>
  <si>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</si>
  <si>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</si>
  <si>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</si>
  <si>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</si>
  <si>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</si>
  <si>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</si>
  <si>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</si>
  <si>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</si>
  <si>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</si>
  <si>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</si>
  <si>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</si>
  <si>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</si>
  <si>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</si>
  <si>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</si>
  <si>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</si>
  <si>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</si>
  <si>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</si>
  <si>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</si>
  <si>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</si>
  <si>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</si>
  <si>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</si>
  <si>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</si>
  <si>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</si>
  <si>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</si>
  <si>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</si>
  <si>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</si>
  <si>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</si>
  <si>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</si>
  <si>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</si>
  <si>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</si>
  <si>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</si>
  <si>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</si>
  <si>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</si>
  <si>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</si>
  <si>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</si>
  <si>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</si>
  <si>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</si>
  <si>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</si>
  <si>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</si>
  <si>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</si>
  <si>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</si>
  <si>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</si>
  <si>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</si>
  <si>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</si>
  <si>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</si>
  <si>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</si>
  <si>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</si>
  <si>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</si>
  <si>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</si>
  <si>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</si>
  <si>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</si>
  <si>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</si>
  <si>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</si>
  <si>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</si>
  <si>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</si>
  <si>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</si>
  <si>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</si>
  <si>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</si>
  <si>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</si>
  <si>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</si>
  <si>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</si>
  <si>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</si>
  <si>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</si>
  <si>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</si>
  <si>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</si>
  <si>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</si>
  <si>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</si>
  <si>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</si>
  <si>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</si>
  <si>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</si>
  <si>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</si>
  <si>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</si>
  <si>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</si>
  <si>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</si>
  <si>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</si>
  <si>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</si>
  <si>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</si>
  <si>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</si>
  <si>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</si>
  <si>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</si>
  <si>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</si>
  <si>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</si>
  <si>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</si>
  <si>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</si>
  <si>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</si>
  <si>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</si>
  <si>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</si>
  <si>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</si>
  <si>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</si>
  <si>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</si>
  <si>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</si>
  <si>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</si>
  <si>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</si>
  <si>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</si>
  <si>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</si>
  <si>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</si>
  <si>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</si>
  <si>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</si>
  <si>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</si>
  <si>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</si>
  <si>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</si>
  <si>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</si>
  <si>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</si>
  <si>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</si>
  <si>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</si>
  <si>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</si>
  <si>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</si>
  <si>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</si>
  <si>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</si>
  <si>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</si>
  <si>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</si>
  <si>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</si>
  <si>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</si>
  <si>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</si>
  <si>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</si>
  <si>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</si>
  <si>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</si>
  <si>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</si>
  <si>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</si>
  <si>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</si>
  <si>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</si>
  <si>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</si>
  <si>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</si>
  <si>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</si>
  <si>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</si>
  <si>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</si>
  <si>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</si>
  <si>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</si>
  <si>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</si>
  <si>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</si>
  <si>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</si>
  <si>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</si>
  <si>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</si>
  <si>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</si>
  <si>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</si>
  <si>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</si>
  <si>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</si>
  <si>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</si>
  <si>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</si>
  <si>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</si>
  <si>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</si>
  <si>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</si>
  <si>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</si>
  <si>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</si>
  <si>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</si>
  <si>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</si>
  <si>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</si>
  <si>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</si>
  <si>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</si>
  <si>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</si>
  <si>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</si>
  <si>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</si>
  <si>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</si>
  <si>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</si>
  <si>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</si>
  <si>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</si>
  <si>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</si>
  <si>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</si>
  <si>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</si>
  <si>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</si>
  <si>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</si>
  <si>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</si>
  <si>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</si>
  <si>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</si>
  <si>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</si>
  <si>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</si>
  <si>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</si>
  <si>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</si>
  <si>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</si>
  <si>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</si>
  <si>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</si>
  <si>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</si>
  <si>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</si>
  <si>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</si>
  <si>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</si>
  <si>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</si>
  <si>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</si>
  <si>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</si>
  <si>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</si>
  <si>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</si>
  <si>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</si>
  <si>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</si>
  <si>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</si>
  <si>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</si>
  <si>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</si>
  <si>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</si>
  <si>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</si>
  <si>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</si>
  <si>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</si>
  <si>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</si>
  <si>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</si>
  <si>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</si>
  <si>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</si>
  <si>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</si>
  <si>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</si>
  <si>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</si>
  <si>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</si>
  <si>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</si>
  <si>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</si>
  <si>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</si>
  <si>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</si>
  <si>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</si>
  <si>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</si>
  <si>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</si>
  <si>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</si>
  <si>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</si>
  <si>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</si>
  <si>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</si>
  <si>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</si>
  <si>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</si>
  <si>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</si>
  <si>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</si>
  <si>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</si>
  <si>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</si>
  <si>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</si>
  <si>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</si>
  <si>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</si>
  <si>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</si>
  <si>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</si>
  <si>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</si>
  <si>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</si>
  <si>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</si>
  <si>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</si>
  <si>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</si>
  <si>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</si>
  <si>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</si>
  <si>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</si>
  <si>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</si>
  <si>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</si>
  <si>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</si>
  <si>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</si>
  <si>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</si>
  <si>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</si>
  <si>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</si>
  <si>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</si>
  <si>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</si>
  <si>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</si>
  <si>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</si>
  <si>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</si>
  <si>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</si>
  <si>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</si>
  <si>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</si>
  <si>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</si>
  <si>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</si>
  <si>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</si>
  <si>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</si>
  <si>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</si>
  <si>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</si>
  <si>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</si>
  <si>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</si>
  <si>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</si>
  <si>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</si>
  <si>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</si>
  <si>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</si>
  <si>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</si>
  <si>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</si>
  <si>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</si>
  <si>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</si>
  <si>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</si>
  <si>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</si>
  <si>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</si>
  <si>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</si>
  <si>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</si>
  <si>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</si>
  <si>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</si>
  <si>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</si>
  <si>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</si>
  <si>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</si>
  <si>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</si>
  <si>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</si>
  <si>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</si>
  <si>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</si>
  <si>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</si>
  <si>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</si>
  <si>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</si>
  <si>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</si>
  <si>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</si>
  <si>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</si>
  <si>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</si>
  <si>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</si>
  <si>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</si>
  <si>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</si>
  <si>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</si>
  <si>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</si>
  <si>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</si>
  <si>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</si>
  <si>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</si>
  <si>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</si>
  <si>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</si>
  <si>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</si>
  <si>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</si>
  <si>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</si>
  <si>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</si>
  <si>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</si>
  <si>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</si>
  <si>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</si>
  <si>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</si>
  <si>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</si>
  <si>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</si>
  <si>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</si>
  <si>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</si>
  <si>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</si>
  <si>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</si>
  <si>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</si>
  <si>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</si>
  <si>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</si>
  <si>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</si>
  <si>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</si>
  <si>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</si>
  <si>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</si>
  <si>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</si>
  <si>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</si>
  <si>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</si>
  <si>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</si>
  <si>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</si>
  <si>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</si>
  <si>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</si>
  <si>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</si>
  <si>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</si>
  <si>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</si>
  <si>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</si>
  <si>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</si>
  <si>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</si>
  <si>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</si>
  <si>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</si>
  <si>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</si>
  <si>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</si>
  <si>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</si>
  <si>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</si>
  <si>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</si>
  <si>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</si>
  <si>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</si>
  <si>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</si>
  <si>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</si>
  <si>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</si>
  <si>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</si>
  <si>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</si>
  <si>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</si>
  <si>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</si>
  <si>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</si>
  <si>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</si>
  <si>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</si>
  <si>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</si>
  <si>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</si>
  <si>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</si>
  <si>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</si>
  <si>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</si>
  <si>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</si>
  <si>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</si>
  <si>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</si>
  <si>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</si>
  <si>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</si>
  <si>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</si>
  <si>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</si>
  <si>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</si>
  <si>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</si>
  <si>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</si>
  <si>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</si>
  <si>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</si>
  <si>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</si>
  <si>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</si>
  <si>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</si>
  <si>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</si>
  <si>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</si>
  <si>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</si>
  <si>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</si>
  <si>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</si>
  <si>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</si>
  <si>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</si>
  <si>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</si>
  <si>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</si>
  <si>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</si>
  <si>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</si>
  <si>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</si>
  <si>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</si>
  <si>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</si>
  <si>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</si>
  <si>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</si>
  <si>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</si>
  <si>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</si>
  <si>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</si>
  <si>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</si>
  <si>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</si>
  <si>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</si>
  <si>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</si>
  <si>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</si>
  <si>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</si>
  <si>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</si>
  <si>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</si>
  <si>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</si>
  <si>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</si>
  <si>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</si>
  <si>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</si>
  <si>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</si>
  <si>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</si>
  <si>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</si>
  <si>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</si>
  <si>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</si>
  <si>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</si>
  <si>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</si>
  <si>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</si>
  <si>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</si>
  <si>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</si>
  <si>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</si>
  <si>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</si>
  <si>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</si>
  <si>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</si>
  <si>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</si>
  <si>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</si>
  <si>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</si>
  <si>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</si>
  <si>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</si>
  <si>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</si>
  <si>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</si>
  <si>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</si>
  <si>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</si>
  <si>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</si>
  <si>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</si>
  <si>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</si>
  <si>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</si>
  <si>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</si>
  <si>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</si>
  <si>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</si>
  <si>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</si>
  <si>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</si>
  <si>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</si>
  <si>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</si>
  <si>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</si>
  <si>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</si>
  <si>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</si>
  <si>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</si>
  <si>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</si>
  <si>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</si>
  <si>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</si>
  <si>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</si>
  <si>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</si>
  <si>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</si>
  <si>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</si>
  <si>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</si>
  <si>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</si>
  <si>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</si>
  <si>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</si>
  <si>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</si>
  <si>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</si>
  <si>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</si>
  <si>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</si>
  <si>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</si>
  <si>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</si>
  <si>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</si>
  <si>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</si>
  <si>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</si>
  <si>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</si>
  <si>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</si>
  <si>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</si>
  <si>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</si>
  <si>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</si>
  <si>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</si>
  <si>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</si>
  <si>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</si>
  <si>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</si>
  <si>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</si>
  <si>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</si>
  <si>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</si>
  <si>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</si>
  <si>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</si>
  <si>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</si>
  <si>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</si>
  <si>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</si>
  <si>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</si>
  <si>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</si>
  <si>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</si>
  <si>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</si>
  <si>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</si>
  <si>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</si>
  <si>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</si>
  <si>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</si>
  <si>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</si>
  <si>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</si>
  <si>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</si>
  <si>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</si>
  <si>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</si>
  <si>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</si>
  <si>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</si>
  <si>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</si>
  <si>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</si>
  <si>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</si>
  <si>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</si>
  <si>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</si>
  <si>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</si>
  <si>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</si>
  <si>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</si>
  <si>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</si>
  <si>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</si>
  <si>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</si>
  <si>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</si>
  <si>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</si>
  <si>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</si>
  <si>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</si>
  <si>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</si>
  <si>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</si>
  <si>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</si>
  <si>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</si>
  <si>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</si>
  <si>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</si>
  <si>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</si>
  <si>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</si>
  <si>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</si>
  <si>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</si>
  <si>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</si>
  <si>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</si>
  <si>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</si>
  <si>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</si>
  <si>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</si>
  <si>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</si>
  <si>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</si>
  <si>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</si>
  <si>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</si>
  <si>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</si>
  <si>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</si>
  <si>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</si>
  <si>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</si>
  <si>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</si>
  <si>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</si>
  <si>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</si>
  <si>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</si>
  <si>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</si>
  <si>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</si>
  <si>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</si>
  <si>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</si>
  <si>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</si>
  <si>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</si>
  <si>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</si>
  <si>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</si>
  <si>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</si>
  <si>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</si>
  <si>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</si>
  <si>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</si>
  <si>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</si>
  <si>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</si>
  <si>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</si>
  <si>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</si>
  <si>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</si>
  <si>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</si>
  <si>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</si>
  <si>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</si>
  <si>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</si>
  <si>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</si>
  <si>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</si>
  <si>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</si>
  <si>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</si>
  <si>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</si>
  <si>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</si>
  <si>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</si>
  <si>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</si>
  <si>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</si>
  <si>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</si>
  <si>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</si>
  <si>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</si>
  <si>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</si>
  <si>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</si>
  <si>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</si>
  <si>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</si>
  <si>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</si>
  <si>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</si>
  <si>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</si>
  <si>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</si>
  <si>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</si>
  <si>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</si>
  <si>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</si>
  <si>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</si>
  <si>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</si>
  <si>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</si>
  <si>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</si>
  <si>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</si>
  <si>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</si>
  <si>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</si>
  <si>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</si>
  <si>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</si>
  <si>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</si>
  <si>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</si>
  <si>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</si>
  <si>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</si>
  <si>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</si>
  <si>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</si>
  <si>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</si>
  <si>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</si>
  <si>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</si>
  <si>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</si>
  <si>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</si>
  <si>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</si>
  <si>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</si>
  <si>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</si>
  <si>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</si>
  <si>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</si>
  <si>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</si>
  <si>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</si>
  <si>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</si>
  <si>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</si>
  <si>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</si>
  <si>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</si>
  <si>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</si>
  <si>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</si>
  <si>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</si>
  <si>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</si>
  <si>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</si>
  <si>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</si>
  <si>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</si>
  <si>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</si>
  <si>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</si>
  <si>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</si>
  <si>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</si>
  <si>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</si>
  <si>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</si>
  <si>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</si>
  <si>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</si>
  <si>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</si>
  <si>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</si>
  <si>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</si>
  <si>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</si>
  <si>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</si>
  <si>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</si>
  <si>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</si>
  <si>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</si>
  <si>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</si>
  <si>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</si>
  <si>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</si>
  <si>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</si>
  <si>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</si>
  <si>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</si>
  <si>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</si>
  <si>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</si>
  <si>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</si>
  <si>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</si>
  <si>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</si>
  <si>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</si>
  <si>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</si>
  <si>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</si>
  <si>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</si>
  <si>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</si>
  <si>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</si>
  <si>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</si>
  <si>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</si>
  <si>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</si>
  <si>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</si>
  <si>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</si>
  <si>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</si>
  <si>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</si>
  <si>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</si>
  <si>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</si>
  <si>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</si>
  <si>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</si>
  <si>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</si>
  <si>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</si>
  <si>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</si>
  <si>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</si>
  <si>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</si>
  <si>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</si>
  <si>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</si>
  <si>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</si>
  <si>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</si>
  <si>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</si>
  <si>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</si>
  <si>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</si>
  <si>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</si>
  <si>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</si>
  <si>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</si>
  <si>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</si>
  <si>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</si>
  <si>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</si>
  <si>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</si>
  <si>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</si>
  <si>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</si>
  <si>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</si>
  <si>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</si>
  <si>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</si>
  <si>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</si>
  <si>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</si>
  <si>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</si>
  <si>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</si>
  <si>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</si>
  <si>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</si>
  <si>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</si>
  <si>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</si>
  <si>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</si>
  <si>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</si>
  <si>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</si>
  <si>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</si>
  <si>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</si>
  <si>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</si>
  <si>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</si>
  <si>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</si>
  <si>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</si>
  <si>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</si>
  <si>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</si>
  <si>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</si>
  <si>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</si>
  <si>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</si>
  <si>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</si>
  <si>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</si>
  <si>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</si>
  <si>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</si>
  <si>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</si>
  <si>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</si>
  <si>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</si>
  <si>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</si>
  <si>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</si>
  <si>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</si>
  <si>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</si>
  <si>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</si>
  <si>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</si>
  <si>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</si>
  <si>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</si>
  <si>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</si>
  <si>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</si>
  <si>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</si>
  <si>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</si>
  <si>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</si>
  <si>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</si>
  <si>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</si>
  <si>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</si>
  <si>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</si>
  <si>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</si>
  <si>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</si>
  <si>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</si>
  <si>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</si>
  <si>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</si>
  <si>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</si>
  <si>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</si>
  <si>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</si>
  <si>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</si>
  <si>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</si>
  <si>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</si>
  <si>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</si>
  <si>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</si>
  <si>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</si>
  <si>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</si>
  <si>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</si>
  <si>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</si>
  <si>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</si>
  <si>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</si>
  <si>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</si>
  <si>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</si>
  <si>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</si>
  <si>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</si>
  <si>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</si>
  <si>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</si>
  <si>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</si>
  <si>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</si>
  <si>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</si>
  <si>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</si>
  <si>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</si>
  <si>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</si>
  <si>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</si>
  <si>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</si>
  <si>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</si>
  <si>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</si>
  <si>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</si>
  <si>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</si>
  <si>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</si>
  <si>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</si>
  <si>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</si>
  <si>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</si>
  <si>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</si>
  <si>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</si>
  <si>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</si>
  <si>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</si>
  <si>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</si>
  <si>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</si>
  <si>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</si>
  <si>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</si>
  <si>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</si>
  <si>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</si>
  <si>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</si>
  <si>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</si>
  <si>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</si>
  <si>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</si>
  <si>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</si>
  <si>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</si>
  <si>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</si>
  <si>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</si>
  <si>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</si>
  <si>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</si>
  <si>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</si>
  <si>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</si>
  <si>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</si>
  <si>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</si>
  <si>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</si>
  <si>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</si>
  <si>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</si>
  <si>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</si>
  <si>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</si>
  <si>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</si>
  <si>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</si>
  <si>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</si>
  <si>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</si>
  <si>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</si>
  <si>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</si>
  <si>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</si>
  <si>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</si>
  <si>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</si>
  <si>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</si>
  <si>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</si>
  <si>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</si>
  <si>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</si>
  <si>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</si>
  <si>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</si>
  <si>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</si>
  <si>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</si>
  <si>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</si>
  <si>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</si>
  <si>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</si>
  <si>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</si>
  <si>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</si>
  <si>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</si>
  <si>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</si>
  <si>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</si>
  <si>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</si>
  <si>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</si>
  <si>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</si>
  <si>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</si>
  <si>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</si>
  <si>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</si>
  <si>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</si>
  <si>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</si>
  <si>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</si>
  <si>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</si>
  <si>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</si>
  <si>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</si>
  <si>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</si>
  <si>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</si>
  <si>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</si>
  <si>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</si>
  <si>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</si>
  <si>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</si>
  <si>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</si>
  <si>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</si>
  <si>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</si>
  <si>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</si>
  <si>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</si>
  <si>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</si>
  <si>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</si>
  <si>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</si>
  <si>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</si>
  <si>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</si>
  <si>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</si>
  <si>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</si>
  <si>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</si>
  <si>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</si>
  <si>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</si>
  <si>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</si>
  <si>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</si>
  <si>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</si>
  <si>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</si>
  <si>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</si>
  <si>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</si>
  <si>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</si>
  <si>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</si>
  <si>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</si>
  <si>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</si>
  <si>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</si>
  <si>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</si>
  <si>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</si>
  <si>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</si>
  <si>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</si>
  <si>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</si>
  <si>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</si>
  <si>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</si>
  <si>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</si>
  <si>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</si>
  <si>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</si>
  <si>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</si>
  <si>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</si>
  <si>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</si>
  <si>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</si>
  <si>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</si>
  <si>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</si>
  <si>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</si>
  <si>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</si>
  <si>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</si>
  <si>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</si>
  <si>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</si>
  <si>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</si>
  <si>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</si>
  <si>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</si>
  <si>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</si>
  <si>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</si>
  <si>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</si>
  <si>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</si>
  <si>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</si>
  <si>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</si>
  <si>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</si>
  <si>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</si>
  <si>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</si>
  <si>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</si>
  <si>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</si>
  <si>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</si>
  <si>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</si>
  <si>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</si>
  <si>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</si>
  <si>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</si>
  <si>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</si>
  <si>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</si>
  <si>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</si>
  <si>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</si>
  <si>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</si>
  <si>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</si>
  <si>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</si>
  <si>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</si>
  <si>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</si>
  <si>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</si>
  <si>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</si>
  <si>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</si>
  <si>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</si>
  <si>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</si>
  <si>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</si>
  <si>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</si>
  <si>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</si>
  <si>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</si>
  <si>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</si>
  <si>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</si>
  <si>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</si>
  <si>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</si>
  <si>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</si>
  <si>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</si>
  <si>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</si>
  <si>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</si>
  <si>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</si>
  <si>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</si>
  <si>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</si>
  <si>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</si>
  <si>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</si>
  <si>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</si>
  <si>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</si>
  <si>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</si>
  <si>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</si>
  <si>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</si>
  <si>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</si>
  <si>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</si>
  <si>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</si>
  <si>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</si>
  <si>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</si>
  <si>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</si>
  <si>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</si>
  <si>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</si>
  <si>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</si>
  <si>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</si>
  <si>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</si>
  <si>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</si>
  <si>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</si>
  <si>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</si>
  <si>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</si>
  <si>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</si>
  <si>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</si>
  <si>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</si>
  <si>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</si>
  <si>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</si>
  <si>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</si>
  <si>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</si>
  <si>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</si>
  <si>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</si>
  <si>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</si>
  <si>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</si>
  <si>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</si>
  <si>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</si>
  <si>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</si>
  <si>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</si>
  <si>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</si>
  <si>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</si>
  <si>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</si>
  <si>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</si>
  <si>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</si>
  <si>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</si>
  <si>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</si>
  <si>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</si>
  <si>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</si>
  <si>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</si>
  <si>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</si>
  <si>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</si>
  <si>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</si>
  <si>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</si>
  <si>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</si>
  <si>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</si>
  <si>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</si>
  <si>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</si>
  <si>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</si>
  <si>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</si>
  <si>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</si>
  <si>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</si>
  <si>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</si>
  <si>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</si>
  <si>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</si>
  <si>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</si>
  <si>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</si>
  <si>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</si>
  <si>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</si>
  <si>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</si>
  <si>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</si>
  <si>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</si>
  <si>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</si>
  <si>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</si>
  <si>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</si>
  <si>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</si>
  <si>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</si>
  <si>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</si>
  <si>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</si>
  <si>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</si>
  <si>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</si>
  <si>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</si>
  <si>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</si>
  <si>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</si>
  <si>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</si>
  <si>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</si>
  <si>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</si>
  <si>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</si>
  <si>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</si>
  <si>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</si>
  <si>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</si>
  <si>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</si>
  <si>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</si>
  <si>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</si>
  <si>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</si>
  <si>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</si>
  <si>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</si>
  <si>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</si>
  <si>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</si>
  <si>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</si>
  <si>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</si>
  <si>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</si>
  <si>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</si>
  <si>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</si>
  <si>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</si>
  <si>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</si>
  <si>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</si>
  <si>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</si>
  <si>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</si>
  <si>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</si>
  <si>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</si>
  <si>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</si>
  <si>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</si>
  <si>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</si>
  <si>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</si>
  <si>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</si>
  <si>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</si>
  <si>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</si>
  <si>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</si>
  <si>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</si>
  <si>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</si>
  <si>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</si>
  <si>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</si>
  <si>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</si>
  <si>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</si>
  <si>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</si>
  <si>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</si>
  <si>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</si>
  <si>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</si>
  <si>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</si>
  <si>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</si>
  <si>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</si>
  <si>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</si>
  <si>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</si>
  <si>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</si>
  <si>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</si>
  <si>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</si>
  <si>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</si>
  <si>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</si>
  <si>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</si>
  <si>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</si>
  <si>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</si>
  <si>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</si>
  <si>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</si>
  <si>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</si>
  <si>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</si>
  <si>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</si>
  <si>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</si>
  <si>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</si>
  <si>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</si>
  <si>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</si>
  <si>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</si>
  <si>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</si>
  <si>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</si>
  <si>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</si>
  <si>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</si>
  <si>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</si>
  <si>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</si>
  <si>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</si>
  <si>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</si>
  <si>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</si>
  <si>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</si>
  <si>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</si>
  <si>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</si>
  <si>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</si>
  <si>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</si>
  <si>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</si>
  <si>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</si>
  <si>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</si>
  <si>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</si>
  <si>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</si>
  <si>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</si>
  <si>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</si>
  <si>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</si>
  <si>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</si>
  <si>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</si>
  <si>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</si>
  <si>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</si>
  <si>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</si>
  <si>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</si>
  <si>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</si>
  <si>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</si>
  <si>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</si>
  <si>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</si>
  <si>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</si>
  <si>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</si>
  <si>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</si>
  <si>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</si>
  <si>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</si>
  <si>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</si>
  <si>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</si>
  <si>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</si>
  <si>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</si>
  <si>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</si>
  <si>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</si>
  <si>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</si>
  <si>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</si>
  <si>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</si>
  <si>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</si>
  <si>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</si>
  <si>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</si>
  <si>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</si>
  <si>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</si>
  <si>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</si>
  <si>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</si>
  <si>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</si>
  <si>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</si>
  <si>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</si>
  <si>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</si>
  <si>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</si>
  <si>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</si>
  <si>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</si>
  <si>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</si>
  <si>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</si>
  <si>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</si>
  <si>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</si>
  <si>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</si>
  <si>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</si>
  <si>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</si>
  <si>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</si>
  <si>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</si>
  <si>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</si>
  <si>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</si>
  <si>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</si>
  <si>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</si>
  <si>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</si>
  <si>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</si>
  <si>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</si>
  <si>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</si>
  <si>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</si>
  <si>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</si>
  <si>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</si>
  <si>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</si>
  <si>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</si>
  <si>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</si>
  <si>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</si>
  <si>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</si>
  <si>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</si>
  <si>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</si>
  <si>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</si>
  <si>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</si>
  <si>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</si>
  <si>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</si>
  <si>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</si>
  <si>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</si>
  <si>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</si>
  <si>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</si>
  <si>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</si>
  <si>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</si>
  <si>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</si>
  <si>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</si>
  <si>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</si>
  <si>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</si>
  <si>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</si>
  <si>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</si>
  <si>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</si>
  <si>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</si>
  <si>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</si>
  <si>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</si>
  <si>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</si>
  <si>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</si>
  <si>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</si>
  <si>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</si>
  <si>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</si>
  <si>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</si>
  <si>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</si>
  <si>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</si>
  <si>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</si>
  <si>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</si>
  <si>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</si>
  <si>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</si>
  <si>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</si>
  <si>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</si>
  <si>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</si>
  <si>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</si>
  <si>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</si>
  <si>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</si>
  <si>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</si>
  <si>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</si>
  <si>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</si>
  <si>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</si>
  <si>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</si>
  <si>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</si>
  <si>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</si>
  <si>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</si>
  <si>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</si>
  <si>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</si>
  <si>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</si>
  <si>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</si>
  <si>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</si>
  <si>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</si>
  <si>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</si>
  <si>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</si>
  <si>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</si>
  <si>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</si>
  <si>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</si>
  <si>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</si>
  <si>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</si>
  <si>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</si>
  <si>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</si>
  <si>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</si>
  <si>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</si>
  <si>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</si>
  <si>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</si>
  <si>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</si>
  <si>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</si>
  <si>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</si>
  <si>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</si>
  <si>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</si>
  <si>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</si>
  <si>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</si>
  <si>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</si>
  <si>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</si>
  <si>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</si>
  <si>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</si>
  <si>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</si>
  <si>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</si>
  <si>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</si>
  <si>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</si>
  <si>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</si>
  <si>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</si>
  <si>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</si>
  <si>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</si>
  <si>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</si>
  <si>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</si>
  <si>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</si>
  <si>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</si>
  <si>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</si>
  <si>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</si>
  <si>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</si>
  <si>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</si>
  <si>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</si>
  <si>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</si>
  <si>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</si>
  <si>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</si>
  <si>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</si>
  <si>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</si>
  <si>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</si>
  <si>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</si>
  <si>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</si>
  <si>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</si>
  <si>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</si>
  <si>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</si>
  <si>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</si>
  <si>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</si>
  <si>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</si>
  <si>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</si>
  <si>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</si>
  <si>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</si>
  <si>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</si>
  <si>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</si>
  <si>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</si>
  <si>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</si>
  <si>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</si>
  <si>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</si>
  <si>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</si>
  <si>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</si>
  <si>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</si>
  <si>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</si>
  <si>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</si>
  <si>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</si>
  <si>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</si>
  <si>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</si>
  <si>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</si>
  <si>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</si>
  <si>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</si>
  <si>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</si>
  <si>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</si>
  <si>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</si>
  <si>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</si>
  <si>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</si>
  <si>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</si>
  <si>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</si>
  <si>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</si>
  <si>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</si>
  <si>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</si>
  <si>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</si>
  <si>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</si>
  <si>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</si>
  <si>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</si>
  <si>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</si>
  <si>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</si>
  <si>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</si>
  <si>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</si>
  <si>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</si>
  <si>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</si>
  <si>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</si>
  <si>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</si>
  <si>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</si>
  <si>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</si>
  <si>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</si>
  <si>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</si>
  <si>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</si>
  <si>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</si>
  <si>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</si>
  <si>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</si>
  <si>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</si>
  <si>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</si>
  <si>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</si>
  <si>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</si>
  <si>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</si>
  <si>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</si>
  <si>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</si>
  <si>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</si>
  <si>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</si>
  <si>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</si>
  <si>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</si>
  <si>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</si>
  <si>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</si>
  <si>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</si>
  <si>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</si>
  <si>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</si>
  <si>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</si>
  <si>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</si>
  <si>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</si>
  <si>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</si>
  <si>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</si>
  <si>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</si>
  <si>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</si>
  <si>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</si>
  <si>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</si>
  <si>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</si>
  <si>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</si>
  <si>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</si>
  <si>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</si>
  <si>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</si>
  <si>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</si>
  <si>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</si>
  <si>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</si>
  <si>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</si>
  <si>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</si>
  <si>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</si>
  <si>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</si>
  <si>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</si>
  <si>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</si>
  <si>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</si>
  <si>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</si>
  <si>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</si>
  <si>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</si>
  <si>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</si>
  <si>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</si>
  <si>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</si>
  <si>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</si>
  <si>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</si>
  <si>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</si>
  <si>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</si>
  <si>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</si>
  <si>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</si>
  <si>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</si>
  <si>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</si>
  <si>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</si>
  <si>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</si>
  <si>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</si>
  <si>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</si>
  <si>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</si>
  <si>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</si>
  <si>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</si>
  <si>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</si>
  <si>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</si>
  <si>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</si>
  <si>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</si>
  <si>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</si>
  <si>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</si>
  <si>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</si>
  <si>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</si>
  <si>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</si>
  <si>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</si>
  <si>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</si>
  <si>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</si>
  <si>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</si>
  <si>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</si>
  <si>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</si>
  <si>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</si>
  <si>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</si>
  <si>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</si>
  <si>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</si>
  <si>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</si>
  <si>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</si>
  <si>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</si>
  <si>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</si>
  <si>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</si>
  <si>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</si>
  <si>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</si>
  <si>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</si>
  <si>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</si>
  <si>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</si>
  <si>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</si>
  <si>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</si>
  <si>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</si>
  <si>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</si>
  <si>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</si>
  <si>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</si>
  <si>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</si>
  <si>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</si>
  <si>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</si>
  <si>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</si>
  <si>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</si>
  <si>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</si>
  <si>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</si>
  <si>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</si>
  <si>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</si>
  <si>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</si>
  <si>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</si>
  <si>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</si>
  <si>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</si>
  <si>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</si>
  <si>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</si>
  <si>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</si>
  <si>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</si>
  <si>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</si>
  <si>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</si>
  <si>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</si>
  <si>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</si>
  <si>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</si>
  <si>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</si>
  <si>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</si>
  <si>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</si>
  <si>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</si>
  <si>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</si>
  <si>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</si>
  <si>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</si>
  <si>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</si>
  <si>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</si>
  <si>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</si>
  <si>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</si>
  <si>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</si>
  <si>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</si>
  <si>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</si>
  <si>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</si>
  <si>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</si>
  <si>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</si>
  <si>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</si>
  <si>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</si>
  <si>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</si>
  <si>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</si>
  <si>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</si>
  <si>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</si>
  <si>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</si>
  <si>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</si>
  <si>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</si>
  <si>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</si>
  <si>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</si>
  <si>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</si>
  <si>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</si>
  <si>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</si>
  <si>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</si>
  <si>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</si>
  <si>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</si>
  <si>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</si>
  <si>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</si>
  <si>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</si>
  <si>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</si>
  <si>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</si>
  <si>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</si>
  <si>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</si>
  <si>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</si>
  <si>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</si>
  <si>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</si>
  <si>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</si>
  <si>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</si>
  <si>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</si>
  <si>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</si>
  <si>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</si>
  <si>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</si>
  <si>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</si>
  <si>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</si>
  <si>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</si>
  <si>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</si>
  <si>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</si>
  <si>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</si>
  <si>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</si>
  <si>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</si>
  <si>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</si>
  <si>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</si>
  <si>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</si>
  <si>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</si>
  <si>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</si>
  <si>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</si>
  <si>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</si>
  <si>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</si>
  <si>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</si>
  <si>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</si>
  <si>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</si>
  <si>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</si>
  <si>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</si>
  <si>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</si>
  <si>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</si>
  <si>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</si>
  <si>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</si>
  <si>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</si>
  <si>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</si>
  <si>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</si>
  <si>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</si>
  <si>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</si>
  <si>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</si>
  <si>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</si>
  <si>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</si>
  <si>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</si>
  <si>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</si>
  <si>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</si>
  <si>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</si>
  <si>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</si>
  <si>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</si>
  <si>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</si>
  <si>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</si>
  <si>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</si>
  <si>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</si>
  <si>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</si>
  <si>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</si>
  <si>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</si>
  <si>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</si>
  <si>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</si>
  <si>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</si>
  <si>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</si>
  <si>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</si>
  <si>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</si>
  <si>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</si>
  <si>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</si>
  <si>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</si>
  <si>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</si>
  <si>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</si>
  <si>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</si>
  <si>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</si>
  <si>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</si>
  <si>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</si>
  <si>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</si>
  <si>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</si>
  <si>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</si>
  <si>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</si>
  <si>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</si>
  <si>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</si>
  <si>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</si>
  <si>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</si>
  <si>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</si>
  <si>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</si>
  <si>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</si>
  <si>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</si>
  <si>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</si>
  <si>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</si>
  <si>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</si>
  <si>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</si>
  <si>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</si>
  <si>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</si>
  <si>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</si>
  <si>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</si>
  <si>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</si>
  <si>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</si>
  <si>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</si>
  <si>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</si>
  <si>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</si>
  <si>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</si>
  <si>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</si>
  <si>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</si>
  <si>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</si>
  <si>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</si>
  <si>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</si>
  <si>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</si>
  <si>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</si>
  <si>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</si>
  <si>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</si>
  <si>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</si>
  <si>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</si>
  <si>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</si>
  <si>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</si>
  <si>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</si>
  <si>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</si>
  <si>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</si>
  <si>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</si>
  <si>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</si>
  <si>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</si>
  <si>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</si>
  <si>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</si>
  <si>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</si>
  <si>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</si>
  <si>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</si>
  <si>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</si>
  <si>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</si>
  <si>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</si>
  <si>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</si>
  <si>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</si>
  <si>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</si>
  <si>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</si>
  <si>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</si>
  <si>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</si>
  <si>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</si>
  <si>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</si>
  <si>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</si>
  <si>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</si>
  <si>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</si>
  <si>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</si>
  <si>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</si>
  <si>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</si>
  <si>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</si>
  <si>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</si>
  <si>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</si>
  <si>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</si>
  <si>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</si>
  <si>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</si>
  <si>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</si>
  <si>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</si>
  <si>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</si>
  <si>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</si>
  <si>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</si>
  <si>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</si>
  <si>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</si>
  <si>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</si>
  <si>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</si>
  <si>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</si>
  <si>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</si>
  <si>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</si>
  <si>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</si>
  <si>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</si>
  <si>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</si>
  <si>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</si>
  <si>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</si>
  <si>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</si>
  <si>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</si>
  <si>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</si>
  <si>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</si>
  <si>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</si>
  <si>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</si>
  <si>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</si>
  <si>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</si>
  <si>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</si>
  <si>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</si>
  <si>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</si>
  <si>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</si>
  <si>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</si>
  <si>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</si>
  <si>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</si>
  <si>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</si>
  <si>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</si>
  <si>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</si>
  <si>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</si>
  <si>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</si>
  <si>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</si>
  <si>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</si>
  <si>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</si>
  <si>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</si>
  <si>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</si>
  <si>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</si>
  <si>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</si>
  <si>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</si>
  <si>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</si>
  <si>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</si>
  <si>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</si>
  <si>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</si>
  <si>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</si>
  <si>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</si>
  <si>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</si>
  <si>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</si>
  <si>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</si>
  <si>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</si>
  <si>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</si>
  <si>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</si>
  <si>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</si>
  <si>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</si>
  <si>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</si>
  <si>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</si>
  <si>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</si>
  <si>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</si>
  <si>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</si>
  <si>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</si>
  <si>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</si>
  <si>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</si>
  <si>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</si>
  <si>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</si>
  <si>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</si>
  <si>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</si>
  <si>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</si>
  <si>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</si>
  <si>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</si>
  <si>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</si>
  <si>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</si>
  <si>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</si>
  <si>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</si>
  <si>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</si>
  <si>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</si>
  <si>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</si>
  <si>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</si>
  <si>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</si>
  <si>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</si>
  <si>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</si>
  <si>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</si>
  <si>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</si>
  <si>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</si>
  <si>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</si>
  <si>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</si>
  <si>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</si>
  <si>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</si>
  <si>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</si>
  <si>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</si>
  <si>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</si>
  <si>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</si>
  <si>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</si>
  <si>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</si>
  <si>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</si>
  <si>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</si>
  <si>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</si>
  <si>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</si>
  <si>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</si>
  <si>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</si>
  <si>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</si>
  <si>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</si>
  <si>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</si>
  <si>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</si>
  <si>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</si>
  <si>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</si>
  <si>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</si>
  <si>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</si>
  <si>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</si>
  <si>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</si>
  <si>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</si>
  <si>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</si>
  <si>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</si>
  <si>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</si>
  <si>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</si>
  <si>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</si>
  <si>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</si>
  <si>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</si>
  <si>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</si>
  <si>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</si>
  <si>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</si>
  <si>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</si>
  <si>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</si>
  <si>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</si>
  <si>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</si>
  <si>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</si>
  <si>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</si>
  <si>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</si>
  <si>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</si>
  <si>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</si>
  <si>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</si>
  <si>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</si>
  <si>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</si>
  <si>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</si>
  <si>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</si>
  <si>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</si>
  <si>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</si>
  <si>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</si>
  <si>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</si>
  <si>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</si>
  <si>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</si>
  <si>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</si>
  <si>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</si>
  <si>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</si>
  <si>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</si>
  <si>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</si>
  <si>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</si>
  <si>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</si>
  <si>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</si>
  <si>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</si>
  <si>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</si>
  <si>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</si>
  <si>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</si>
  <si>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</si>
  <si>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</si>
  <si>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</si>
  <si>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</si>
  <si>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</si>
  <si>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</si>
  <si>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</si>
  <si>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</si>
  <si>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</si>
  <si>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</si>
  <si>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</si>
  <si>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</si>
  <si>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</si>
  <si>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</si>
  <si>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</si>
  <si>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</si>
  <si>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</si>
  <si>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</si>
  <si>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</si>
  <si>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</si>
  <si>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</si>
  <si>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</si>
  <si>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</si>
  <si>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</si>
  <si>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</si>
  <si>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</si>
  <si>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</si>
  <si>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</si>
  <si>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</si>
  <si>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</si>
  <si>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</si>
  <si>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</si>
  <si>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</si>
  <si>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</si>
  <si>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</si>
  <si>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</si>
  <si>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</si>
  <si>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</si>
  <si>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</si>
  <si>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</si>
  <si>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</si>
  <si>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</si>
  <si>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</si>
  <si>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</si>
  <si>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</si>
  <si>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</si>
  <si>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</si>
  <si>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</si>
  <si>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</si>
  <si>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</si>
  <si>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</si>
  <si>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</si>
  <si>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</si>
  <si>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</si>
  <si>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</si>
  <si>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</si>
  <si>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</si>
  <si>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</si>
  <si>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</si>
  <si>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</si>
  <si>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</si>
  <si>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</si>
  <si>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</si>
  <si>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</si>
  <si>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</si>
  <si>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</si>
  <si>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</si>
  <si>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</si>
  <si>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</si>
  <si>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</si>
  <si>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</si>
  <si>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</si>
  <si>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</si>
  <si>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</si>
  <si>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</si>
  <si>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</si>
  <si>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</si>
  <si>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</si>
  <si>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</si>
  <si>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</si>
  <si>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</si>
  <si>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</si>
  <si>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</si>
  <si>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</si>
  <si>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</si>
  <si>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</si>
  <si>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</si>
  <si>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</si>
  <si>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</si>
  <si>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</si>
  <si>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</si>
  <si>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</si>
  <si>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</si>
  <si>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</si>
  <si>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</si>
  <si>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</si>
  <si>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</si>
  <si>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</si>
  <si>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</si>
  <si>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</si>
  <si>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</si>
  <si>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</si>
  <si>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</si>
  <si>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</si>
  <si>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</si>
  <si>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</si>
  <si>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</si>
  <si>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</si>
  <si>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</si>
  <si>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</si>
  <si>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</si>
  <si>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</si>
  <si>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</si>
  <si>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</si>
  <si>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</si>
  <si>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</si>
  <si>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</si>
  <si>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</si>
  <si>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</si>
  <si>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</si>
  <si>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</si>
  <si>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</si>
  <si>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</si>
  <si>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</si>
  <si>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</si>
  <si>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</si>
  <si>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</si>
  <si>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</si>
  <si>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</si>
  <si>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</si>
  <si>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</si>
  <si>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</si>
  <si>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</si>
  <si>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</si>
  <si>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</si>
  <si>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</si>
  <si>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</si>
  <si>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</si>
  <si>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</si>
  <si>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</si>
  <si>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</si>
  <si>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</si>
  <si>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</si>
  <si>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</si>
  <si>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</si>
  <si>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</si>
  <si>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</si>
  <si>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</si>
  <si>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</si>
  <si>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</si>
  <si>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</si>
  <si>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</si>
  <si>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</si>
  <si>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</si>
  <si>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</si>
  <si>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</si>
  <si>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</si>
  <si>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</si>
  <si>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</si>
  <si>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</si>
  <si>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</si>
  <si>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</si>
  <si>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</si>
  <si>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</si>
  <si>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</si>
  <si>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</si>
  <si>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</si>
  <si>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</si>
  <si>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</si>
  <si>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</si>
  <si>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</si>
  <si>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</si>
  <si>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</si>
  <si>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</si>
  <si>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</si>
  <si>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</si>
  <si>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</si>
  <si>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</si>
  <si>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</si>
  <si>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</si>
  <si>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</si>
  <si>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</si>
  <si>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</si>
  <si>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</si>
  <si>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</si>
  <si>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</si>
  <si>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</si>
  <si>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</si>
  <si>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</si>
  <si>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</si>
  <si>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</si>
  <si>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</si>
  <si>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</si>
  <si>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</si>
  <si>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</si>
  <si>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</si>
  <si>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</si>
  <si>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</si>
  <si>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</si>
  <si>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</si>
  <si>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</si>
  <si>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</si>
  <si>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</si>
  <si>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</si>
  <si>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</si>
  <si>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</si>
  <si>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</si>
  <si>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</si>
  <si>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</si>
  <si>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</si>
  <si>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</si>
  <si>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</si>
  <si>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</si>
  <si>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</si>
  <si>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</si>
  <si>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</si>
  <si>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</si>
  <si>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</si>
  <si>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</si>
  <si>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</si>
  <si>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</si>
  <si>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</si>
  <si>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</si>
  <si>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</si>
  <si>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</si>
  <si>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</si>
  <si>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</si>
  <si>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</si>
  <si>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</si>
  <si>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</si>
  <si>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</si>
  <si>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</si>
  <si>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</si>
  <si>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</si>
  <si>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</si>
  <si>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</si>
  <si>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</si>
  <si>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</si>
  <si>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</si>
  <si>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</si>
  <si>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</si>
  <si>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</si>
  <si>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</si>
  <si>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</si>
  <si>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</si>
  <si>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</si>
  <si>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</si>
  <si>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</si>
  <si>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</si>
  <si>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</si>
  <si>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</si>
  <si>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</si>
  <si>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</si>
  <si>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</si>
  <si>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</si>
  <si>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</si>
  <si>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</si>
  <si>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</si>
  <si>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</si>
  <si>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</si>
  <si>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</si>
  <si>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</si>
  <si>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</si>
  <si>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</si>
  <si>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</si>
  <si>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</si>
  <si>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</si>
  <si>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</si>
  <si>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</si>
  <si>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</si>
  <si>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</si>
  <si>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</si>
  <si>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</si>
  <si>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</si>
  <si>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</si>
  <si>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</si>
  <si>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</si>
  <si>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</si>
  <si>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</si>
  <si>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</si>
  <si>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</si>
  <si>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</si>
  <si>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</si>
  <si>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</si>
  <si>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</si>
  <si>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</si>
  <si>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</si>
  <si>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</si>
  <si>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</si>
  <si>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</si>
  <si>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</si>
  <si>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</si>
  <si>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</si>
  <si>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</si>
  <si>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</si>
  <si>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</si>
  <si>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</si>
  <si>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</si>
  <si>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</si>
  <si>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</si>
  <si>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</si>
  <si>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</si>
  <si>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</si>
  <si>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</si>
  <si>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</si>
  <si>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</si>
  <si>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</si>
  <si>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</si>
  <si>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</si>
  <si>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</si>
  <si>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</si>
  <si>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</si>
  <si>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</si>
  <si>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</si>
  <si>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</si>
  <si>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</si>
  <si>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</si>
  <si>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</si>
  <si>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</si>
  <si>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</si>
  <si>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</si>
  <si>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</si>
  <si>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</si>
  <si>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</si>
  <si>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</si>
  <si>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</si>
  <si>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</si>
  <si>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</si>
  <si>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</si>
  <si>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</si>
  <si>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</si>
  <si>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</si>
  <si>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</si>
  <si>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</si>
  <si>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</si>
  <si>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</si>
  <si>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</si>
  <si>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</si>
  <si>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</si>
  <si>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</si>
  <si>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</si>
  <si>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</si>
  <si>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</si>
  <si>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</si>
  <si>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</si>
  <si>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</si>
  <si>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</si>
  <si>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</si>
  <si>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</si>
  <si>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</si>
  <si>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</si>
  <si>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</si>
  <si>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</si>
  <si>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</si>
  <si>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</si>
  <si>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</si>
  <si>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</si>
  <si>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</si>
  <si>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</si>
  <si>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</si>
  <si>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</si>
  <si>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</si>
  <si>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</si>
  <si>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</si>
  <si>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</si>
  <si>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</si>
  <si>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</si>
  <si>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</si>
  <si>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</si>
  <si>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</si>
  <si>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</si>
  <si>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</si>
  <si>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</si>
  <si>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</si>
  <si>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</si>
  <si>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</si>
  <si>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</si>
  <si>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</si>
  <si>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</si>
  <si>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</si>
  <si>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</si>
  <si>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</si>
  <si>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</si>
  <si>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</si>
  <si>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</si>
  <si>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</si>
  <si>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</si>
  <si>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</si>
  <si>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</si>
  <si>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</si>
  <si>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</si>
  <si>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</si>
  <si>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</si>
  <si>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</si>
  <si>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</si>
  <si>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</si>
  <si>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</si>
  <si>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</si>
  <si>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</si>
  <si>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</si>
  <si>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</si>
  <si>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</si>
  <si>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</si>
  <si>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</si>
  <si>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</si>
  <si>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</si>
  <si>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</si>
  <si>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</si>
  <si>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</si>
  <si>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</si>
  <si>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</si>
  <si>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</si>
  <si>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</si>
  <si>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</si>
  <si>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</si>
  <si>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</si>
  <si>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</si>
  <si>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</si>
  <si>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</si>
  <si>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</si>
  <si>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</si>
  <si>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</si>
  <si>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</si>
  <si>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</si>
  <si>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</si>
  <si>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</si>
  <si>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</si>
  <si>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</si>
  <si>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</si>
  <si>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</si>
  <si>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</si>
  <si>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</si>
  <si>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</si>
  <si>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</si>
  <si>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</si>
  <si>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</si>
  <si>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</si>
  <si>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</si>
  <si>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</si>
  <si>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</si>
  <si>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</si>
  <si>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</si>
  <si>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</si>
  <si>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</si>
  <si>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</si>
  <si>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</si>
  <si>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</si>
  <si>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</si>
  <si>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</si>
  <si>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</si>
  <si>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</si>
  <si>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</si>
  <si>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</si>
  <si>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</si>
  <si>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</si>
  <si>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</si>
  <si>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</si>
  <si>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</si>
  <si>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</si>
  <si>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</si>
  <si>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</si>
  <si>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</si>
  <si>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</si>
  <si>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</si>
  <si>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</si>
  <si>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</si>
  <si>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</si>
  <si>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</si>
  <si>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</si>
  <si>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</si>
  <si>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</si>
  <si>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</si>
  <si>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</si>
  <si>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</si>
  <si>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</si>
  <si>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</si>
  <si>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</si>
  <si>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</si>
  <si>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</si>
  <si>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</si>
  <si>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</si>
  <si>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</si>
  <si>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</si>
  <si>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</si>
  <si>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</si>
  <si>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</si>
  <si>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</si>
  <si>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</si>
  <si>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</si>
  <si>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</si>
  <si>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</si>
  <si>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</si>
  <si>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</si>
  <si>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</si>
  <si>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</si>
  <si>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</si>
  <si>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</si>
  <si>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</si>
  <si>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</si>
  <si>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</si>
  <si>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</si>
  <si>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</si>
  <si>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</si>
  <si>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</si>
  <si>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</si>
  <si>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</si>
  <si>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</si>
  <si>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</si>
  <si>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</si>
  <si>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</si>
  <si>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</si>
  <si>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</si>
  <si>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</si>
  <si>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</si>
  <si>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</si>
  <si>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</si>
  <si>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</si>
  <si>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</si>
  <si>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</si>
  <si>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</si>
  <si>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</si>
  <si>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</si>
  <si>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</si>
  <si>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</si>
  <si>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</si>
  <si>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</si>
  <si>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</si>
  <si>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</si>
  <si>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</si>
  <si>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</si>
  <si>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>4577231#1</t>
  </si>
  <si>
    <t>Basilmx</t>
  </si>
  <si>
    <t>3259214#1</t>
  </si>
  <si>
    <t>Cristian Rodriguez Miranda</t>
  </si>
  <si>
    <t>1858096#1</t>
  </si>
  <si>
    <t>Stop Jeans</t>
  </si>
  <si>
    <t>4422409#1</t>
  </si>
  <si>
    <t>Adarquitectura</t>
  </si>
  <si>
    <t>4535875#1</t>
  </si>
  <si>
    <t>Arquiframme</t>
  </si>
  <si>
    <t>4568128#1</t>
  </si>
  <si>
    <t>Arteplac</t>
  </si>
  <si>
    <t>4547359#1</t>
  </si>
  <si>
    <t>As269898</t>
  </si>
  <si>
    <t>4529979#1</t>
  </si>
  <si>
    <t>Omnitracssa</t>
  </si>
  <si>
    <t>4571015#1</t>
  </si>
  <si>
    <t>Ceciliademadonna</t>
  </si>
  <si>
    <t>4478992#1</t>
  </si>
  <si>
    <t>Jvconstructor</t>
  </si>
  <si>
    <t>4448312#1</t>
  </si>
  <si>
    <t>Lagunasnorte</t>
  </si>
  <si>
    <t>4504033#1</t>
  </si>
  <si>
    <t>Probela La Molina</t>
  </si>
  <si>
    <t>1840584#1</t>
  </si>
  <si>
    <t>Trucks tract USA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</si>
</sst>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389ea15-0a14-4f86-bae4-fdc7c486e05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m/>
      </sharedItems>
    </cacheField>
    <cacheField name="Country" numFmtId="0">
      <sharedItems containsBlank="1">
        <s v="Mexico"/>
        <s v="Nicaragua"/>
        <s v="Belize"/>
        <s v="Honduras"/>
        <m/>
      </sharedItems>
    </cacheField>
    <cacheField name="Investigator" numFmtId="0">
      <sharedItems containsBlank="1">
        <s v="Francisco"/>
        <s v="Maria Celeste"/>
        <s v="No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"/>
        <s v="18580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Country" axis="axisRow" dataField="1" compact="0" outline="0" multipleItemSelectionAllowed="1" showAll="0" sortType="ascending">
      <items>
        <item x="4"/>
        <item x="2"/>
        <item x="3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389ea15-0a14-4f86-bae4-fdc7c486e052}" id="{91b1b1d4-d905-4550-8e25-1676ebedfa03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7</v>
      </c>
      <c r="F19" s="246">
        <f t="shared" ref="F19:F21" si="1">C19-E19</f>
        <v>23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6</v>
      </c>
      <c r="L19" s="33">
        <f t="shared" ref="L19:L23" si="2">I19-K19</f>
        <v>-1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3</v>
      </c>
      <c r="L20" s="33">
        <f t="shared" si="2"/>
        <v>7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</v>
      </c>
      <c r="F21" s="246">
        <f t="shared" si="1"/>
        <v>12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5</v>
      </c>
      <c r="L21" s="33">
        <f t="shared" si="2"/>
        <v>15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5</v>
      </c>
      <c r="L22" s="33">
        <f t="shared" si="2"/>
        <v>10</v>
      </c>
    </row>
    <row r="23" outlineLevel="1">
      <c r="D23" s="10"/>
      <c r="E23" s="37" t="s">
        <v>41</v>
      </c>
      <c r="F23" s="38">
        <f>SUM(F19:F21)</f>
        <v>50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2</v>
      </c>
      <c r="L23" s="33">
        <f t="shared" si="2"/>
        <v>8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39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98"/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98"/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61"/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3704</v>
      </c>
      <c r="D11" s="273" t="s">
        <v>3705</v>
      </c>
      <c r="E11" s="402" t="s">
        <v>22</v>
      </c>
      <c r="F11" s="58" t="s">
        <v>12</v>
      </c>
      <c r="G11" s="61"/>
      <c r="H11" s="269"/>
      <c r="J11" s="403">
        <v>46174.0</v>
      </c>
      <c r="K11" s="294" t="s">
        <v>3706</v>
      </c>
      <c r="L11" s="294" t="s">
        <v>3707</v>
      </c>
      <c r="M11" s="295" t="s">
        <v>18</v>
      </c>
      <c r="N11" s="295" t="s">
        <v>2337</v>
      </c>
      <c r="O11" s="61"/>
      <c r="P11" s="298"/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401">
        <v>46174.0</v>
      </c>
      <c r="K12" s="273" t="s">
        <v>3708</v>
      </c>
      <c r="L12" s="273" t="s">
        <v>3709</v>
      </c>
      <c r="M12" s="274" t="s">
        <v>27</v>
      </c>
      <c r="N12" s="274" t="s">
        <v>2337</v>
      </c>
      <c r="O12" s="61"/>
      <c r="P12" s="298"/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403">
        <v>46174.0</v>
      </c>
      <c r="K13" s="294" t="s">
        <v>3710</v>
      </c>
      <c r="L13" s="294" t="s">
        <v>3711</v>
      </c>
      <c r="M13" s="295" t="s">
        <v>27</v>
      </c>
      <c r="N13" s="295" t="s">
        <v>2337</v>
      </c>
      <c r="O13" s="61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7"/>
      <c r="BG13" s="453"/>
      <c r="BH13" s="453"/>
      <c r="BI13" s="468"/>
      <c r="BJ13" s="455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401">
        <v>46174.0</v>
      </c>
      <c r="K14" s="273" t="s">
        <v>3712</v>
      </c>
      <c r="L14" s="273" t="s">
        <v>3713</v>
      </c>
      <c r="M14" s="274" t="s">
        <v>11</v>
      </c>
      <c r="N14" s="274" t="s">
        <v>2337</v>
      </c>
      <c r="O14" s="61"/>
      <c r="P14" s="298"/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69"/>
      <c r="BG14" s="450"/>
      <c r="BH14" s="450"/>
      <c r="BI14" s="452"/>
      <c r="BJ14" s="452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403">
        <v>46174.0</v>
      </c>
      <c r="K15" s="294" t="s">
        <v>3714</v>
      </c>
      <c r="L15" s="294" t="s">
        <v>3715</v>
      </c>
      <c r="M15" s="295" t="s">
        <v>11</v>
      </c>
      <c r="N15" s="295" t="s">
        <v>2337</v>
      </c>
      <c r="O15" s="61"/>
      <c r="P15" s="298"/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7"/>
      <c r="BG15" s="453"/>
      <c r="BH15" s="453"/>
      <c r="BI15" s="455"/>
      <c r="BJ15" s="455"/>
      <c r="BK15" s="109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401">
        <v>46174.0</v>
      </c>
      <c r="K16" s="273" t="s">
        <v>3716</v>
      </c>
      <c r="L16" s="273" t="s">
        <v>3717</v>
      </c>
      <c r="M16" s="274" t="s">
        <v>23</v>
      </c>
      <c r="N16" s="274" t="s">
        <v>2337</v>
      </c>
      <c r="O16" s="61"/>
      <c r="P16" s="298"/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69"/>
      <c r="BG16" s="450"/>
      <c r="BH16" s="450"/>
      <c r="BI16" s="452"/>
      <c r="BJ16" s="452"/>
      <c r="BK16" s="61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380">
        <v>46174.0</v>
      </c>
      <c r="K17" s="294" t="s">
        <v>3718</v>
      </c>
      <c r="L17" s="294" t="s">
        <v>3719</v>
      </c>
      <c r="M17" s="381" t="s">
        <v>11</v>
      </c>
      <c r="N17" s="404" t="s">
        <v>2338</v>
      </c>
      <c r="O17" s="61"/>
      <c r="P17" s="298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0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382">
        <v>46174.0</v>
      </c>
      <c r="K18" s="273" t="s">
        <v>3720</v>
      </c>
      <c r="L18" s="273" t="s">
        <v>3721</v>
      </c>
      <c r="M18" s="399" t="s">
        <v>11</v>
      </c>
      <c r="N18" s="410" t="s">
        <v>2338</v>
      </c>
      <c r="O18" s="61"/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380">
        <v>46174.0</v>
      </c>
      <c r="K19" s="294" t="s">
        <v>3722</v>
      </c>
      <c r="L19" s="294" t="s">
        <v>3723</v>
      </c>
      <c r="M19" s="441" t="s">
        <v>23</v>
      </c>
      <c r="N19" s="404" t="s">
        <v>2338</v>
      </c>
      <c r="O19" s="109"/>
      <c r="P19" s="298"/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7"/>
      <c r="AQ19" s="453"/>
      <c r="AR19" s="453"/>
      <c r="AS19" s="468"/>
      <c r="AT19" s="455"/>
      <c r="AU19" s="471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382">
        <v>46174.0</v>
      </c>
      <c r="K20" s="273" t="s">
        <v>3724</v>
      </c>
      <c r="L20" s="273" t="s">
        <v>3725</v>
      </c>
      <c r="M20" s="399" t="s">
        <v>23</v>
      </c>
      <c r="N20" s="274" t="s">
        <v>2338</v>
      </c>
      <c r="O20" s="61"/>
      <c r="P20" s="298"/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69"/>
      <c r="AQ20" s="450"/>
      <c r="AR20" s="450"/>
      <c r="AS20" s="472"/>
      <c r="AT20" s="452"/>
      <c r="AU20" s="473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380">
        <v>46174.0</v>
      </c>
      <c r="K21" s="294" t="s">
        <v>3726</v>
      </c>
      <c r="L21" s="294" t="s">
        <v>3727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7"/>
      <c r="AQ21" s="453"/>
      <c r="AR21" s="453"/>
      <c r="AS21" s="468"/>
      <c r="AT21" s="455"/>
      <c r="AU21" s="471"/>
      <c r="AV21" s="269"/>
      <c r="AX21" s="270"/>
      <c r="AY21" s="384"/>
      <c r="AZ21" s="474"/>
      <c r="BA21" s="58"/>
      <c r="BB21" s="58"/>
      <c r="BC21" s="61"/>
      <c r="BD21" s="269"/>
      <c r="BF21" s="467"/>
      <c r="BG21" s="453"/>
      <c r="BH21" s="453"/>
      <c r="BI21" s="455"/>
      <c r="BJ21" s="455"/>
      <c r="BK21" s="61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382">
        <v>46174.0</v>
      </c>
      <c r="K22" s="273" t="s">
        <v>3728</v>
      </c>
      <c r="L22" s="273" t="s">
        <v>3729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69"/>
      <c r="AQ22" s="450"/>
      <c r="AR22" s="450"/>
      <c r="AS22" s="472"/>
      <c r="AT22" s="452"/>
      <c r="AU22" s="473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7"/>
      <c r="AQ23" s="453"/>
      <c r="AR23" s="453"/>
      <c r="AS23" s="468"/>
      <c r="AT23" s="455"/>
      <c r="AU23" s="471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109"/>
      <c r="H24" s="269"/>
      <c r="J24" s="270"/>
      <c r="K24" s="109"/>
      <c r="L24" s="109"/>
      <c r="M24" s="58"/>
      <c r="N24" s="58"/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61"/>
      <c r="H25" s="269"/>
      <c r="J25" s="270"/>
      <c r="K25" s="109"/>
      <c r="L25" s="109"/>
      <c r="M25" s="58"/>
      <c r="N25" s="58"/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69"/>
      <c r="AQ27" s="450"/>
      <c r="AR27" s="450"/>
      <c r="AS27" s="472"/>
      <c r="AT27" s="452"/>
      <c r="AU27" s="473"/>
      <c r="AV27" s="269"/>
      <c r="AX27" s="270"/>
      <c r="AY27" s="450"/>
      <c r="AZ27" s="475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7"/>
      <c r="AQ28" s="453"/>
      <c r="AR28" s="453"/>
      <c r="AS28" s="468"/>
      <c r="AT28" s="455"/>
      <c r="AU28" s="471"/>
      <c r="AV28" s="269"/>
      <c r="AX28" s="270"/>
      <c r="AY28" s="453"/>
      <c r="AZ28" s="476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9"/>
      <c r="AQ29" s="450"/>
      <c r="AR29" s="450"/>
      <c r="AS29" s="472"/>
      <c r="AT29" s="452"/>
      <c r="AU29" s="473"/>
      <c r="AV29" s="269"/>
      <c r="AX29" s="270"/>
      <c r="AY29" s="450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109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7"/>
      <c r="AQ30" s="453"/>
      <c r="AR30" s="453"/>
      <c r="AS30" s="455"/>
      <c r="AT30" s="455"/>
      <c r="AU30" s="477"/>
      <c r="AV30" s="298"/>
      <c r="AX30" s="270"/>
      <c r="AY30" s="453"/>
      <c r="AZ30" s="476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58"/>
      <c r="G31" s="61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69"/>
      <c r="AI31" s="450"/>
      <c r="AJ31" s="450"/>
      <c r="AK31" s="472"/>
      <c r="AL31" s="452"/>
      <c r="AM31" s="61"/>
      <c r="AN31" s="269"/>
      <c r="AP31" s="449"/>
      <c r="AQ31" s="450"/>
      <c r="AR31" s="450"/>
      <c r="AS31" s="466"/>
      <c r="AT31" s="452"/>
      <c r="AU31" s="478"/>
      <c r="AV31" s="269"/>
      <c r="AX31" s="270"/>
      <c r="AY31" s="450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39"/>
      <c r="U32" s="58"/>
      <c r="V32" s="58"/>
      <c r="W32" s="61"/>
      <c r="X32" s="269"/>
      <c r="Z32" s="479"/>
      <c r="AA32" s="480"/>
      <c r="AB32" s="481"/>
      <c r="AC32" s="482"/>
      <c r="AD32" s="483"/>
      <c r="AE32" s="61"/>
      <c r="AF32" s="269"/>
      <c r="AH32" s="467"/>
      <c r="AI32" s="453"/>
      <c r="AJ32" s="453"/>
      <c r="AK32" s="468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76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109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84"/>
      <c r="U33" s="58"/>
      <c r="V33" s="58"/>
      <c r="W33" s="61"/>
      <c r="X33" s="269"/>
      <c r="Z33" s="479"/>
      <c r="AA33" s="480"/>
      <c r="AB33" s="480"/>
      <c r="AC33" s="485"/>
      <c r="AD33" s="486"/>
      <c r="AE33" s="61"/>
      <c r="AF33" s="269"/>
      <c r="AH33" s="469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87"/>
      <c r="AV33" s="298"/>
      <c r="AX33" s="270"/>
      <c r="AY33" s="450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61"/>
      <c r="H34" s="269"/>
      <c r="J34" s="270"/>
      <c r="K34" s="109"/>
      <c r="L34" s="109"/>
      <c r="M34" s="58"/>
      <c r="N34" s="58"/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76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76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109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58"/>
      <c r="G38" s="61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76"/>
      <c r="BA38" s="58"/>
      <c r="BB38" s="58"/>
      <c r="BC38" s="61"/>
      <c r="BD38" s="269"/>
      <c r="BF38" s="449"/>
      <c r="BG38" s="450"/>
      <c r="BH38" s="450"/>
      <c r="BI38" s="451"/>
      <c r="BJ38" s="470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5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109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76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61"/>
      <c r="H41" s="269"/>
      <c r="J41" s="270"/>
      <c r="K41" s="109"/>
      <c r="L41" s="109"/>
      <c r="M41" s="58"/>
      <c r="N41" s="58"/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5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109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76"/>
      <c r="BA42" s="58"/>
      <c r="BB42" s="58"/>
      <c r="BC42" s="61"/>
      <c r="BD42" s="269"/>
      <c r="BF42" s="469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61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7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9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109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7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9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7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88"/>
      <c r="AI49" s="453"/>
      <c r="AJ49" s="453"/>
      <c r="AK49" s="468"/>
      <c r="AL49" s="455"/>
      <c r="AM49" s="61"/>
      <c r="AN49" s="269"/>
      <c r="AP49" s="449"/>
      <c r="AQ49" s="450"/>
      <c r="AR49" s="481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89"/>
      <c r="AI50" s="450"/>
      <c r="AJ50" s="450"/>
      <c r="AK50" s="472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88"/>
      <c r="AI51" s="453"/>
      <c r="AJ51" s="453"/>
      <c r="AK51" s="468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89"/>
      <c r="AI52" s="450"/>
      <c r="AJ52" s="450"/>
      <c r="AK52" s="472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3"/>
      <c r="AJ53" s="453"/>
      <c r="AK53" s="468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2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0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0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69"/>
      <c r="AI58" s="450"/>
      <c r="AJ58" s="450"/>
      <c r="AK58" s="472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7"/>
      <c r="AI59" s="453"/>
      <c r="AJ59" s="453"/>
      <c r="AK59" s="468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69"/>
      <c r="AI60" s="450"/>
      <c r="AJ60" s="450"/>
      <c r="AK60" s="472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4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58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491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7"/>
      <c r="AA75" s="453"/>
      <c r="AB75" s="453"/>
      <c r="AC75" s="468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69"/>
      <c r="AA76" s="450"/>
      <c r="AB76" s="450"/>
      <c r="AC76" s="472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7"/>
      <c r="AA77" s="453"/>
      <c r="AB77" s="453"/>
      <c r="AC77" s="468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69"/>
      <c r="AA78" s="450"/>
      <c r="AB78" s="450"/>
      <c r="AC78" s="472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7"/>
      <c r="AA79" s="453"/>
      <c r="AB79" s="453"/>
      <c r="AC79" s="468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2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2"/>
      <c r="AA83" s="481"/>
      <c r="AB83" s="481"/>
      <c r="AC83" s="493"/>
      <c r="AD83" s="49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70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70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436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69"/>
      <c r="AA89" s="481"/>
      <c r="AB89" s="450"/>
      <c r="AC89" s="472"/>
      <c r="AD89" s="452"/>
      <c r="AE89" s="473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7"/>
      <c r="AA90" s="453"/>
      <c r="AB90" s="453"/>
      <c r="AC90" s="468"/>
      <c r="AD90" s="455"/>
      <c r="AE90" s="471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70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9"/>
      <c r="AA91" s="450"/>
      <c r="AB91" s="450"/>
      <c r="AC91" s="452"/>
      <c r="AD91" s="452"/>
      <c r="AE91" s="495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7"/>
      <c r="AA92" s="453"/>
      <c r="AB92" s="453"/>
      <c r="AC92" s="468"/>
      <c r="AD92" s="455"/>
      <c r="AE92" s="471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9"/>
      <c r="AA93" s="450"/>
      <c r="AB93" s="481"/>
      <c r="AC93" s="452"/>
      <c r="AD93" s="452"/>
      <c r="AE93" s="495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496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F2:F1002">
      <formula1>"Luis,Jesus,Clara,Noel,Daniela,Mariadelaida,Eduardo,Alexis,Diana,Enrique,Rafael,Francisco"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