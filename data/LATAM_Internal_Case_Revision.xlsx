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tc={eea5b16c-39ed-4cfc-88f3-187b5e43434d}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eea5b16c-39ed-4cfc-88f3-187b5e43434d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<sst xmlns="http://schemas.openxmlformats.org/spreadsheetml/2006/main" count="9123" uniqueCount="4090">
  <si>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</si>
  <si>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</si>
  <si>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</si>
  <si>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</si>
  <si>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</si>
  <si>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</si>
  <si>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</si>
  <si>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</si>
  <si>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</si>
  <si>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</si>
  <si>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</si>
  <si>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</si>
  <si>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</si>
  <si>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</si>
  <si>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</si>
  <si>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</si>
  <si>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</si>
  <si>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</si>
  <si>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</si>
  <si>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</si>
  <si>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</si>
  <si>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</si>
  <si>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</si>
  <si>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</si>
  <si>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</si>
  <si>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</si>
  <si>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</si>
  <si>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</si>
  <si>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</si>
  <si>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</si>
  <si>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</si>
  <si>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</si>
  <si>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</si>
  <si>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</si>
  <si>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</si>
  <si>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</si>
  <si>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</si>
  <si>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</si>
  <si>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</si>
  <si>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</si>
  <si>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</si>
  <si>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</si>
  <si>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</si>
  <si>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</si>
  <si>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</si>
  <si>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</si>
  <si>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</si>
  <si>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</si>
  <si>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</si>
  <si>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</si>
  <si>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</si>
  <si>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</si>
  <si>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</si>
  <si>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</si>
  <si>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</si>
  <si>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</si>
  <si>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</si>
  <si>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</si>
  <si>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</si>
  <si>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</si>
  <si>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</si>
  <si>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</si>
  <si>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</si>
  <si>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</si>
  <si>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</si>
  <si>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</si>
  <si>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</si>
  <si>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</si>
  <si>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</si>
  <si>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</si>
  <si>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</si>
  <si>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</si>
  <si>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</si>
  <si>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</si>
  <si>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</si>
  <si>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</si>
  <si>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</si>
  <si>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</si>
  <si>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</si>
  <si>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</si>
  <si>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</si>
  <si>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</si>
  <si>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</si>
  <si>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</si>
  <si>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</si>
  <si>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</si>
  <si>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</si>
  <si>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</si>
  <si>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</si>
  <si>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</si>
  <si>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</si>
  <si>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</si>
  <si>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</si>
  <si>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</si>
  <si>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</si>
  <si>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</si>
  <si>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</si>
  <si>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</si>
  <si>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</si>
  <si>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</si>
  <si>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</si>
  <si>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</si>
  <si>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</si>
  <si>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</si>
  <si>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</si>
  <si>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</si>
  <si>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</si>
  <si>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</si>
  <si>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</si>
  <si>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</si>
  <si>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</si>
  <si>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</si>
  <si>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</si>
  <si>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</si>
  <si>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</si>
  <si>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</si>
  <si>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</si>
  <si>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</si>
  <si>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</si>
  <si>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</si>
  <si>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</si>
  <si>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</si>
  <si>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</si>
  <si>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</si>
  <si>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</si>
  <si>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</si>
  <si>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</si>
  <si>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</si>
  <si>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</si>
  <si>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</si>
  <si>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</si>
  <si>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</si>
  <si>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</si>
  <si>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</si>
  <si>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</si>
  <si>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</si>
  <si>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</si>
  <si>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</si>
  <si>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</si>
  <si>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</si>
  <si>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</si>
  <si>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</si>
  <si>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</si>
  <si>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</si>
  <si>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</si>
  <si>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</si>
  <si>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</si>
  <si>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</si>
  <si>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</si>
  <si>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</si>
  <si>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</si>
  <si>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</si>
  <si>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</si>
  <si>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</si>
  <si>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</si>
  <si>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</si>
  <si>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</si>
  <si>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</si>
  <si>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</si>
  <si>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</si>
  <si>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</si>
  <si>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</si>
  <si>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</si>
  <si>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</si>
  <si>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</si>
  <si>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</si>
  <si>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</si>
  <si>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</si>
  <si>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</si>
  <si>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</si>
  <si>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</si>
  <si>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</si>
  <si>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</si>
  <si>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</si>
  <si>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</si>
  <si>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</si>
  <si>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</si>
  <si>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</si>
  <si>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</si>
  <si>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</si>
  <si>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</si>
  <si>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</si>
  <si>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</si>
  <si>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</si>
  <si>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</si>
  <si>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</si>
  <si>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</si>
  <si>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</si>
  <si>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</si>
  <si>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</si>
  <si>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</si>
  <si>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</si>
  <si>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</si>
  <si>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</si>
  <si>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</si>
  <si>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</si>
  <si>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</si>
  <si>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</si>
  <si>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</si>
  <si>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</si>
  <si>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</si>
  <si>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</si>
  <si>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</si>
  <si>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</si>
  <si>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</si>
  <si>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</si>
  <si>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</si>
  <si>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</si>
  <si>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</si>
  <si>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</si>
  <si>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</si>
  <si>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</si>
  <si>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</si>
  <si>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</si>
  <si>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</si>
  <si>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</si>
  <si>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</si>
  <si>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</si>
  <si>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</si>
  <si>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</si>
  <si>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</si>
  <si>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</si>
  <si>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</si>
  <si>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</si>
  <si>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</si>
  <si>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</si>
  <si>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</si>
  <si>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</si>
  <si>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</si>
  <si>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</si>
  <si>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</si>
  <si>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</si>
  <si>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</si>
  <si>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</si>
  <si>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</si>
  <si>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</si>
  <si>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</si>
  <si>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</si>
  <si>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</si>
  <si>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</si>
  <si>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</si>
  <si>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</si>
  <si>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</si>
  <si>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</si>
  <si>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</si>
  <si>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</si>
  <si>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</si>
  <si>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</si>
  <si>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</si>
  <si>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</si>
  <si>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</si>
  <si>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</si>
  <si>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</si>
  <si>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</si>
  <si>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</si>
  <si>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</si>
  <si>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</si>
  <si>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</si>
  <si>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</si>
  <si>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</si>
  <si>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</si>
  <si>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</si>
  <si>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</si>
  <si>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</si>
  <si>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</si>
  <si>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</si>
  <si>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</si>
  <si>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</si>
  <si>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</si>
  <si>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</si>
  <si>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</si>
  <si>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</si>
  <si>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</si>
  <si>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</si>
  <si>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</si>
  <si>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</si>
  <si>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</si>
  <si>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</si>
  <si>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</si>
  <si>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</si>
  <si>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</si>
  <si>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</si>
  <si>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</si>
  <si>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</si>
  <si>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</si>
  <si>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</si>
  <si>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</si>
  <si>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</si>
  <si>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</si>
  <si>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</si>
  <si>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</si>
  <si>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</si>
  <si>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</si>
  <si>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</si>
  <si>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</si>
  <si>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</si>
  <si>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</si>
  <si>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</si>
  <si>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</si>
  <si>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</si>
  <si>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</si>
  <si>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</si>
  <si>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</si>
  <si>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</si>
  <si>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</si>
  <si>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</si>
  <si>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</si>
  <si>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</si>
  <si>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</si>
  <si>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</si>
  <si>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</si>
  <si>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</si>
  <si>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</si>
  <si>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</si>
  <si>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</si>
  <si>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</si>
  <si>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</si>
  <si>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</si>
  <si>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</si>
  <si>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</si>
  <si>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</si>
  <si>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</si>
  <si>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</si>
  <si>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</si>
  <si>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</si>
  <si>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</si>
  <si>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</si>
  <si>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</si>
  <si>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</si>
  <si>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</si>
  <si>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</si>
  <si>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</si>
  <si>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</si>
  <si>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</si>
  <si>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</si>
  <si>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</si>
  <si>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</si>
  <si>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</si>
  <si>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</si>
  <si>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</si>
  <si>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</si>
  <si>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</si>
  <si>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</si>
  <si>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</si>
  <si>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</si>
  <si>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</si>
  <si>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</si>
  <si>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</si>
  <si>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</si>
  <si>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</si>
  <si>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</si>
  <si>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</si>
  <si>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</si>
  <si>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</si>
  <si>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</si>
  <si>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</si>
  <si>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</si>
  <si>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</si>
  <si>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</si>
  <si>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</si>
  <si>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</si>
  <si>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</si>
  <si>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</si>
  <si>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</si>
  <si>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</si>
  <si>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</si>
  <si>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</si>
  <si>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</si>
  <si>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</si>
  <si>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</si>
  <si>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</si>
  <si>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</si>
  <si>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</si>
  <si>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</si>
  <si>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</si>
  <si>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</si>
  <si>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</si>
  <si>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</si>
  <si>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</si>
  <si>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</si>
  <si>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</si>
  <si>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</si>
  <si>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</si>
  <si>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</si>
  <si>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</si>
  <si>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</si>
  <si>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</si>
  <si>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</si>
  <si>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</si>
  <si>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</si>
  <si>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</si>
  <si>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</si>
  <si>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</si>
  <si>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</si>
  <si>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</si>
  <si>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</si>
  <si>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</si>
  <si>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</si>
  <si>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</si>
  <si>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</si>
  <si>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</si>
  <si>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</si>
  <si>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</si>
  <si>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</si>
  <si>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</si>
  <si>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</si>
  <si>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</si>
  <si>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</si>
  <si>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</si>
  <si>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</si>
  <si>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</si>
  <si>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</si>
  <si>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</si>
  <si>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</si>
  <si>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</si>
  <si>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</si>
  <si>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</si>
  <si>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</si>
  <si>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</si>
  <si>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</si>
  <si>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</si>
  <si>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</si>
  <si>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</si>
  <si>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</si>
  <si>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</si>
  <si>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</si>
  <si>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</si>
  <si>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</si>
  <si>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</si>
  <si>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</si>
  <si>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</si>
  <si>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</si>
  <si>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</si>
  <si>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</si>
  <si>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</si>
  <si>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</si>
  <si>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</si>
  <si>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</si>
  <si>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</si>
  <si>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</si>
  <si>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</si>
  <si>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</si>
  <si>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</si>
  <si>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</si>
  <si>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</si>
  <si>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</si>
  <si>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</si>
  <si>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</si>
  <si>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</si>
  <si>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</si>
  <si>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</si>
  <si>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</si>
  <si>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</si>
  <si>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</si>
  <si>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</si>
  <si>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</si>
  <si>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</si>
  <si>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</si>
  <si>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</si>
  <si>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</si>
  <si>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</si>
  <si>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</si>
  <si>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</si>
  <si>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</si>
  <si>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</si>
  <si>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</si>
  <si>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</si>
  <si>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</si>
  <si>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</si>
  <si>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</si>
  <si>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</si>
  <si>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</si>
  <si>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</si>
  <si>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</si>
  <si>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</si>
  <si>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</si>
  <si>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</si>
  <si>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</si>
  <si>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</si>
  <si>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</si>
  <si>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</si>
  <si>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</si>
  <si>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</si>
  <si>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</si>
  <si>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</si>
  <si>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</si>
  <si>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</si>
  <si>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</si>
  <si>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</si>
  <si>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</si>
  <si>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</si>
  <si>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</si>
  <si>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</si>
  <si>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</si>
  <si>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</si>
  <si>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</si>
  <si>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</si>
  <si>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</si>
  <si>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</si>
  <si>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</si>
  <si>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</si>
  <si>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</si>
  <si>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</si>
  <si>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</si>
  <si>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</si>
  <si>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</si>
  <si>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</si>
  <si>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</si>
  <si>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</si>
  <si>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</si>
  <si>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</si>
  <si>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</si>
  <si>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</si>
  <si>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</si>
  <si>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</si>
  <si>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</si>
  <si>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</si>
  <si>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</si>
  <si>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</si>
  <si>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</si>
  <si>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</si>
  <si>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</si>
  <si>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</si>
  <si>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</si>
  <si>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</si>
  <si>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</si>
  <si>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</si>
  <si>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</si>
  <si>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</si>
  <si>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</si>
  <si>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</si>
  <si>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</si>
  <si>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</si>
  <si>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</si>
  <si>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</si>
  <si>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</si>
  <si>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</si>
  <si>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</si>
  <si>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</si>
  <si>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</si>
  <si>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</si>
  <si>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</si>
  <si>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</si>
  <si>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</si>
  <si>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</si>
  <si>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</si>
  <si>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</si>
  <si>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</si>
  <si>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</si>
  <si>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</si>
  <si>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</si>
  <si>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</si>
  <si>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</si>
  <si>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</si>
  <si>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</si>
  <si>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</si>
  <si>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</si>
  <si>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</si>
  <si>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</si>
  <si>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</si>
  <si>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</si>
  <si>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</si>
  <si>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</si>
  <si>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</si>
  <si>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</si>
  <si>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</si>
  <si>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</si>
  <si>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</si>
  <si>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</si>
  <si>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</si>
  <si>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</si>
  <si>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</si>
  <si>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</si>
  <si>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</si>
  <si>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</si>
  <si>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</si>
  <si>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</si>
  <si>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</si>
  <si>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</si>
  <si>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</si>
  <si>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</si>
  <si>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</si>
  <si>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</si>
  <si>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</si>
  <si>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</si>
  <si>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</si>
  <si>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</si>
  <si>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</si>
  <si>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</si>
  <si>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</si>
  <si>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</si>
  <si>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</si>
  <si>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</si>
  <si>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</si>
  <si>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</si>
  <si>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</si>
  <si>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</si>
  <si>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</si>
  <si>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</si>
  <si>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</si>
  <si>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</si>
  <si>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</si>
  <si>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</si>
  <si>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</si>
  <si>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</si>
  <si>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</si>
  <si>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</si>
  <si>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</si>
  <si>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</si>
  <si>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</si>
  <si>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</si>
  <si>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</si>
  <si>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</si>
  <si>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</si>
  <si>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</si>
  <si>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</si>
  <si>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</si>
  <si>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</si>
  <si>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</si>
  <si>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</si>
  <si>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</si>
  <si>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</si>
  <si>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</si>
  <si>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</si>
  <si>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</si>
  <si>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</si>
  <si>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</si>
  <si>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</si>
  <si>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</si>
  <si>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</si>
  <si>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</si>
  <si>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</si>
  <si>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</si>
  <si>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</si>
  <si>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</si>
  <si>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</si>
  <si>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</si>
  <si>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</si>
  <si>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</si>
  <si>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</si>
  <si>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</si>
  <si>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</si>
  <si>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</si>
  <si>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</si>
  <si>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</si>
  <si>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</si>
  <si>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</si>
  <si>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</si>
  <si>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</si>
  <si>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</si>
  <si>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</si>
  <si>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</si>
  <si>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</si>
  <si>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</si>
  <si>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</si>
  <si>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</si>
  <si>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</si>
  <si>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</si>
  <si>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</si>
  <si>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</si>
  <si>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</si>
  <si>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</si>
  <si>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</si>
  <si>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</si>
  <si>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</si>
  <si>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</si>
  <si>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</si>
  <si>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</si>
  <si>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</si>
  <si>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</si>
  <si>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</si>
  <si>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</si>
  <si>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</si>
  <si>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</si>
  <si>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</si>
  <si>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</si>
  <si>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</si>
  <si>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</si>
  <si>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</si>
  <si>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</si>
  <si>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</si>
  <si>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</si>
  <si>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</si>
  <si>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</si>
  <si>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</si>
  <si>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</si>
  <si>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</si>
  <si>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</si>
  <si>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</si>
  <si>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</si>
  <si>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</si>
  <si>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</si>
  <si>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</si>
  <si>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</si>
  <si>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</si>
  <si>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</si>
  <si>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</si>
  <si>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</si>
  <si>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</si>
  <si>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</si>
  <si>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</si>
  <si>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</si>
  <si>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</si>
  <si>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</si>
  <si>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</si>
  <si>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</si>
  <si>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</si>
  <si>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</si>
  <si>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</si>
  <si>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</si>
  <si>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</si>
  <si>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</si>
  <si>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</si>
  <si>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</si>
  <si>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</si>
  <si>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</si>
  <si>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</si>
  <si>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</si>
  <si>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</si>
  <si>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</si>
  <si>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</si>
  <si>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</si>
  <si>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</si>
  <si>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</si>
  <si>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</si>
  <si>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</si>
  <si>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</si>
  <si>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</si>
  <si>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</si>
  <si>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</si>
  <si>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</si>
  <si>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</si>
  <si>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</si>
  <si>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</si>
  <si>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</si>
  <si>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</si>
  <si>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</si>
  <si>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</si>
  <si>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</si>
  <si>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</si>
  <si>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</si>
  <si>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</si>
  <si>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</si>
  <si>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</si>
  <si>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</si>
  <si>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</si>
  <si>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</si>
  <si>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</si>
  <si>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</si>
  <si>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</si>
  <si>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</si>
  <si>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</si>
  <si>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</si>
  <si>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</si>
  <si>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</si>
  <si>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</si>
  <si>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</si>
  <si>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</si>
  <si>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</si>
  <si>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</si>
  <si>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</si>
  <si>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</si>
  <si>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</si>
  <si>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</si>
  <si>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</si>
  <si>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</si>
  <si>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</si>
  <si>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</si>
  <si>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</si>
  <si>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</si>
  <si>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</si>
  <si>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</si>
  <si>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</si>
  <si>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</si>
  <si>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</si>
  <si>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</si>
  <si>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</si>
  <si>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</si>
  <si>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</si>
  <si>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</si>
  <si>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</si>
  <si>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</si>
  <si>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</si>
  <si>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</si>
  <si>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</si>
  <si>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</si>
  <si>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</si>
  <si>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</si>
  <si>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</si>
  <si>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</si>
  <si>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</si>
  <si>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</si>
  <si>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</si>
  <si>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</si>
  <si>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</si>
  <si>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</si>
  <si>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</si>
  <si>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</si>
  <si>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</si>
  <si>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</si>
  <si>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</si>
  <si>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</si>
  <si>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</si>
  <si>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</si>
  <si>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</si>
  <si>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</si>
  <si>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</si>
  <si>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</si>
  <si>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</si>
  <si>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</si>
  <si>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</si>
  <si>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</si>
  <si>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</si>
  <si>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</si>
  <si>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</si>
  <si>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</si>
  <si>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</si>
  <si>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</si>
  <si>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</si>
  <si>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</si>
  <si>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</si>
  <si>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</si>
  <si>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</si>
  <si>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</si>
  <si>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</si>
  <si>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</si>
  <si>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</si>
  <si>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</si>
  <si>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</si>
  <si>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</si>
  <si>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</si>
  <si>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</si>
  <si>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</si>
  <si>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</si>
  <si>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</si>
  <si>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</si>
  <si>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</si>
  <si>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</si>
  <si>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</si>
  <si>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</si>
  <si>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</si>
  <si>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</si>
  <si>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</si>
  <si>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</si>
  <si>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</si>
  <si>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</si>
  <si>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</si>
  <si>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</si>
  <si>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</si>
  <si>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</si>
  <si>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</si>
  <si>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</si>
  <si>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</si>
  <si>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</si>
  <si>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</si>
  <si>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</si>
  <si>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</si>
  <si>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</si>
  <si>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</si>
  <si>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</si>
  <si>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</si>
  <si>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</si>
  <si>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</si>
  <si>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</si>
  <si>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</si>
  <si>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</si>
  <si>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</si>
  <si>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</si>
  <si>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</si>
  <si>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</si>
  <si>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</si>
  <si>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</si>
  <si>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</si>
  <si>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</si>
  <si>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</si>
  <si>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</si>
  <si>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</si>
  <si>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</si>
  <si>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</si>
  <si>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</si>
  <si>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</si>
  <si>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</si>
  <si>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</si>
  <si>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</si>
  <si>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</si>
  <si>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</si>
  <si>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</si>
  <si>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</si>
  <si>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</si>
  <si>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</si>
  <si>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</si>
  <si>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</si>
  <si>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</si>
  <si>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</si>
  <si>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</si>
  <si>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</si>
  <si>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</si>
  <si>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</si>
  <si>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</si>
  <si>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</si>
  <si>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</si>
  <si>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</si>
  <si>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</si>
  <si>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</si>
  <si>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</si>
  <si>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</si>
  <si>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</si>
  <si>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</si>
  <si>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</si>
  <si>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</si>
  <si>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</si>
  <si>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</si>
  <si>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</si>
  <si>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</si>
  <si>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</si>
  <si>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</si>
  <si>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</si>
  <si>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</si>
  <si>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</si>
  <si>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</si>
  <si>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</si>
  <si>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</si>
  <si>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</si>
  <si>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</si>
  <si>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</si>
  <si>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</si>
  <si>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</si>
  <si>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</si>
  <si>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</si>
  <si>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</si>
  <si>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</si>
  <si>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</si>
  <si>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</si>
  <si>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</si>
  <si>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</si>
  <si>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</si>
  <si>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</si>
  <si>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</si>
  <si>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</si>
  <si>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</si>
  <si>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</si>
  <si>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</si>
  <si>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</si>
  <si>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</si>
  <si>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</si>
  <si>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</si>
  <si>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</si>
  <si>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</si>
  <si>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</si>
  <si>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</si>
  <si>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</si>
  <si>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</si>
  <si>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</si>
  <si>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</si>
  <si>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</si>
  <si>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</si>
  <si>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</si>
  <si>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</si>
  <si>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</si>
  <si>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</si>
  <si>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</si>
  <si>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</si>
  <si>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</si>
  <si>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</si>
  <si>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</si>
  <si>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</si>
  <si>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</si>
  <si>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</si>
  <si>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</si>
  <si>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</si>
  <si>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</si>
  <si>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</si>
  <si>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</si>
  <si>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</si>
  <si>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</si>
  <si>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</si>
  <si>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</si>
  <si>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</si>
  <si>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</si>
  <si>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</si>
  <si>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</si>
  <si>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</si>
  <si>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</si>
  <si>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</si>
  <si>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</si>
  <si>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</si>
  <si>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</si>
  <si>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</si>
  <si>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</si>
  <si>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</si>
  <si>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</si>
  <si>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</si>
  <si>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</si>
  <si>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</si>
  <si>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</si>
  <si>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</si>
  <si>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</si>
  <si>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</si>
  <si>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</si>
  <si>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</si>
  <si>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</si>
  <si>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</si>
  <si>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</si>
  <si>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</si>
  <si>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</si>
  <si>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</si>
  <si>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</si>
  <si>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</si>
  <si>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</si>
  <si>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</si>
  <si>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</si>
  <si>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</si>
  <si>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</si>
  <si>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</si>
  <si>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</si>
  <si>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</si>
  <si>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</si>
  <si>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</si>
  <si>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</si>
  <si>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</si>
  <si>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</si>
  <si>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</si>
  <si>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</si>
  <si>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</si>
  <si>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</si>
  <si>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</si>
  <si>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</si>
  <si>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</si>
  <si>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</si>
  <si>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</si>
  <si>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</si>
  <si>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</si>
  <si>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</si>
  <si>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</si>
  <si>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</si>
  <si>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</si>
  <si>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</si>
  <si>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</si>
  <si>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</si>
  <si>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</si>
  <si>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</si>
  <si>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</si>
  <si>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</si>
  <si>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</si>
  <si>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</si>
  <si>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</si>
  <si>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</si>
  <si>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</si>
  <si>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</si>
  <si>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</si>
  <si>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</si>
  <si>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</si>
  <si>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</si>
  <si>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</si>
  <si>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</si>
  <si>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</si>
  <si>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</si>
  <si>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</si>
  <si>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</si>
  <si>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</si>
  <si>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</si>
  <si>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</si>
  <si>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</si>
  <si>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</si>
  <si>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</si>
  <si>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</si>
  <si>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</si>
  <si>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</si>
  <si>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</si>
  <si>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</si>
  <si>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</si>
  <si>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</si>
  <si>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</si>
  <si>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</si>
  <si>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</si>
  <si>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</si>
  <si>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</si>
  <si>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</si>
  <si>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</si>
  <si>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</si>
  <si>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</si>
  <si>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</si>
  <si>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</si>
  <si>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</si>
  <si>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</si>
  <si>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</si>
  <si>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</si>
  <si>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</si>
  <si>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</si>
  <si>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</si>
  <si>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</si>
  <si>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</si>
  <si>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</si>
  <si>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</si>
  <si>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</si>
  <si>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</si>
  <si>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</si>
  <si>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</si>
  <si>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</si>
  <si>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</si>
  <si>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</si>
  <si>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</si>
  <si>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</si>
  <si>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</si>
  <si>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</si>
  <si>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</si>
  <si>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</si>
  <si>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</si>
  <si>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</si>
  <si>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</si>
  <si>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</si>
  <si>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</si>
  <si>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</si>
  <si>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</si>
  <si>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</si>
  <si>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</si>
  <si>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</si>
  <si>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</si>
  <si>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</si>
  <si>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</si>
  <si>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</si>
  <si>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</si>
  <si>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</si>
  <si>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</si>
  <si>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</si>
  <si>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</si>
  <si>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</si>
  <si>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</si>
  <si>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</si>
  <si>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</si>
  <si>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</si>
  <si>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</si>
  <si>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</si>
  <si>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</si>
  <si>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</si>
  <si>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</si>
  <si>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</si>
  <si>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</si>
  <si>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</si>
  <si>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</si>
  <si>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</si>
  <si>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</si>
  <si>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</si>
  <si>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</si>
  <si>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</si>
  <si>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</si>
  <si>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</si>
  <si>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</si>
  <si>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</si>
  <si>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</si>
  <si>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</si>
  <si>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</si>
  <si>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</si>
  <si>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</si>
  <si>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</si>
  <si>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</si>
  <si>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</si>
  <si>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</si>
  <si>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</si>
  <si>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</si>
  <si>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</si>
  <si>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</si>
  <si>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</si>
  <si>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</si>
  <si>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</si>
  <si>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</si>
  <si>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</si>
  <si>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</si>
  <si>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</si>
  <si>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</si>
  <si>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</si>
  <si>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</si>
  <si>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</si>
  <si>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</si>
  <si>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</si>
  <si>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</si>
  <si>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</si>
  <si>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</si>
  <si>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</si>
  <si>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</si>
  <si>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</si>
  <si>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</si>
  <si>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</si>
  <si>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</si>
  <si>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</si>
  <si>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</si>
  <si>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</si>
  <si>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</si>
  <si>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</si>
  <si>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</si>
  <si>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</si>
  <si>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</si>
  <si>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</si>
  <si>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</si>
  <si>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</si>
  <si>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</si>
  <si>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</si>
  <si>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</si>
  <si>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</si>
  <si>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</si>
  <si>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</si>
  <si>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</si>
  <si>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</si>
  <si>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</si>
  <si>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</si>
  <si>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</si>
  <si>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</si>
  <si>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</si>
  <si>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</si>
  <si>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</si>
  <si>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</si>
  <si>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</si>
  <si>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</si>
  <si>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</si>
  <si>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</si>
  <si>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</si>
  <si>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</si>
  <si>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</si>
  <si>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</si>
  <si>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</si>
  <si>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</si>
  <si>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</si>
  <si>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</si>
  <si>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</si>
  <si>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</si>
  <si>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</si>
  <si>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</si>
  <si>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</si>
  <si>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</si>
  <si>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</si>
  <si>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</si>
  <si>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</si>
  <si>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</si>
  <si>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</si>
  <si>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</si>
  <si>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</si>
  <si>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</si>
  <si>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</si>
  <si>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</si>
  <si>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</si>
  <si>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</si>
  <si>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</si>
  <si>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</si>
  <si>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</si>
  <si>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</si>
  <si>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</si>
  <si>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</si>
  <si>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</si>
  <si>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</si>
  <si>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</si>
  <si>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</si>
  <si>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</si>
  <si>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</si>
  <si>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</si>
  <si>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</si>
  <si>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</si>
  <si>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</si>
  <si>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</si>
  <si>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</si>
  <si>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</si>
  <si>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</si>
  <si>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</si>
  <si>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</si>
  <si>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</si>
  <si>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</si>
  <si>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</si>
  <si>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</si>
  <si>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</si>
  <si>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</si>
  <si>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</si>
  <si>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</si>
  <si>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</si>
  <si>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</si>
  <si>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</si>
  <si>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</si>
  <si>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</si>
  <si>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</si>
  <si>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</si>
  <si>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</si>
  <si>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</si>
  <si>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</si>
  <si>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</si>
  <si>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</si>
  <si>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</si>
  <si>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</si>
  <si>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</si>
  <si>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</si>
  <si>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</si>
  <si>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</si>
  <si>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</si>
  <si>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</si>
  <si>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</si>
  <si>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</si>
  <si>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</si>
  <si>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</si>
  <si>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</si>
  <si>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</si>
  <si>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</si>
  <si>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</si>
  <si>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</si>
  <si>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</si>
  <si>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</si>
  <si>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</si>
  <si>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</si>
  <si>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</si>
  <si>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</si>
  <si>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</si>
  <si>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</si>
  <si>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</si>
  <si>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</si>
  <si>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</si>
  <si>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</si>
  <si>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</si>
  <si>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</si>
  <si>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</si>
  <si>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</si>
  <si>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</si>
  <si>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</si>
  <si>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</si>
  <si>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</si>
  <si>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</si>
  <si>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</si>
  <si>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</si>
  <si>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</si>
  <si>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</si>
  <si>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</si>
  <si>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</si>
  <si>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</si>
  <si>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</si>
  <si>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</si>
  <si>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</si>
  <si>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</si>
  <si>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</si>
  <si>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</si>
  <si>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</si>
  <si>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</si>
  <si>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</si>
  <si>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</si>
  <si>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</si>
  <si>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</si>
  <si>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</si>
  <si>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</si>
  <si>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</si>
  <si>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</si>
  <si>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</si>
  <si>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</si>
  <si>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</si>
  <si>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</si>
  <si>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</si>
  <si>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</si>
  <si>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</si>
  <si>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</si>
  <si>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</si>
  <si>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</si>
  <si>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</si>
  <si>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</si>
  <si>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</si>
  <si>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</si>
  <si>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</si>
  <si>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</si>
  <si>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</si>
  <si>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</si>
  <si>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</si>
  <si>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</si>
  <si>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</si>
  <si>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</si>
  <si>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</si>
  <si>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</si>
  <si>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</si>
  <si>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</si>
  <si>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</si>
  <si>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</si>
  <si>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</si>
  <si>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</si>
  <si>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</si>
  <si>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</si>
  <si>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</si>
  <si>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</si>
  <si>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</si>
  <si>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</si>
  <si>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</si>
  <si>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</si>
  <si>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</si>
  <si>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</si>
  <si>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</si>
  <si>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</si>
  <si>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</si>
  <si>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</si>
  <si>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</si>
  <si>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</si>
  <si>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</si>
  <si>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</si>
  <si>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</si>
  <si>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</si>
  <si>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</si>
  <si>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</si>
  <si>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</si>
  <si>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</si>
  <si>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</si>
  <si>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</si>
  <si>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</si>
  <si>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</si>
  <si>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</si>
  <si>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</si>
  <si>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</si>
  <si>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</si>
  <si>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</si>
  <si>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</si>
  <si>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</si>
  <si>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</si>
  <si>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</si>
  <si>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</si>
  <si>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</si>
  <si>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</si>
  <si>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</si>
  <si>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</si>
  <si>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</si>
  <si>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</si>
  <si>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</si>
  <si>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</si>
  <si>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</si>
  <si>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</si>
  <si>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</si>
  <si>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</si>
  <si>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</si>
  <si>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</si>
  <si>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</si>
  <si>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</si>
  <si>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</si>
  <si>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</si>
  <si>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</si>
  <si>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</si>
  <si>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</si>
  <si>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</si>
  <si>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</si>
  <si>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</si>
  <si>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</si>
  <si>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</si>
  <si>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</si>
  <si>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</si>
  <si>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</si>
  <si>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</si>
  <si>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</si>
  <si>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</si>
  <si>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</si>
  <si>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</si>
  <si>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</si>
  <si>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</si>
  <si>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</si>
  <si>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</si>
  <si>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</si>
  <si>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</si>
  <si>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</si>
  <si>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</si>
  <si>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</si>
  <si>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</si>
  <si>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</si>
  <si>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</si>
  <si>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</si>
  <si>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</si>
  <si>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</si>
  <si>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</si>
  <si>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</si>
  <si>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</si>
  <si>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</si>
  <si>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</si>
  <si>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</si>
  <si>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</si>
  <si>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</si>
  <si>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</si>
  <si>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</si>
  <si>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</si>
  <si>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</si>
  <si>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</si>
  <si>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</si>
  <si>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</si>
  <si>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</si>
  <si>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</si>
  <si>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</si>
  <si>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</si>
  <si>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</si>
  <si>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</si>
  <si>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</si>
  <si>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</si>
  <si>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</si>
  <si>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</si>
  <si>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</si>
  <si>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</si>
  <si>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</si>
  <si>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</si>
  <si>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</si>
  <si>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</si>
  <si>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</si>
  <si>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</si>
  <si>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</si>
  <si>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</si>
  <si>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</si>
  <si>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</si>
  <si>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</si>
  <si>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</si>
  <si>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</si>
  <si>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</si>
  <si>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</si>
  <si>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</si>
  <si>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</si>
  <si>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</si>
  <si>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</si>
  <si>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</si>
  <si>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</si>
  <si>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</si>
  <si>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</si>
  <si>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</si>
  <si>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</si>
  <si>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</si>
  <si>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</si>
  <si>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</si>
  <si>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</si>
  <si>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</si>
  <si>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</si>
  <si>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</si>
  <si>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</si>
  <si>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</si>
  <si>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</si>
  <si>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</si>
  <si>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</si>
  <si>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</si>
  <si>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</si>
  <si>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</si>
  <si>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</si>
  <si>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</si>
  <si>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</si>
  <si>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</si>
  <si>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</si>
  <si>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</si>
  <si>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</si>
  <si>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</si>
  <si>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</si>
  <si>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</si>
  <si>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</si>
  <si>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</si>
  <si>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</si>
  <si>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</si>
  <si>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</si>
  <si>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</si>
  <si>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</si>
  <si>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</si>
  <si>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</si>
  <si>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</si>
  <si>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</si>
  <si>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</si>
  <si>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</si>
  <si>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</si>
  <si>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</si>
  <si>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</si>
  <si>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</si>
  <si>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</si>
  <si>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</si>
  <si>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</si>
  <si>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</si>
  <si>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</si>
  <si>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</si>
  <si>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</si>
  <si>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</si>
  <si>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</si>
  <si>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</si>
  <si>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</si>
  <si>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</si>
  <si>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</si>
  <si>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</si>
  <si>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</si>
  <si>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</si>
  <si>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</si>
  <si>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</si>
  <si>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</si>
  <si>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</si>
  <si>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</si>
  <si>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</si>
  <si>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</si>
  <si>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</si>
  <si>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</si>
  <si>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</si>
  <si>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</si>
  <si>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</si>
  <si>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</si>
  <si>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</si>
  <si>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</si>
  <si>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</si>
  <si>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</si>
  <si>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</si>
  <si>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</si>
  <si>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</si>
  <si>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</si>
  <si>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</si>
  <si>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</si>
  <si>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</si>
  <si>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</si>
  <si>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</si>
  <si>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</si>
  <si>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</si>
  <si>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</si>
  <si>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</si>
  <si>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</si>
  <si>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</si>
  <si>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</si>
  <si>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</si>
  <si>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</si>
  <si>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</si>
  <si>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</si>
  <si>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</si>
  <si>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</si>
  <si>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</si>
  <si>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</si>
  <si>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</si>
  <si>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</si>
  <si>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</si>
  <si>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</si>
  <si>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</si>
  <si>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</si>
  <si>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</si>
  <si>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</si>
  <si>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</si>
  <si>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</si>
  <si>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</si>
  <si>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</si>
  <si>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</si>
  <si>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</si>
  <si>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</si>
  <si>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</si>
  <si>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</si>
  <si>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</si>
  <si>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</si>
  <si>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</si>
  <si>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</si>
  <si>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</si>
  <si>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</si>
  <si>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</si>
  <si>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</si>
  <si>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</si>
  <si>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</si>
  <si>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</si>
  <si>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</si>
  <si>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</si>
  <si>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</si>
  <si>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</si>
  <si>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</si>
  <si>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</si>
  <si>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</si>
  <si>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</si>
  <si>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</si>
  <si>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</si>
  <si>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</si>
  <si>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</si>
  <si>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</si>
  <si>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</si>
  <si>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</si>
  <si>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</si>
  <si>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</si>
  <si>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</si>
  <si>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</si>
  <si>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</si>
  <si>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</si>
  <si>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</si>
  <si>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</si>
  <si>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</si>
  <si>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</si>
  <si>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</si>
  <si>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</si>
  <si>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</si>
  <si>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</si>
  <si>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</si>
  <si>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</si>
  <si>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</si>
  <si>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</si>
  <si>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</si>
  <si>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</si>
  <si>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</si>
  <si>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</si>
  <si>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</si>
  <si>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</si>
  <si>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</si>
  <si>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</si>
  <si>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</si>
  <si>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</si>
  <si>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</si>
  <si>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</si>
  <si>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</si>
  <si>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</si>
  <si>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</si>
  <si>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</si>
  <si>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</si>
  <si>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</si>
  <si>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</si>
  <si>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</si>
  <si>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</si>
  <si>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</si>
  <si>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</si>
  <si>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</si>
  <si>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</si>
  <si>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</si>
  <si>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</si>
  <si>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</si>
  <si>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</si>
  <si>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</si>
  <si>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</si>
  <si>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</si>
  <si>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</si>
  <si>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</si>
  <si>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</si>
  <si>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</si>
  <si>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</si>
  <si>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</si>
  <si>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</si>
  <si>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</si>
  <si>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</si>
  <si>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</si>
  <si>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</si>
  <si>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</si>
  <si>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</si>
  <si>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</si>
  <si>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</si>
  <si>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</si>
  <si>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</si>
  <si>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</si>
  <si>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</si>
  <si>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</si>
  <si>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</si>
  <si>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</si>
  <si>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</si>
  <si>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</si>
  <si>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</si>
  <si>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</si>
  <si>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</si>
  <si>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</si>
  <si>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</si>
  <si>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</si>
  <si>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</si>
  <si>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</si>
  <si>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</si>
  <si>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</si>
  <si>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</si>
  <si>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</si>
  <si>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</si>
  <si>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</si>
  <si>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</si>
  <si>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</si>
  <si>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</si>
  <si>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</si>
  <si>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</si>
  <si>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</si>
  <si>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</si>
  <si>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</si>
  <si>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</si>
  <si>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</si>
  <si>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</si>
  <si>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</si>
  <si>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</si>
  <si>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</si>
  <si>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</si>
  <si>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</si>
  <si>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</si>
  <si>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</si>
  <si>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</si>
  <si>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</si>
  <si>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</si>
  <si>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</si>
  <si>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</si>
  <si>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</si>
  <si>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</si>
  <si>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</si>
  <si>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</si>
  <si>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</si>
  <si>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</si>
  <si>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</si>
  <si>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</si>
  <si>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</si>
  <si>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</si>
  <si>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</si>
  <si>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</si>
  <si>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</si>
  <si>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</si>
  <si>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</si>
  <si>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</si>
  <si>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</si>
  <si>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</si>
  <si>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</si>
  <si>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</si>
  <si>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</si>
  <si>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</si>
  <si>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</si>
  <si>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</si>
  <si>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</si>
  <si>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</si>
  <si>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</si>
  <si>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</si>
  <si>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</si>
  <si>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</si>
  <si>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</si>
  <si>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</si>
  <si>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</si>
  <si>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</si>
  <si>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</si>
  <si>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</si>
  <si>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</si>
  <si>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</si>
  <si>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</si>
  <si>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</si>
  <si>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</si>
  <si>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</si>
  <si>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</si>
  <si>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</si>
  <si>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</si>
  <si>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</si>
  <si>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</si>
  <si>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</si>
  <si>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</si>
  <si>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</si>
  <si>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</si>
  <si>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</si>
  <si>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</si>
  <si>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</si>
  <si>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</si>
  <si>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</si>
  <si>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</si>
  <si>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</si>
  <si>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</si>
  <si>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</si>
  <si>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</si>
  <si>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</si>
  <si>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</si>
  <si>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</si>
  <si>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</si>
  <si>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</si>
  <si>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</si>
  <si>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</si>
  <si>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</si>
  <si>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</si>
  <si>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</si>
  <si>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</si>
  <si>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</si>
  <si>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</si>
  <si>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</si>
  <si>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</si>
  <si>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</si>
  <si>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</si>
  <si>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</si>
  <si>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</si>
  <si>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</si>
  <si>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</si>
  <si>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</si>
  <si>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</si>
  <si>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</si>
  <si>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</si>
  <si>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</si>
  <si>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</si>
  <si>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</si>
  <si>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</si>
  <si>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</si>
  <si>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</si>
  <si>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</si>
  <si>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</si>
  <si>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</si>
  <si>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</si>
  <si>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</si>
  <si>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</si>
  <si>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</si>
  <si>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</si>
  <si>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</si>
  <si>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</si>
  <si>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</si>
  <si>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</si>
  <si>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</si>
  <si>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</si>
  <si>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</si>
  <si>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</si>
  <si>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</si>
  <si>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</si>
  <si>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</si>
  <si>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</si>
  <si>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</si>
  <si>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</si>
  <si>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</si>
  <si>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</si>
  <si>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</si>
  <si>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</si>
  <si>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</si>
  <si>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</si>
  <si>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</si>
  <si>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</si>
  <si>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</si>
  <si>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</si>
  <si>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</si>
  <si>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</si>
  <si>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</si>
  <si>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</si>
  <si>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</si>
  <si>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</si>
  <si>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</si>
  <si>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</si>
  <si>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</si>
  <si>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</si>
  <si>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</si>
  <si>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</si>
  <si>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</si>
  <si>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</si>
  <si>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</si>
  <si>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</si>
  <si>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</si>
  <si>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</si>
  <si>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</si>
  <si>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</si>
  <si>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</si>
  <si>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</si>
  <si>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</si>
  <si>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</si>
  <si>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</si>
  <si>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</si>
  <si>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</si>
  <si>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</si>
  <si>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</si>
  <si>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</si>
  <si>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</si>
  <si>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</si>
  <si>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</si>
  <si>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</si>
  <si>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</si>
  <si>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</si>
  <si>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</si>
  <si>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</si>
  <si>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</si>
  <si>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</si>
  <si>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</si>
  <si>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</si>
  <si>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</si>
  <si>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</si>
  <si>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</si>
  <si>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</si>
  <si>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</si>
  <si>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</si>
  <si>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</si>
  <si>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</si>
  <si>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</si>
  <si>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</si>
  <si>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</si>
  <si>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</si>
  <si>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</si>
  <si>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</si>
  <si>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</si>
  <si>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</si>
  <si>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</si>
  <si>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</si>
  <si>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</si>
  <si>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</si>
  <si>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</si>
  <si>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</si>
  <si>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</si>
  <si>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</si>
  <si>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</si>
  <si>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</si>
  <si>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</si>
  <si>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</si>
  <si>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</si>
  <si>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</si>
  <si>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</si>
  <si>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</si>
  <si>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</si>
  <si>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</si>
  <si>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</si>
  <si>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</si>
  <si>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</si>
  <si>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</si>
  <si>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</si>
  <si>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</si>
  <si>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</si>
  <si>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</si>
  <si>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</si>
  <si>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</si>
  <si>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</si>
  <si>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</si>
  <si>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</si>
  <si>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</si>
  <si>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</si>
  <si>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</si>
  <si>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</si>
  <si>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</si>
  <si>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</si>
  <si>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</si>
  <si>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</si>
  <si>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</si>
  <si>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</si>
  <si>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</si>
  <si>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</si>
  <si>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</si>
  <si>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</si>
  <si>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</si>
  <si>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</si>
  <si>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</si>
  <si>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</si>
  <si>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</si>
  <si>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</si>
  <si>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</si>
  <si>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</si>
  <si>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</si>
  <si>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</si>
  <si>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</si>
  <si>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</si>
  <si>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</si>
  <si>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</si>
  <si>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</si>
  <si>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</si>
  <si>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</si>
  <si>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</si>
  <si>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</si>
  <si>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</si>
  <si>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</si>
  <si>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</si>
  <si>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</si>
  <si>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</si>
  <si>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</si>
  <si>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</si>
  <si>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</si>
  <si>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</si>
  <si>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</si>
  <si>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</si>
  <si>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</si>
  <si>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</si>
  <si>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</si>
  <si>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</si>
  <si>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</si>
  <si>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</si>
  <si>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</si>
  <si>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</si>
  <si>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</si>
  <si>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</si>
  <si>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</si>
  <si>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</si>
  <si>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</si>
  <si>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</si>
  <si>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</si>
  <si>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</si>
  <si>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</si>
  <si>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</si>
  <si>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</si>
  <si>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</si>
  <si>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</si>
  <si>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</si>
  <si>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</si>
  <si>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</si>
  <si>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</si>
  <si>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</si>
  <si>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</si>
  <si>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</si>
  <si>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</si>
  <si>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</si>
  <si>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</si>
  <si>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</si>
  <si>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</si>
  <si>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</si>
  <si>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</si>
  <si>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</si>
  <si>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</si>
  <si>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</si>
  <si>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</si>
  <si>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</si>
  <si>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</si>
  <si>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</si>
  <si>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</si>
  <si>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</si>
  <si>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</si>
  <si>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</si>
  <si>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</si>
  <si>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</si>
  <si>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</si>
  <si>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</si>
  <si>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</si>
  <si>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</si>
  <si>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</si>
  <si>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</si>
  <si>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</si>
  <si>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</si>
  <si>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</si>
  <si>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</si>
  <si>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</si>
  <si>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</si>
  <si>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</si>
  <si>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</si>
  <si>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</si>
  <si>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</si>
  <si>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</si>
  <si>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</si>
  <si>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</si>
  <si>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</si>
  <si>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</si>
  <si>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</si>
  <si>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</si>
  <si>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</si>
  <si>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</si>
  <si>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</si>
  <si>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</si>
  <si>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</si>
  <si>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</si>
  <si>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</si>
  <si>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</si>
  <si>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</si>
  <si>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</si>
  <si>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</si>
  <si>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</si>
  <si>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</si>
  <si>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</si>
  <si>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</si>
  <si>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</si>
  <si>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</si>
  <si>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</si>
  <si>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</si>
  <si>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</si>
  <si>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</si>
  <si>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</si>
  <si>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</si>
  <si>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</si>
  <si>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</si>
  <si>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</si>
  <si>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</si>
  <si>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</si>
  <si>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</si>
  <si>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</si>
  <si>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</si>
  <si>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</si>
  <si>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</si>
  <si>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</si>
  <si>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</si>
  <si>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</si>
  <si>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</si>
  <si>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</si>
  <si>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</si>
  <si>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</si>
  <si>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</si>
  <si>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</si>
  <si>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</si>
  <si>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</si>
  <si>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</si>
  <si>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</si>
  <si>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</si>
  <si>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</si>
  <si>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</si>
  <si>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</si>
  <si>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</si>
  <si>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</si>
  <si>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</si>
  <si>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</si>
  <si>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</si>
  <si>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</si>
  <si>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</si>
  <si>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</si>
  <si>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</si>
  <si>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</si>
  <si>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</si>
  <si>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</si>
  <si>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</si>
  <si>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</si>
  <si>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</si>
  <si>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</si>
  <si>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</si>
  <si>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</si>
  <si>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</si>
  <si>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</si>
  <si>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</si>
  <si>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</si>
  <si>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</si>
  <si>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</si>
  <si>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</si>
  <si>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</si>
  <si>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</si>
  <si>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</si>
  <si>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</si>
  <si>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</si>
  <si>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</si>
  <si>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</si>
  <si>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</si>
  <si>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</si>
  <si>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</si>
  <si>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</si>
  <si>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</si>
  <si>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</si>
  <si>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</si>
  <si>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</si>
  <si>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</si>
  <si>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</si>
  <si>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</si>
  <si>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</si>
  <si>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</si>
  <si>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</si>
  <si>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</si>
  <si>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</si>
  <si>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</si>
  <si>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</si>
  <si>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</si>
  <si>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</si>
  <si>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</si>
  <si>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</si>
  <si>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</si>
  <si>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</si>
  <si>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</si>
  <si>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</si>
  <si>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</si>
  <si>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</si>
  <si>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</si>
  <si>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</si>
  <si>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</si>
  <si>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</si>
  <si>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</si>
  <si>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</si>
  <si>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</si>
  <si>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</si>
  <si>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</si>
  <si>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</si>
  <si>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</si>
  <si>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</si>
  <si>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</si>
  <si>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</si>
  <si>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</si>
  <si>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</si>
  <si>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</si>
  <si>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</si>
  <si>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</si>
  <si>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</si>
  <si>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</si>
  <si>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</si>
  <si>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</si>
  <si>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</si>
  <si>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</si>
  <si>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</si>
  <si>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</si>
  <si>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</si>
  <si>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</si>
  <si>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</si>
  <si>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</si>
  <si>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</si>
  <si>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</si>
  <si>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</si>
  <si>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</si>
  <si>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</si>
  <si>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</si>
  <si>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</si>
  <si>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</si>
  <si>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</si>
  <si>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</si>
  <si>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</si>
  <si>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</si>
  <si>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</si>
  <si>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</si>
  <si>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</si>
  <si>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</si>
  <si>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</si>
  <si>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</si>
  <si>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</si>
  <si>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</si>
  <si>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</si>
  <si>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</si>
  <si>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</si>
  <si>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</si>
  <si>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</si>
  <si>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</si>
  <si>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</si>
  <si>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</si>
  <si>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</si>
  <si>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</si>
  <si>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</si>
  <si>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</si>
  <si>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</si>
  <si>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</si>
  <si>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</si>
  <si>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</si>
  <si>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</si>
  <si>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</si>
  <si>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</si>
  <si>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</si>
  <si>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</si>
  <si>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</si>
  <si>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</si>
  <si>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</si>
  <si>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</si>
  <si>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</si>
  <si>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</si>
  <si>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</si>
  <si>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</si>
  <si>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</si>
  <si>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</si>
  <si>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</si>
  <si>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</si>
  <si>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</si>
  <si>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</si>
  <si>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</si>
  <si>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</si>
  <si>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</si>
  <si>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</si>
  <si>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</si>
  <si>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</si>
  <si>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</si>
  <si>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</si>
  <si>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</si>
  <si>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</si>
  <si>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</si>
  <si>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</si>
  <si>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</si>
  <si>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</si>
  <si>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</si>
  <si>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</si>
  <si>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</si>
  <si>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</si>
  <si>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</si>
  <si>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</si>
  <si>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</si>
  <si>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</si>
  <si>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</si>
  <si>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</si>
  <si>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</si>
  <si>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</si>
  <si>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</si>
  <si>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</si>
  <si>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</si>
  <si>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</si>
  <si>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</si>
  <si>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</si>
  <si>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</si>
  <si>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</si>
  <si>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</si>
  <si>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</si>
  <si>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</si>
  <si>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</si>
  <si>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</si>
  <si>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</si>
  <si>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</si>
  <si>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</si>
  <si>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</si>
  <si>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</si>
  <si>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</si>
  <si>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</si>
  <si>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</si>
  <si>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</si>
  <si>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</si>
  <si>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</si>
  <si>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</si>
  <si>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</si>
  <si>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</si>
  <si>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</si>
  <si>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</si>
  <si>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</si>
  <si>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</si>
  <si>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</si>
  <si>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</si>
  <si>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</si>
  <si>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</si>
  <si>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</si>
  <si>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</si>
  <si>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</si>
  <si>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</si>
  <si>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</si>
  <si>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</si>
  <si>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</si>
  <si>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</si>
  <si>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</si>
  <si>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</si>
  <si>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</si>
  <si>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</si>
  <si>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</si>
  <si>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</si>
  <si>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</si>
  <si>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</si>
  <si>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</si>
  <si>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</si>
  <si>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</si>
  <si>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</si>
  <si>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</si>
  <si>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</si>
  <si>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</si>
  <si>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</si>
  <si>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</si>
  <si>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</si>
  <si>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</si>
  <si>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</si>
  <si>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</si>
  <si>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</si>
  <si>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</si>
  <si>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</si>
  <si>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</si>
  <si>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</si>
  <si>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</si>
  <si>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</si>
  <si>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</si>
  <si>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</si>
  <si>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</si>
  <si>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</si>
  <si>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</si>
  <si>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</si>
  <si>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</si>
  <si>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</si>
  <si>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</si>
  <si>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</si>
  <si>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</si>
  <si>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</si>
  <si>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</si>
  <si>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</si>
  <si>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</si>
  <si>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</si>
  <si>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</si>
  <si>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</si>
  <si>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</si>
  <si>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</si>
  <si>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</si>
  <si>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</si>
  <si>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</si>
  <si>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</si>
  <si>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</si>
  <si>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</si>
  <si>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</si>
  <si>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</si>
  <si>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</si>
  <si>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</si>
  <si>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</si>
  <si>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</si>
  <si>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</si>
  <si>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</si>
  <si>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</si>
  <si>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</si>
  <si>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</si>
  <si>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</si>
  <si>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</si>
  <si>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</si>
  <si>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</si>
  <si>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</si>
  <si>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</si>
  <si>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</si>
  <si>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</si>
  <si>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</si>
  <si>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</si>
  <si>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</si>
  <si>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</si>
  <si>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</si>
  <si>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</si>
  <si>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</si>
  <si>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</si>
  <si>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</si>
  <si>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</si>
  <si>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</si>
  <si>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</si>
  <si>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</si>
  <si>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</si>
  <si>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</si>
  <si>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</si>
  <si>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</si>
  <si>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</si>
  <si>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</si>
  <si>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</si>
  <si>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</si>
  <si>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</si>
  <si>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</si>
  <si>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</si>
  <si>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</si>
  <si>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</si>
  <si>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</si>
  <si>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</si>
  <si>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</si>
  <si>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</si>
  <si>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</si>
  <si>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</si>
  <si>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</si>
  <si>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</si>
  <si>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</si>
  <si>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</si>
  <si>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</si>
  <si>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</si>
  <si>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</si>
  <si>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</si>
  <si>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</si>
  <si>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</si>
  <si>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</si>
  <si>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</si>
  <si>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</si>
  <si>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</si>
  <si>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</si>
  <si>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</si>
  <si>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</si>
  <si>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</si>
  <si>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</si>
  <si>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</si>
  <si>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</si>
  <si>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</si>
  <si>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</si>
  <si>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</si>
  <si>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</si>
  <si>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</si>
  <si>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</si>
  <si>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</si>
  <si>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</si>
  <si>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</si>
  <si>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</si>
  <si>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</si>
  <si>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</si>
  <si>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</si>
  <si>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</si>
  <si>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</si>
  <si>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</si>
  <si>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</si>
  <si>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</si>
  <si>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</si>
  <si>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</si>
  <si>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</si>
  <si>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</si>
  <si>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</si>
  <si>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</si>
  <si>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</si>
  <si>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</si>
  <si>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</si>
  <si>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</si>
  <si>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</si>
  <si>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</si>
  <si>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</si>
  <si>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</si>
  <si>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</si>
  <si>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</si>
  <si>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</si>
  <si>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</si>
  <si>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</si>
  <si>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</si>
  <si>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</si>
  <si>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</si>
  <si>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</si>
  <si>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</si>
  <si>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</si>
  <si>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</si>
  <si>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</si>
  <si>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</si>
  <si>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</si>
  <si>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</si>
  <si>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</si>
  <si>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</si>
  <si>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</si>
  <si>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</si>
  <si>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</si>
  <si>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</si>
  <si>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</si>
  <si>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</si>
  <si>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</si>
  <si>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</si>
  <si>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</si>
  <si>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</si>
  <si>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</si>
  <si>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</si>
  <si>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</si>
  <si>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</si>
  <si>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</si>
  <si>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</si>
  <si>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</si>
  <si>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</si>
  <si>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</si>
  <si>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</si>
  <si>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</si>
  <si>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</si>
  <si>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</si>
  <si>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</si>
  <si>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</si>
  <si>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</si>
  <si>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</si>
  <si>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</si>
  <si>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</si>
  <si>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</si>
  <si>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</si>
  <si>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</si>
  <si>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</si>
  <si>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</si>
  <si>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</si>
  <si>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</si>
  <si>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</si>
  <si>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</si>
  <si>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</si>
  <si>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</si>
  <si>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</si>
  <si>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</si>
  <si>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</si>
  <si>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</si>
  <si>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</si>
  <si>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</si>
  <si>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</si>
  <si>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</si>
  <si>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</si>
  <si>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</si>
  <si>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</si>
  <si>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</si>
  <si>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</si>
  <si>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</si>
  <si>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</si>
  <si>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</si>
  <si>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</si>
  <si>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</si>
  <si>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</si>
  <si>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</si>
  <si>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</si>
  <si>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</si>
  <si>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</si>
  <si>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</si>
  <si>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</si>
  <si>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</si>
  <si>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</si>
  <si>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</si>
  <si>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</si>
  <si>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</si>
  <si>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</si>
  <si>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</si>
  <si>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</si>
  <si>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</si>
  <si>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</si>
  <si>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</si>
  <si>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</si>
  <si>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</si>
  <si>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</si>
  <si>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</si>
  <si>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</si>
  <si>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</si>
  <si>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</si>
  <si>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</si>
  <si>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</si>
  <si>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</si>
  <si>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</si>
  <si>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</si>
  <si>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</si>
  <si>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</si>
  <si>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</si>
  <si>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</si>
  <si>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</si>
  <si>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</si>
  <si>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</si>
  <si>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</si>
  <si>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</si>
  <si>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</si>
  <si>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</si>
  <si>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</si>
  <si>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</si>
  <si>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</si>
  <si>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</si>
  <si>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</si>
  <si>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</si>
  <si>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</si>
  <si>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</si>
  <si>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</si>
  <si>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</si>
  <si>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</si>
  <si>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</si>
  <si>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</si>
  <si>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</si>
  <si>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</si>
  <si>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</si>
  <si>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</si>
  <si>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</si>
  <si>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</si>
  <si>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</si>
  <si>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</si>
  <si>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</si>
  <si>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</si>
  <si>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</si>
  <si>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</si>
  <si>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</si>
  <si>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</si>
  <si>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</si>
  <si>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</si>
  <si>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</si>
  <si>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</si>
  <si>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</si>
  <si>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</si>
  <si>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</si>
  <si>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</si>
  <si>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</si>
  <si>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</si>
  <si>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</si>
  <si>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</si>
  <si>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</si>
  <si>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</si>
  <si>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</si>
  <si>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</si>
  <si>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</si>
  <si>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</si>
  <si>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</si>
  <si>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</si>
  <si>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</si>
  <si>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</si>
  <si>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</si>
  <si>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</si>
  <si>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</si>
  <si>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</si>
  <si>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</si>
  <si>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</si>
  <si>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</si>
  <si>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</si>
  <si>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</si>
  <si>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</si>
  <si>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</si>
  <si>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</si>
  <si>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</si>
  <si>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</si>
  <si>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</si>
  <si>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</si>
  <si>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</si>
  <si>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</si>
  <si>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</si>
  <si>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</si>
  <si>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</si>
  <si>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</si>
  <si>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</si>
  <si>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</si>
  <si>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</si>
  <si>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</si>
  <si>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</si>
  <si>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</si>
  <si>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</si>
  <si>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</si>
  <si>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</si>
  <si>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</si>
  <si>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</si>
  <si>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</si>
  <si>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</si>
  <si>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</si>
  <si>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</si>
  <si>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</si>
  <si>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</si>
  <si>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</si>
  <si>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</si>
  <si>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</si>
  <si>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</si>
  <si>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</si>
  <si>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</si>
  <si>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</si>
  <si>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</si>
  <si>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</si>
  <si>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</si>
  <si>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</si>
  <si>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</si>
  <si>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</si>
  <si>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</si>
  <si>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</si>
  <si>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</si>
  <si>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</si>
  <si>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</si>
  <si>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</si>
  <si>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</si>
  <si>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</si>
  <si>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</si>
  <si>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</si>
  <si>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</si>
  <si>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</si>
  <si>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</si>
  <si>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</si>
  <si>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</si>
  <si>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</si>
  <si>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</si>
  <si>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</si>
  <si>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</si>
  <si>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</si>
  <si>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</si>
  <si>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</si>
  <si>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</si>
  <si>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</si>
  <si>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</si>
  <si>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</si>
  <si>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</si>
  <si>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</si>
  <si>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</si>
  <si>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</si>
  <si>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</si>
  <si>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</si>
  <si>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</si>
  <si>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</si>
  <si>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</si>
  <si>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</si>
  <si>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</si>
  <si>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</si>
  <si>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</si>
  <si>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</si>
  <si>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</si>
  <si>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</si>
  <si>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</si>
  <si>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</si>
  <si>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</si>
  <si>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</si>
  <si>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</si>
  <si>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</si>
  <si>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</si>
  <si>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</si>
  <si>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</si>
  <si>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</si>
  <si>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</si>
  <si>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</si>
  <si>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</si>
  <si>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</si>
  <si>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</si>
  <si>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</si>
  <si>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</si>
  <si>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</si>
  <si>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</si>
  <si>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</si>
  <si>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</si>
  <si>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</si>
  <si>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</si>
  <si>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</si>
  <si>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</si>
  <si>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</si>
  <si>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</si>
  <si>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</si>
  <si>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</si>
  <si>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</si>
  <si>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</si>
  <si>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</si>
  <si>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</si>
  <si>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</si>
  <si>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</si>
  <si>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</si>
  <si>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</si>
  <si>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</si>
  <si>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</si>
  <si>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</si>
  <si>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</si>
  <si>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</si>
  <si>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</si>
  <si>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</si>
  <si>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</si>
  <si>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</si>
  <si>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</si>
  <si>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</si>
  <si>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</si>
  <si>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</si>
  <si>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</si>
  <si>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</si>
  <si>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</si>
  <si>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</si>
  <si>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</si>
  <si>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</si>
  <si>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</si>
  <si>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</si>
  <si>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</si>
  <si>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</si>
  <si>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</si>
  <si>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</si>
  <si>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</si>
  <si>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</si>
  <si>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</si>
  <si>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</si>
  <si>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</si>
  <si>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</si>
  <si>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</si>
  <si>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</si>
  <si>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</si>
  <si>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</si>
  <si>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</si>
  <si>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</si>
  <si>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</si>
  <si>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</si>
  <si>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</si>
  <si>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</si>
  <si>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</si>
  <si>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</si>
  <si>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</si>
  <si>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</si>
  <si>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</si>
  <si>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</si>
  <si>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</si>
  <si>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</si>
  <si>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</si>
  <si>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</si>
  <si>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</si>
  <si>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</si>
  <si>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</si>
  <si>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</si>
  <si>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</si>
  <si>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</si>
  <si>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</si>
  <si>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</si>
  <si>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</si>
  <si>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</si>
  <si>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</si>
  <si>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</si>
  <si>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</si>
  <si>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</si>
  <si>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</si>
  <si>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</si>
  <si>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</si>
  <si>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</si>
  <si>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</si>
  <si>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</si>
  <si>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</si>
  <si>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</si>
  <si>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</si>
  <si>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</si>
  <si>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</si>
  <si>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</si>
  <si>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</si>
  <si>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</si>
  <si>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</si>
  <si>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</si>
  <si>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</si>
  <si>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</si>
  <si>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</si>
  <si>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</si>
  <si>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</si>
  <si>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</si>
  <si>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</si>
  <si>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</si>
  <si>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</si>
  <si>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</si>
  <si>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</si>
  <si>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</si>
  <si>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</si>
  <si>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</si>
  <si>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</si>
  <si>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</si>
  <si>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</si>
  <si>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</si>
  <si>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</si>
  <si>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</si>
  <si>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</si>
  <si>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</si>
  <si>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</si>
  <si>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</si>
  <si>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</si>
  <si>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</si>
  <si>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</si>
  <si>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</si>
  <si>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</si>
  <si>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</si>
  <si>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</si>
  <si>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</si>
  <si>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</si>
  <si>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</si>
  <si>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</si>
  <si>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</si>
  <si>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</si>
  <si>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</si>
  <si>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</si>
  <si>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</si>
  <si>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</si>
  <si>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</si>
  <si>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</si>
  <si>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</si>
  <si>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</si>
  <si>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</si>
  <si>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</si>
  <si>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</si>
  <si>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</si>
  <si>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</si>
  <si>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</si>
  <si>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</si>
  <si>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</si>
  <si>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</si>
  <si>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</si>
  <si>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</si>
  <si>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</si>
  <si>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</si>
  <si>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</si>
  <si>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</si>
  <si>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</si>
  <si>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</si>
  <si>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</si>
  <si>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</si>
  <si>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</si>
  <si>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</si>
  <si>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</si>
  <si>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</si>
  <si>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</si>
  <si>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</si>
  <si>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</si>
  <si>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</si>
  <si>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</si>
  <si>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</si>
  <si>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</si>
  <si>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</si>
  <si>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</si>
  <si>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</si>
  <si>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</si>
  <si>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</si>
  <si>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</si>
  <si>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</si>
  <si>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</si>
  <si>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</si>
  <si>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</si>
  <si>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</si>
  <si>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</si>
  <si>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</si>
  <si>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</si>
  <si>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</si>
  <si>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</si>
  <si>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</si>
  <si>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</si>
  <si>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</si>
  <si>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</si>
  <si>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</si>
  <si>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</si>
  <si>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</si>
  <si>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</si>
  <si>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</si>
  <si>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</si>
  <si>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</si>
  <si>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</si>
  <si>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</si>
  <si>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</si>
  <si>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</si>
  <si>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</si>
  <si>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</si>
  <si>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</si>
  <si>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</si>
  <si>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</si>
  <si>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</si>
  <si>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</si>
  <si>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</si>
  <si>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</si>
  <si>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</si>
  <si>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</si>
  <si>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</si>
  <si>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</si>
  <si>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</si>
  <si>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</si>
  <si>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</si>
  <si>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</si>
  <si>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</si>
  <si>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</si>
  <si>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</si>
  <si>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</si>
  <si>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</si>
  <si>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</si>
  <si>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</si>
  <si>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</si>
  <si>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</si>
  <si>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</si>
  <si>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</si>
  <si>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</si>
  <si>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</si>
  <si>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</si>
  <si>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</si>
  <si>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</si>
  <si>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</si>
  <si>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</si>
  <si>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</si>
  <si>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</si>
  <si>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</si>
  <si>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</si>
  <si>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</si>
  <si>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</si>
  <si>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</si>
  <si>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</si>
  <si>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</si>
  <si>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</si>
  <si>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</si>
  <si>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</si>
  <si>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</si>
  <si>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</si>
  <si>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</si>
  <si>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</si>
  <si>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</si>
  <si>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</si>
  <si>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</si>
  <si>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</si>
  <si>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</si>
  <si>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</si>
  <si>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</si>
  <si>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</si>
  <si>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</si>
  <si>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</si>
  <si>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</si>
  <si>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</si>
  <si>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</si>
  <si>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</si>
  <si>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</si>
  <si>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</si>
  <si>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</si>
  <si>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</si>
  <si>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</si>
  <si>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</si>
  <si>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</si>
  <si>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</si>
  <si>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</si>
  <si>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</si>
  <si>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</si>
  <si>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</si>
  <si>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</si>
  <si>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</si>
  <si>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</si>
  <si>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</si>
  <si>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</si>
  <si>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</si>
  <si>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</si>
  <si>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</si>
  <si>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</si>
  <si>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</si>
  <si>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</si>
  <si>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</si>
  <si>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</si>
  <si>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</si>
  <si>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</si>
  <si>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</si>
  <si>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</si>
  <si>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</si>
  <si>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</si>
  <si>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</si>
  <si>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</si>
  <si>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</si>
  <si>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</si>
  <si>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</si>
  <si>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</si>
  <si>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</si>
  <si>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</si>
  <si>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</si>
  <si>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</si>
  <si>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</si>
  <si>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</si>
  <si>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</si>
  <si>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</si>
  <si>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</si>
  <si>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</si>
  <si>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</si>
  <si>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</si>
  <si>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</si>
  <si>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</si>
  <si>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</si>
  <si>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</si>
  <si>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</si>
  <si>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</si>
  <si>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</si>
  <si>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</si>
  <si>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</si>
  <si>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</si>
  <si>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</si>
  <si>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</si>
  <si>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</si>
  <si>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</si>
  <si>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</si>
  <si>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</si>
  <si>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</si>
  <si>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</si>
  <si>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</si>
  <si>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</si>
  <si>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</si>
  <si>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</si>
  <si>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</si>
  <si>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</si>
  <si>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</si>
  <si>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</si>
  <si>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</si>
  <si>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</si>
  <si>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</si>
  <si>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</si>
  <si>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</si>
  <si>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</si>
  <si>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</si>
  <si>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</si>
  <si>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</si>
  <si>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</si>
  <si>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</si>
  <si>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</si>
  <si>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</si>
  <si>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</si>
  <si>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</si>
  <si>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</si>
  <si>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</si>
  <si>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</si>
  <si>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</si>
  <si>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</si>
  <si>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</si>
  <si>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</si>
  <si>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</si>
  <si>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</si>
  <si>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</si>
  <si>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</si>
  <si>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</si>
  <si>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</si>
  <si>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</si>
  <si>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</si>
  <si>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</si>
  <si>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</si>
  <si>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</si>
  <si>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</si>
  <si>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</si>
  <si>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</si>
  <si>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</si>
  <si>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</si>
  <si>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</si>
  <si>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</si>
  <si>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</si>
  <si>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</si>
  <si>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</si>
  <si>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</si>
  <si>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</si>
  <si>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</si>
  <si>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</si>
  <si>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</si>
  <si>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</si>
  <si>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</si>
  <si>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</si>
  <si>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</si>
  <si>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</si>
  <si>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</si>
  <si>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</si>
  <si>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</si>
  <si>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</si>
  <si>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</si>
  <si>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</si>
  <si>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</si>
  <si>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</si>
  <si>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</si>
  <si>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</si>
  <si>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</si>
  <si>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</si>
  <si>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</si>
  <si>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</si>
  <si>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</si>
  <si>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</si>
  <si>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</si>
  <si>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</si>
  <si>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</si>
  <si>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</si>
  <si>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</si>
  <si>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</si>
  <si>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</si>
  <si>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</si>
  <si>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</si>
  <si>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</si>
  <si>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</si>
  <si>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</si>
  <si>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</si>
  <si>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</si>
  <si>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</si>
  <si>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</si>
  <si>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</si>
  <si>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</si>
  <si>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</si>
  <si>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</si>
  <si>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</si>
  <si>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</si>
  <si>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</si>
  <si>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</si>
  <si>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</si>
  <si>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</si>
  <si>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</si>
  <si>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</si>
  <si>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</si>
  <si>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</si>
  <si>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</si>
  <si>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</si>
  <si>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</si>
  <si>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</si>
  <si>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</si>
  <si>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</si>
  <si>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</si>
  <si>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</si>
  <si>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</si>
  <si>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</si>
  <si>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</si>
  <si>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</si>
  <si>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</si>
  <si>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</si>
  <si>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</si>
  <si>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</si>
  <si>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</si>
  <si>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</si>
  <si>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</si>
  <si>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</si>
  <si>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</si>
  <si>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</si>
  <si>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</si>
  <si>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</si>
  <si>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</si>
  <si>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</si>
  <si>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</si>
  <si>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</si>
  <si>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</si>
  <si>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</si>
  <si>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</si>
  <si>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</si>
  <si>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</si>
  <si>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</si>
  <si>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</si>
  <si>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</si>
  <si>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</si>
  <si>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</si>
  <si>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</si>
  <si>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</si>
  <si>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</si>
  <si>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</si>
  <si>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</si>
  <si>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</si>
  <si>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</si>
  <si>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</si>
  <si>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</si>
  <si>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</si>
  <si>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</si>
  <si>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</si>
  <si>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</si>
  <si>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</si>
  <si>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</si>
  <si>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</si>
  <si>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</si>
  <si>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</si>
  <si>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</si>
  <si>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</si>
  <si>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</si>
  <si>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</si>
  <si>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</si>
  <si>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</si>
  <si>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</si>
  <si>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</si>
  <si>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</si>
  <si>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</si>
  <si>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</si>
  <si>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</si>
  <si>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</si>
  <si>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</si>
  <si>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</si>
  <si>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</si>
  <si>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</si>
  <si>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</si>
  <si>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</si>
  <si>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</si>
  <si>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</si>
  <si>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</si>
  <si>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</si>
  <si>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</si>
  <si>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</si>
  <si>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</si>
  <si>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</si>
  <si>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</si>
  <si>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</si>
  <si>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</si>
  <si>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</si>
  <si>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</si>
  <si>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</si>
  <si>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</si>
  <si>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</si>
  <si>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</si>
  <si>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</si>
  <si>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</si>
  <si>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</si>
  <si>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</si>
  <si>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</si>
  <si>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</si>
  <si>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</si>
  <si>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</si>
  <si>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</si>
  <si>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</si>
  <si>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</si>
  <si>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</si>
  <si>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</si>
  <si>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</si>
  <si>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</si>
  <si>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</si>
  <si>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</si>
  <si>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</si>
  <si>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</si>
  <si>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</si>
  <si>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</si>
  <si>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</si>
  <si>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</si>
  <si>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</si>
  <si>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</si>
  <si>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</si>
  <si>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</si>
  <si>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</si>
  <si>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</si>
  <si>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</si>
  <si>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</si>
  <si>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</si>
  <si>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</si>
  <si>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</si>
  <si>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</si>
  <si>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</si>
  <si>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</si>
  <si>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</si>
  <si>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</si>
  <si>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</si>
  <si>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</si>
  <si>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</si>
  <si>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</si>
  <si>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</si>
  <si>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</si>
  <si>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</si>
  <si>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</si>
  <si>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</si>
  <si>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</si>
  <si>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</si>
  <si>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</si>
  <si>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</si>
  <si>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</si>
  <si>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</si>
  <si>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</si>
  <si>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</si>
  <si>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</si>
  <si>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</si>
  <si>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</si>
  <si>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</si>
  <si>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</si>
  <si>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</si>
  <si>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</si>
  <si>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</si>
  <si>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</si>
  <si>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</si>
  <si>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</si>
  <si>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</si>
  <si>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</si>
  <si>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</si>
  <si>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</si>
  <si>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</si>
  <si>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</si>
  <si>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</si>
  <si>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</si>
  <si>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</si>
  <si>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</si>
  <si>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</si>
  <si>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</si>
  <si>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</si>
  <si>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</si>
  <si>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</si>
  <si>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</si>
  <si>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</si>
  <si>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</si>
  <si>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</si>
  <si>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</si>
  <si>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</si>
  <si>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</si>
  <si>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</si>
  <si>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</si>
  <si>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</si>
  <si>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</si>
  <si>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</si>
  <si>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</si>
  <si>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</si>
  <si>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</si>
  <si>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</si>
  <si>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</si>
  <si>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</si>
  <si>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</si>
  <si>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</si>
  <si>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</si>
  <si>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</si>
  <si>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</si>
  <si>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</si>
  <si>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</si>
  <si>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</si>
  <si>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</si>
  <si>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</si>
  <si>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</si>
  <si>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</si>
  <si>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</si>
  <si>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</si>
  <si>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</si>
  <si>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</si>
  <si>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</si>
  <si>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</si>
  <si>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</si>
  <si>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</si>
  <si>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</si>
  <si>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</si>
  <si>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</si>
  <si>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</si>
  <si>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</si>
  <si>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</si>
  <si>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</si>
  <si>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</si>
  <si>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</si>
  <si>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</si>
  <si>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</si>
  <si>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</si>
  <si>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</si>
  <si>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</si>
  <si>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</si>
  <si>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</si>
  <si>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</si>
  <si>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</si>
  <si>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</si>
  <si>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</si>
  <si>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</si>
  <si>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</si>
  <si>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</si>
  <si>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</si>
  <si>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</si>
  <si>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</si>
  <si>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</si>
  <si>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</si>
  <si>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</si>
  <si>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</si>
  <si>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</si>
  <si>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</si>
  <si>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</si>
  <si>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</si>
  <si>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</si>
  <si>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</si>
  <si>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</si>
  <si>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</si>
  <si>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</si>
  <si>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</si>
  <si>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</si>
  <si>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</si>
  <si>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</si>
  <si>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</si>
  <si>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</si>
  <si>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</si>
  <si>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</si>
  <si>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</si>
  <si>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</si>
  <si>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</si>
  <si>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</si>
  <si>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</si>
  <si>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</si>
  <si>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</si>
  <si>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</si>
  <si>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</si>
  <si>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</si>
  <si>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</si>
  <si>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</si>
  <si>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</si>
  <si>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</si>
  <si>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</si>
  <si>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</si>
  <si>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</si>
  <si>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</si>
  <si>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</si>
  <si>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</si>
  <si>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</si>
  <si>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</si>
  <si>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</si>
  <si>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</si>
  <si>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</si>
  <si>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</si>
  <si>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</si>
  <si>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</si>
  <si>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</si>
  <si>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</si>
  <si>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</si>
  <si>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</si>
  <si>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</si>
  <si>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</si>
  <si>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</si>
  <si>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</si>
  <si>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</si>
  <si>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</si>
  <si>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</si>
  <si>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</si>
  <si>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</si>
  <si>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</si>
  <si>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</si>
  <si>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</si>
  <si>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</si>
  <si>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</si>
  <si>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</si>
  <si>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</si>
  <si>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</si>
  <si>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</si>
  <si>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</si>
  <si>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</si>
  <si>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</si>
  <si>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</si>
  <si>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</si>
  <si>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</si>
  <si>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</si>
  <si>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</si>
  <si>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</si>
  <si>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</si>
  <si>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</si>
  <si>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</si>
  <si>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</si>
  <si>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</si>
  <si>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</si>
  <si>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</si>
  <si>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</si>
  <si>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</si>
  <si>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</si>
  <si>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</si>
  <si>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</si>
  <si>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</si>
  <si>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</si>
  <si>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</si>
  <si>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</si>
  <si>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</si>
  <si>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</si>
  <si>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</si>
  <si>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</si>
  <si>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</si>
  <si>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</si>
  <si>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</si>
  <si>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</si>
  <si>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</si>
  <si>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</si>
  <si>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</si>
  <si>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</si>
  <si>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</si>
  <si>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</si>
  <si>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</si>
  <si>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</si>
  <si>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</si>
  <si>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</si>
  <si>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</si>
  <si>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</si>
  <si>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</si>
  <si>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</si>
  <si>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</si>
  <si>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</si>
  <si>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</si>
  <si>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</si>
  <si>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</si>
  <si>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</si>
  <si>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</si>
  <si>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</si>
  <si>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</si>
  <si>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</si>
  <si>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</si>
  <si>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</si>
  <si>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</si>
  <si>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</si>
  <si>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</si>
  <si>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</si>
  <si>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</si>
  <si>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</si>
  <si>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</si>
  <si>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</si>
  <si>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</si>
  <si>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</si>
  <si>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</si>
  <si>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</si>
  <si>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</si>
  <si>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</si>
  <si>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</si>
  <si>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</si>
  <si>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</si>
  <si>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</si>
  <si>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</si>
  <si>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</si>
  <si>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</si>
  <si>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</si>
  <si>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</si>
  <si>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</si>
  <si>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</si>
  <si>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</si>
  <si>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</si>
  <si>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</si>
  <si>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</si>
  <si>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</si>
  <si>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</si>
  <si>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</si>
  <si>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</si>
  <si>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</si>
  <si>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</si>
  <si>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</si>
  <si>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</si>
  <si>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</si>
  <si>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</si>
  <si>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</si>
  <si>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</si>
  <si>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</si>
  <si>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</si>
  <si>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</si>
  <si>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</si>
  <si>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</si>
  <si>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</si>
  <si>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</si>
  <si>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</si>
  <si>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</si>
  <si>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</si>
  <si>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</si>
  <si>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</si>
  <si>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</si>
  <si>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</si>
  <si>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</si>
  <si>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</si>
  <si>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</si>
  <si>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</si>
  <si>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</si>
  <si>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</si>
  <si>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</si>
  <si>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</si>
  <si>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</si>
  <si>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</si>
  <si>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</si>
  <si>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</si>
  <si>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</si>
  <si>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</si>
  <si>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</si>
  <si>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</si>
  <si>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</si>
  <si>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</si>
  <si>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</si>
  <si>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</si>
  <si>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</si>
  <si>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</si>
  <si>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</si>
  <si>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</si>
  <si>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</si>
  <si>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</si>
  <si>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</si>
  <si>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</si>
  <si>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</si>
  <si>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</si>
  <si>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</si>
  <si>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</si>
  <si>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</si>
  <si>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</si>
  <si>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</si>
  <si>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</si>
  <si>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</si>
  <si>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</si>
  <si>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</si>
  <si>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4649396#1</t>
  </si>
  <si>
    <t>Bajorelieve</t>
  </si>
  <si>
    <t>4544141#1</t>
  </si>
  <si>
    <t>Evita's cabinets</t>
  </si>
  <si>
    <t>1678727#1</t>
  </si>
  <si>
    <t>Segura Julian Matias</t>
  </si>
  <si>
    <t>4649170#1</t>
  </si>
  <si>
    <t xml:space="preserve">Cirigliano
</t>
  </si>
  <si>
    <t>4631125#1</t>
  </si>
  <si>
    <t>Alkimiamx</t>
  </si>
  <si>
    <t>711103#1</t>
  </si>
  <si>
    <t>Obrando</t>
  </si>
  <si>
    <t>4642084#1</t>
  </si>
  <si>
    <t>Colmena</t>
  </si>
  <si>
    <t>4329205#1</t>
  </si>
  <si>
    <t>FT Williams and Associates</t>
  </si>
  <si>
    <t>4531902#1</t>
  </si>
  <si>
    <t>Esing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</si>
  <si>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</si>
  <si>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</si>
  <si>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</si>
  <si>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</si>
  <si>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</si>
  <si>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</si>
  <si>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</si>
  <si>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</si>
  <si>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</si>
  <si>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</si>
  <si>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</si>
  <si>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</si>
  <si>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</si>
  <si>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</si>
  <si>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4608964#1</t>
  </si>
  <si>
    <t>Dotarquitectura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</si>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</sst>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0ab1d8ee-121a-4ed9-89b8-684ae4bfbe76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m/>
      </sharedItems>
    </cacheField>
    <cacheField name="External Case ID" numFmtId="49">
      <sharedItems containsBlank="1">
        <s v="4547363#1"/>
        <s v="4647518#1"/>
        <s v="4596296#1"/>
        <m/>
      </sharedItems>
    </cacheField>
    <cacheField name="Case Name" numFmtId="49">
      <sharedItems containsBlank="1">
        <s v="Tadudesingstudio"/>
        <s v="Construccionesintegralescr"/>
        <s v="Sensatostudio"/>
        <m/>
      </sharedItems>
    </cacheField>
    <cacheField name="Country" numFmtId="0">
      <sharedItems containsBlank="1">
        <s v="Dominican Republic"/>
        <s v="Costa Rica"/>
        <s v="Guatemala"/>
        <m/>
      </sharedItems>
    </cacheField>
    <cacheField name="Investigator" numFmtId="0">
      <sharedItems containsBlank="1">
        <s v="Clar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m/>
      </sharedItems>
    </cacheField>
    <cacheField name="Country" numFmtId="0">
      <sharedItems containsBlank="1">
        <s v="Argentina"/>
        <s v="Peru"/>
        <s v="Paraguay"/>
        <s v="Chile"/>
        <s v="Colombia"/>
        <m/>
      </sharedItems>
    </cacheField>
    <cacheField name="Investigator" numFmtId="0">
      <sharedItems containsBlank="1">
        <s v="Luis"/>
        <s v="Rafael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1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1"/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t="default"/>
      </items>
    </pivotField>
    <pivotField name="Country" axis="axisRow" dataField="1" compact="0" outline="0" multipleItemSelectionAllowed="1" showAll="0" sortType="ascending">
      <items>
        <item x="3"/>
        <item x="1"/>
        <item x="0"/>
        <item x="2"/>
        <item t="default"/>
      </items>
    </pivotField>
    <pivotField name="Investigator" compact="0" outline="0" multipleItemSelectionAllowed="1" showAll="0">
      <items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Country" axis="axisRow" dataField="1" compact="0" outline="0" multipleItemSelectionAllowed="1" showAll="0" sortType="ascending">
      <items>
        <item x="5"/>
        <item x="0"/>
        <item x="3"/>
        <item x="4"/>
        <item x="2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0ab1d8ee-121a-4ed9-89b8-684ae4bfbe76}" id="{eea5b16c-39ed-4cfc-88f3-187b5e43434d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1</v>
      </c>
      <c r="L55" s="33">
        <f t="shared" ref="L55:L59" si="4">I55-K55</f>
        <v>9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</v>
      </c>
      <c r="F56" s="246">
        <f t="shared" si="3"/>
        <v>18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4</v>
      </c>
      <c r="L56" s="33">
        <f t="shared" si="4"/>
        <v>6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1</v>
      </c>
      <c r="F57" s="246">
        <f t="shared" si="3"/>
        <v>19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</v>
      </c>
      <c r="L57" s="33">
        <f t="shared" si="4"/>
        <v>18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</v>
      </c>
      <c r="L58" s="33">
        <f t="shared" si="4"/>
        <v>19</v>
      </c>
    </row>
    <row r="59" outlineLevel="1">
      <c r="D59" s="10"/>
      <c r="E59" s="37" t="s">
        <v>41</v>
      </c>
      <c r="F59" s="38">
        <f>SUM(F55:F57)</f>
        <v>67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</v>
      </c>
      <c r="L59" s="33">
        <f t="shared" si="4"/>
        <v>8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60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/>
      <c r="T5" s="326"/>
      <c r="U5" s="370"/>
      <c r="V5" s="370" t="s">
        <v>9</v>
      </c>
      <c r="W5" s="195"/>
      <c r="X5" s="371"/>
      <c r="Z5" s="403">
        <v>46181.0</v>
      </c>
      <c r="AA5" s="294" t="s">
        <v>3695</v>
      </c>
      <c r="AB5" s="294" t="s">
        <v>3696</v>
      </c>
      <c r="AC5" s="391" t="s">
        <v>18</v>
      </c>
      <c r="AD5" s="391" t="s">
        <v>2337</v>
      </c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3697</v>
      </c>
      <c r="D6" s="273" t="s">
        <v>3698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3699</v>
      </c>
      <c r="L6" s="109" t="s">
        <v>3700</v>
      </c>
      <c r="M6" s="58"/>
      <c r="N6" s="58" t="s">
        <v>20</v>
      </c>
      <c r="O6" s="109" t="s">
        <v>3701</v>
      </c>
      <c r="P6" s="298"/>
      <c r="R6" s="369"/>
      <c r="S6" s="326"/>
      <c r="T6" s="326"/>
      <c r="U6" s="385"/>
      <c r="V6" s="370"/>
      <c r="W6" s="326"/>
      <c r="X6" s="386"/>
      <c r="Z6" s="401">
        <v>46181.0</v>
      </c>
      <c r="AA6" s="273" t="s">
        <v>3702</v>
      </c>
      <c r="AB6" s="273" t="s">
        <v>3703</v>
      </c>
      <c r="AC6" s="402" t="s">
        <v>27</v>
      </c>
      <c r="AD6" s="402" t="s">
        <v>2337</v>
      </c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3704</v>
      </c>
      <c r="D7" s="373" t="s">
        <v>3705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3706</v>
      </c>
      <c r="L7" s="109" t="s">
        <v>3707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403">
        <v>46181.0</v>
      </c>
      <c r="AA7" s="294" t="s">
        <v>3708</v>
      </c>
      <c r="AB7" s="294" t="s">
        <v>3709</v>
      </c>
      <c r="AC7" s="391" t="s">
        <v>18</v>
      </c>
      <c r="AD7" s="391" t="s">
        <v>2337</v>
      </c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3710</v>
      </c>
      <c r="D8" s="457" t="s">
        <v>3711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3712</v>
      </c>
      <c r="L8" s="109" t="s">
        <v>3713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401">
        <v>46181.0</v>
      </c>
      <c r="AA8" s="273" t="s">
        <v>3714</v>
      </c>
      <c r="AB8" s="273" t="s">
        <v>3715</v>
      </c>
      <c r="AC8" s="402" t="s">
        <v>18</v>
      </c>
      <c r="AD8" s="402" t="s">
        <v>2337</v>
      </c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3716</v>
      </c>
      <c r="D9" s="373" t="s">
        <v>3717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3718</v>
      </c>
      <c r="L9" s="294" t="s">
        <v>3719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403">
        <v>46181.0</v>
      </c>
      <c r="AA9" s="294" t="s">
        <v>3720</v>
      </c>
      <c r="AB9" s="294" t="s">
        <v>3721</v>
      </c>
      <c r="AC9" s="391" t="s">
        <v>27</v>
      </c>
      <c r="AD9" s="391" t="s">
        <v>2337</v>
      </c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3722</v>
      </c>
      <c r="D10" s="413" t="s">
        <v>3723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3724</v>
      </c>
      <c r="L10" s="273" t="s">
        <v>3725</v>
      </c>
      <c r="M10" s="274" t="s">
        <v>15</v>
      </c>
      <c r="N10" s="274" t="s">
        <v>2337</v>
      </c>
      <c r="O10" s="109" t="s">
        <v>3726</v>
      </c>
      <c r="P10" s="298"/>
      <c r="R10" s="270"/>
      <c r="S10" s="109"/>
      <c r="T10" s="109"/>
      <c r="U10" s="58"/>
      <c r="V10" s="58"/>
      <c r="W10" s="61"/>
      <c r="X10" s="269"/>
      <c r="Z10" s="401">
        <v>46181.0</v>
      </c>
      <c r="AA10" s="273" t="s">
        <v>3727</v>
      </c>
      <c r="AB10" s="273" t="s">
        <v>3728</v>
      </c>
      <c r="AC10" s="402" t="s">
        <v>18</v>
      </c>
      <c r="AD10" s="402" t="s">
        <v>2337</v>
      </c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3729</v>
      </c>
      <c r="D11" s="273" t="s">
        <v>3730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3731</v>
      </c>
      <c r="L11" s="294" t="s">
        <v>3732</v>
      </c>
      <c r="M11" s="295" t="s">
        <v>18</v>
      </c>
      <c r="N11" s="295" t="s">
        <v>2337</v>
      </c>
      <c r="O11" s="109" t="s">
        <v>3733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>
        <v>46182.0</v>
      </c>
      <c r="AA11" s="109" t="s">
        <v>3734</v>
      </c>
      <c r="AB11" s="109" t="s">
        <v>3735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3736</v>
      </c>
      <c r="D12" s="294" t="s">
        <v>3737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3738</v>
      </c>
      <c r="L12" s="273" t="s">
        <v>3739</v>
      </c>
      <c r="M12" s="274" t="s">
        <v>27</v>
      </c>
      <c r="N12" s="274" t="s">
        <v>2337</v>
      </c>
      <c r="O12" s="109" t="s">
        <v>3733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3740</v>
      </c>
      <c r="D13" s="273" t="s">
        <v>3741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3742</v>
      </c>
      <c r="L13" s="294" t="s">
        <v>3743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3744</v>
      </c>
      <c r="D14" s="470" t="s">
        <v>3745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3746</v>
      </c>
      <c r="L14" s="273" t="s">
        <v>3747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3748</v>
      </c>
      <c r="D15" s="294" t="s">
        <v>3749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3750</v>
      </c>
      <c r="L15" s="294" t="s">
        <v>3751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3752</v>
      </c>
      <c r="D16" s="273" t="s">
        <v>3753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3754</v>
      </c>
      <c r="L16" s="273" t="s">
        <v>3755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3756</v>
      </c>
      <c r="D17" s="273" t="s">
        <v>3757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3758</v>
      </c>
      <c r="L17" s="294" t="s">
        <v>3759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3760</v>
      </c>
      <c r="D18" s="273" t="s">
        <v>3761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3762</v>
      </c>
      <c r="L18" s="273" t="s">
        <v>3763</v>
      </c>
      <c r="M18" s="399" t="s">
        <v>11</v>
      </c>
      <c r="N18" s="410" t="s">
        <v>2338</v>
      </c>
      <c r="O18" s="109" t="s">
        <v>3764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3765</v>
      </c>
      <c r="D19" s="294" t="s">
        <v>3766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3767</v>
      </c>
      <c r="L19" s="294" t="s">
        <v>3768</v>
      </c>
      <c r="M19" s="441" t="s">
        <v>23</v>
      </c>
      <c r="N19" s="404" t="s">
        <v>2338</v>
      </c>
      <c r="O19" s="109" t="s">
        <v>3733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3769</v>
      </c>
      <c r="D20" s="273" t="s">
        <v>3770</v>
      </c>
      <c r="E20" s="402"/>
      <c r="F20" s="274" t="s">
        <v>2344</v>
      </c>
      <c r="G20" s="109" t="s">
        <v>3771</v>
      </c>
      <c r="H20" s="269"/>
      <c r="J20" s="382">
        <v>46174.0</v>
      </c>
      <c r="K20" s="273" t="s">
        <v>3772</v>
      </c>
      <c r="L20" s="273" t="s">
        <v>3773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3774</v>
      </c>
      <c r="D21" s="430" t="s">
        <v>3775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3776</v>
      </c>
      <c r="L21" s="294" t="s">
        <v>3777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3778</v>
      </c>
      <c r="D22" s="477" t="s">
        <v>3779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3780</v>
      </c>
      <c r="L22" s="273" t="s">
        <v>3781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3782</v>
      </c>
      <c r="D23" s="405" t="s">
        <v>3783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3784</v>
      </c>
      <c r="L23" s="294" t="s">
        <v>3785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3786</v>
      </c>
      <c r="D24" s="373" t="s">
        <v>3787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3788</v>
      </c>
      <c r="L24" s="273" t="s">
        <v>3789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3790</v>
      </c>
      <c r="D25" s="430" t="s">
        <v>3791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3792</v>
      </c>
      <c r="L25" s="294" t="s">
        <v>3793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3794</v>
      </c>
      <c r="D26" s="294" t="s">
        <v>3795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3796</v>
      </c>
      <c r="L26" s="273" t="s">
        <v>3797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3798</v>
      </c>
      <c r="D27" s="273" t="s">
        <v>3799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3800</v>
      </c>
      <c r="L27" s="294" t="s">
        <v>3801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3802</v>
      </c>
      <c r="D28" s="373" t="s">
        <v>3803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3804</v>
      </c>
      <c r="L28" s="273" t="s">
        <v>3805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3806</v>
      </c>
      <c r="D29" s="373" t="s">
        <v>3807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3808</v>
      </c>
      <c r="L29" s="294" t="s">
        <v>3809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3810</v>
      </c>
      <c r="D30" s="373" t="s">
        <v>3811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3812</v>
      </c>
      <c r="L30" s="273" t="s">
        <v>3813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3814</v>
      </c>
      <c r="D31" s="373" t="s">
        <v>3815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3816</v>
      </c>
      <c r="L31" s="273" t="s">
        <v>3817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3818</v>
      </c>
      <c r="D32" s="373" t="s">
        <v>3819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3820</v>
      </c>
      <c r="L32" s="294" t="s">
        <v>3821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3822</v>
      </c>
      <c r="D33" s="373" t="s">
        <v>3823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3824</v>
      </c>
      <c r="L33" s="273" t="s">
        <v>3825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3826</v>
      </c>
      <c r="D34" s="373" t="s">
        <v>3827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3828</v>
      </c>
      <c r="L34" s="294" t="s">
        <v>3829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3830</v>
      </c>
      <c r="D35" s="373" t="s">
        <v>3831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3832</v>
      </c>
      <c r="L35" s="273" t="s">
        <v>3833</v>
      </c>
      <c r="M35" s="398"/>
      <c r="N35" s="431" t="s">
        <v>2338</v>
      </c>
      <c r="O35" s="109" t="s">
        <v>3834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3835</v>
      </c>
      <c r="D36" s="294" t="s">
        <v>3836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3837</v>
      </c>
      <c r="L36" s="294" t="s">
        <v>3838</v>
      </c>
      <c r="M36" s="396"/>
      <c r="N36" s="391" t="s">
        <v>2338</v>
      </c>
      <c r="O36" s="109" t="s">
        <v>3839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3840</v>
      </c>
      <c r="D37" s="430" t="s">
        <v>3841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3842</v>
      </c>
      <c r="L37" s="109" t="s">
        <v>3843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3844</v>
      </c>
      <c r="D38" s="373" t="s">
        <v>3845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3846</v>
      </c>
      <c r="L38" s="109" t="s">
        <v>3847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3848</v>
      </c>
      <c r="D39" s="273" t="s">
        <v>3849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3850</v>
      </c>
      <c r="L39" s="109" t="s">
        <v>3851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3852</v>
      </c>
      <c r="D40" s="405" t="s">
        <v>3853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3854</v>
      </c>
      <c r="L40" s="109" t="s">
        <v>3855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3856</v>
      </c>
      <c r="D41" s="373" t="s">
        <v>3857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3858</v>
      </c>
      <c r="L41" s="109" t="s">
        <v>3859</v>
      </c>
      <c r="M41" s="58" t="s">
        <v>11</v>
      </c>
      <c r="N41" s="58" t="s">
        <v>20</v>
      </c>
      <c r="O41" s="109" t="s">
        <v>3860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3861</v>
      </c>
      <c r="D42" s="373" t="s">
        <v>3862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3863</v>
      </c>
      <c r="L42" s="109" t="s">
        <v>3864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3865</v>
      </c>
      <c r="D43" s="492" t="s">
        <v>3866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3867</v>
      </c>
      <c r="L43" s="109" t="s">
        <v>3868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3869</v>
      </c>
      <c r="D44" s="373" t="s">
        <v>3870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3871</v>
      </c>
      <c r="L44" s="109" t="s">
        <v>3872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3873</v>
      </c>
      <c r="D45" s="373" t="s">
        <v>3874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3875</v>
      </c>
      <c r="L45" s="109" t="s">
        <v>3876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3877</v>
      </c>
      <c r="D46" s="373" t="s">
        <v>3878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3879</v>
      </c>
      <c r="L46" s="109" t="s">
        <v>3880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3881</v>
      </c>
      <c r="D47" s="373" t="s">
        <v>3882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3883</v>
      </c>
      <c r="L47" s="109" t="s">
        <v>3884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3885</v>
      </c>
      <c r="D48" s="373" t="s">
        <v>3886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3887</v>
      </c>
      <c r="L48" s="109" t="s">
        <v>3888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3889</v>
      </c>
      <c r="D49" s="373" t="s">
        <v>3890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3891</v>
      </c>
      <c r="L49" s="109" t="s">
        <v>3892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3893</v>
      </c>
      <c r="D50" s="373" t="s">
        <v>3894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3895</v>
      </c>
      <c r="L50" s="109" t="s">
        <v>3896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3897</v>
      </c>
      <c r="D51" s="373" t="s">
        <v>3898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3899</v>
      </c>
      <c r="L51" s="109" t="s">
        <v>3900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3901</v>
      </c>
      <c r="D52" s="373" t="s">
        <v>3902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3903</v>
      </c>
      <c r="L52" s="109" t="s">
        <v>3904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3905</v>
      </c>
      <c r="D53" s="492" t="s">
        <v>3906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3907</v>
      </c>
      <c r="L53" s="109" t="s">
        <v>3908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3909</v>
      </c>
      <c r="D54" s="392" t="s">
        <v>3910</v>
      </c>
      <c r="E54" s="58" t="s">
        <v>19</v>
      </c>
      <c r="F54" s="58" t="s">
        <v>2349</v>
      </c>
      <c r="G54" s="427" t="s">
        <v>3911</v>
      </c>
      <c r="H54" s="269"/>
      <c r="J54" s="403">
        <v>46176.0</v>
      </c>
      <c r="K54" s="294" t="s">
        <v>3912</v>
      </c>
      <c r="L54" s="294" t="s">
        <v>3913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3914</v>
      </c>
      <c r="D55" s="430" t="s">
        <v>3915</v>
      </c>
      <c r="E55" s="431" t="s">
        <v>19</v>
      </c>
      <c r="F55" s="58" t="s">
        <v>12</v>
      </c>
      <c r="G55" s="109" t="s">
        <v>3916</v>
      </c>
      <c r="H55" s="269" t="b">
        <v>1</v>
      </c>
      <c r="J55" s="401">
        <v>46176.0</v>
      </c>
      <c r="K55" s="273" t="s">
        <v>3917</v>
      </c>
      <c r="L55" s="273" t="s">
        <v>3918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3919</v>
      </c>
      <c r="D56" s="373" t="s">
        <v>3920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3921</v>
      </c>
      <c r="L56" s="294" t="s">
        <v>3922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3923</v>
      </c>
      <c r="D57" s="373" t="s">
        <v>3924</v>
      </c>
      <c r="E57" s="58" t="s">
        <v>16</v>
      </c>
      <c r="F57" s="58" t="s">
        <v>20</v>
      </c>
      <c r="G57" s="109" t="s">
        <v>3916</v>
      </c>
      <c r="H57" s="269" t="b">
        <v>1</v>
      </c>
      <c r="J57" s="401">
        <v>46176.0</v>
      </c>
      <c r="K57" s="273" t="s">
        <v>3925</v>
      </c>
      <c r="L57" s="273" t="s">
        <v>3926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3927</v>
      </c>
      <c r="D58" s="430" t="s">
        <v>3928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3929</v>
      </c>
      <c r="L58" s="294" t="s">
        <v>3930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3931</v>
      </c>
      <c r="D59" s="373" t="s">
        <v>3932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3933</v>
      </c>
      <c r="L59" s="294" t="s">
        <v>3934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3935</v>
      </c>
      <c r="D60" s="373" t="s">
        <v>3936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3937</v>
      </c>
      <c r="L60" s="273" t="s">
        <v>3938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3939</v>
      </c>
      <c r="D61" s="373" t="s">
        <v>3940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3941</v>
      </c>
      <c r="L61" s="294" t="s">
        <v>3942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3943</v>
      </c>
      <c r="D62" s="373" t="s">
        <v>3944</v>
      </c>
      <c r="E62" s="58" t="s">
        <v>10</v>
      </c>
      <c r="F62" s="58" t="s">
        <v>14</v>
      </c>
      <c r="G62" s="109" t="s">
        <v>3945</v>
      </c>
      <c r="H62" s="269"/>
      <c r="J62" s="382">
        <v>46176.0</v>
      </c>
      <c r="K62" s="273" t="s">
        <v>3946</v>
      </c>
      <c r="L62" s="273" t="s">
        <v>3947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3948</v>
      </c>
      <c r="D63" s="373" t="s">
        <v>3949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3950</v>
      </c>
      <c r="L63" s="294" t="s">
        <v>3951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3952</v>
      </c>
      <c r="D64" s="373" t="s">
        <v>3953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3954</v>
      </c>
      <c r="L64" s="273" t="s">
        <v>3955</v>
      </c>
      <c r="M64" s="398"/>
      <c r="N64" s="431" t="s">
        <v>2338</v>
      </c>
      <c r="O64" s="109" t="s">
        <v>3956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3957</v>
      </c>
      <c r="D65" s="373" t="s">
        <v>3958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3959</v>
      </c>
      <c r="L65" s="109" t="s">
        <v>3960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3961</v>
      </c>
      <c r="D66" s="373" t="s">
        <v>3962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3963</v>
      </c>
      <c r="L66" s="109" t="s">
        <v>3964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3965</v>
      </c>
      <c r="D67" s="373" t="s">
        <v>3966</v>
      </c>
      <c r="E67" s="58" t="s">
        <v>10</v>
      </c>
      <c r="F67" s="58" t="s">
        <v>9</v>
      </c>
      <c r="G67" s="109" t="s">
        <v>3967</v>
      </c>
      <c r="H67" s="269" t="b">
        <v>1</v>
      </c>
      <c r="J67" s="270">
        <v>46177.0</v>
      </c>
      <c r="K67" s="109" t="s">
        <v>3968</v>
      </c>
      <c r="L67" s="109" t="s">
        <v>3969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3970</v>
      </c>
      <c r="D68" s="373" t="s">
        <v>3971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3972</v>
      </c>
      <c r="L68" s="109" t="s">
        <v>3973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3974</v>
      </c>
      <c r="D69" s="373" t="s">
        <v>3975</v>
      </c>
      <c r="E69" s="58" t="s">
        <v>10</v>
      </c>
      <c r="F69" s="58" t="s">
        <v>9</v>
      </c>
      <c r="G69" s="109" t="s">
        <v>3976</v>
      </c>
      <c r="H69" s="269"/>
      <c r="J69" s="270">
        <v>46177.0</v>
      </c>
      <c r="K69" s="109" t="s">
        <v>3977</v>
      </c>
      <c r="L69" s="109" t="s">
        <v>3978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3979</v>
      </c>
      <c r="D70" s="373" t="s">
        <v>3980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3981</v>
      </c>
      <c r="L70" s="109" t="s">
        <v>3982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3983</v>
      </c>
      <c r="D71" s="373" t="s">
        <v>3984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3985</v>
      </c>
      <c r="L71" s="109" t="s">
        <v>3986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3987</v>
      </c>
      <c r="D72" s="373" t="s">
        <v>3988</v>
      </c>
      <c r="E72" s="58" t="s">
        <v>22</v>
      </c>
      <c r="F72" s="58" t="s">
        <v>9</v>
      </c>
      <c r="G72" s="109" t="s">
        <v>3989</v>
      </c>
      <c r="H72" s="298"/>
      <c r="J72" s="270">
        <v>46177.0</v>
      </c>
      <c r="K72" s="109" t="s">
        <v>3990</v>
      </c>
      <c r="L72" s="109" t="s">
        <v>3991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3992</v>
      </c>
      <c r="D73" s="373" t="s">
        <v>3993</v>
      </c>
      <c r="E73" s="58" t="s">
        <v>16</v>
      </c>
      <c r="F73" s="58" t="s">
        <v>2347</v>
      </c>
      <c r="G73" s="109" t="s">
        <v>3994</v>
      </c>
      <c r="H73" s="269" t="b">
        <v>1</v>
      </c>
      <c r="J73" s="270">
        <v>46177.0</v>
      </c>
      <c r="K73" s="109" t="s">
        <v>3995</v>
      </c>
      <c r="L73" s="109" t="s">
        <v>3996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3997</v>
      </c>
      <c r="D74" s="373" t="s">
        <v>3998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3999</v>
      </c>
      <c r="L74" s="273" t="s">
        <v>4000</v>
      </c>
      <c r="M74" s="402" t="s">
        <v>11</v>
      </c>
      <c r="N74" s="402" t="s">
        <v>2337</v>
      </c>
      <c r="O74" s="109" t="s">
        <v>3733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4001</v>
      </c>
      <c r="D75" s="373" t="s">
        <v>4002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4003</v>
      </c>
      <c r="L75" s="294" t="s">
        <v>4004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4005</v>
      </c>
      <c r="D76" s="294" t="s">
        <v>4006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4007</v>
      </c>
      <c r="L76" s="273" t="s">
        <v>4008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4009</v>
      </c>
      <c r="D77" s="273" t="s">
        <v>4010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4011</v>
      </c>
      <c r="L77" s="294" t="s">
        <v>4012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4013</v>
      </c>
      <c r="D78" s="294" t="s">
        <v>4014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4015</v>
      </c>
      <c r="L78" s="273" t="s">
        <v>4016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4017</v>
      </c>
      <c r="D79" s="273" t="s">
        <v>4018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4019</v>
      </c>
      <c r="L79" s="294" t="s">
        <v>4020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4021</v>
      </c>
      <c r="D80" s="294" t="s">
        <v>4022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4023</v>
      </c>
      <c r="L80" s="273" t="s">
        <v>4024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4025</v>
      </c>
      <c r="D81" s="373" t="s">
        <v>4026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4027</v>
      </c>
      <c r="L81" s="109" t="s">
        <v>4028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4029</v>
      </c>
      <c r="D82" s="373" t="s">
        <v>4030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4031</v>
      </c>
      <c r="L82" s="109" t="s">
        <v>4032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4033</v>
      </c>
      <c r="D83" s="373" t="s">
        <v>4034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4035</v>
      </c>
      <c r="L83" s="109" t="s">
        <v>4036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4037</v>
      </c>
      <c r="D84" s="294" t="s">
        <v>4038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4039</v>
      </c>
      <c r="L84" s="109" t="s">
        <v>4040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4041</v>
      </c>
      <c r="D85" s="326" t="s">
        <v>4042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4043</v>
      </c>
      <c r="L85" s="109" t="s">
        <v>4044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4045</v>
      </c>
      <c r="D86" s="273" t="s">
        <v>4046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4047</v>
      </c>
      <c r="L86" s="109" t="s">
        <v>4048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4049</v>
      </c>
      <c r="D87" s="294" t="s">
        <v>4050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4051</v>
      </c>
      <c r="L87" s="430" t="s">
        <v>4052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4053</v>
      </c>
      <c r="L88" s="405" t="s">
        <v>4054</v>
      </c>
      <c r="M88" s="478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4055</v>
      </c>
      <c r="L89" s="273" t="s">
        <v>4056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4057</v>
      </c>
      <c r="L90" s="294" t="s">
        <v>4058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4059</v>
      </c>
      <c r="L91" s="294" t="s">
        <v>4060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4061</v>
      </c>
      <c r="L92" s="273" t="s">
        <v>4062</v>
      </c>
      <c r="M92" s="501" t="s">
        <v>11</v>
      </c>
      <c r="N92" s="402" t="s">
        <v>2338</v>
      </c>
      <c r="O92" s="109" t="s">
        <v>4063</v>
      </c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4064</v>
      </c>
      <c r="L93" s="430" t="s">
        <v>4065</v>
      </c>
      <c r="M93" s="502" t="s">
        <v>11</v>
      </c>
      <c r="N93" s="431" t="s">
        <v>2338</v>
      </c>
      <c r="O93" s="109" t="s">
        <v>4066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3">
        <v>46181.0</v>
      </c>
      <c r="K94" s="504" t="s">
        <v>4067</v>
      </c>
      <c r="L94" s="504" t="s">
        <v>4068</v>
      </c>
      <c r="M94" s="505" t="s">
        <v>11</v>
      </c>
      <c r="N94" s="506" t="s">
        <v>28</v>
      </c>
      <c r="O94" s="504" t="s">
        <v>4069</v>
      </c>
      <c r="P94" s="507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4070</v>
      </c>
      <c r="L95" s="294" t="s">
        <v>4071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4072</v>
      </c>
      <c r="L96" s="273" t="s">
        <v>4073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4074</v>
      </c>
      <c r="L97" s="294" t="s">
        <v>4075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4076</v>
      </c>
      <c r="L98" s="273" t="s">
        <v>4077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4078</v>
      </c>
      <c r="L99" s="294" t="s">
        <v>4079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4080</v>
      </c>
      <c r="L100" s="273" t="s">
        <v>4081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4082</v>
      </c>
      <c r="L101" s="294" t="s">
        <v>4083</v>
      </c>
      <c r="M101" s="409" t="s">
        <v>25</v>
      </c>
      <c r="N101" s="391" t="s">
        <v>2338</v>
      </c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9"/>
      <c r="C1003" s="510" t="s">
        <v>3164</v>
      </c>
      <c r="D1003" s="109" t="s">
        <v>3165</v>
      </c>
      <c r="E1003" s="511" t="s">
        <v>13</v>
      </c>
      <c r="F1003" s="511" t="s">
        <v>2347</v>
      </c>
      <c r="G1003" s="512"/>
      <c r="H1003" s="513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9"/>
      <c r="C1004" s="109" t="s">
        <v>4084</v>
      </c>
      <c r="D1004" s="109" t="s">
        <v>4085</v>
      </c>
      <c r="E1004" s="511" t="s">
        <v>22</v>
      </c>
      <c r="F1004" s="511" t="s">
        <v>2347</v>
      </c>
      <c r="G1004" s="512"/>
      <c r="H1004" s="513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9"/>
      <c r="C1005" s="109" t="s">
        <v>4086</v>
      </c>
      <c r="D1005" s="109" t="s">
        <v>4087</v>
      </c>
      <c r="E1005" s="511" t="s">
        <v>22</v>
      </c>
      <c r="F1005" s="511" t="s">
        <v>2347</v>
      </c>
      <c r="G1005" s="512"/>
      <c r="H1005" s="513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9"/>
      <c r="C1006" s="109" t="s">
        <v>4088</v>
      </c>
      <c r="D1006" s="109" t="s">
        <v>4089</v>
      </c>
      <c r="E1006" s="511" t="s">
        <v>22</v>
      </c>
      <c r="F1006" s="511" t="s">
        <v>2347</v>
      </c>
      <c r="G1006" s="512"/>
      <c r="H1006" s="513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9"/>
      <c r="C1007" s="109"/>
      <c r="D1007" s="109"/>
      <c r="E1007" s="511"/>
      <c r="F1007" s="511"/>
      <c r="G1007" s="512"/>
      <c r="H1007" s="513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9"/>
      <c r="C1008" s="109"/>
      <c r="D1008" s="109"/>
      <c r="E1008" s="511"/>
      <c r="F1008" s="511"/>
      <c r="G1008" s="512"/>
      <c r="H1008" s="513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