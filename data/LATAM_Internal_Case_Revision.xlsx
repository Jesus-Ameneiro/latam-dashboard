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tc={bdfb0302-261a-481f-a298-7f66a1c8fb7e}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dfb0302-261a-481f-a298-7f66a1c8fb7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<sst xmlns="http://schemas.openxmlformats.org/spreadsheetml/2006/main" count="10732" uniqueCount="4884">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</sst>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6465e78-9998-4434-b484-f1fdf40b854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6465e78-9998-4434-b484-f1fdf40b854c}" id="{bdfb0302-261a-481f-a298-7f66a1c8fb7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41</v>
      </c>
      <c r="L91" s="33">
        <f t="shared" ref="L91:L95" si="6">I91-K91</f>
        <v>-16</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20</v>
      </c>
      <c r="L93" s="33">
        <f t="shared" si="6"/>
        <v>15</v>
      </c>
    </row>
    <row r="94" outlineLevel="1">
      <c r="D94" s="10"/>
      <c r="E94" s="37" t="s">
        <v>40</v>
      </c>
      <c r="F94" s="38">
        <f>sum(C91:C93)</f>
        <v>120</v>
      </c>
      <c r="G94" s="10"/>
      <c r="H94" s="22" t="s">
        <v>23</v>
      </c>
      <c r="I94" s="36">
        <v>15.0</v>
      </c>
      <c r="J94" s="10"/>
      <c r="K94" s="33">
        <f>SUM(SUMIF($K$76:$K$89, "Peru",$L$76:$L$89))</f>
        <v>8</v>
      </c>
      <c r="L94" s="33">
        <f t="shared" si="6"/>
        <v>7</v>
      </c>
    </row>
    <row r="95" outlineLevel="1">
      <c r="D95" s="10"/>
      <c r="E95" s="37" t="s">
        <v>41</v>
      </c>
      <c r="F95" s="38">
        <f>SUM(F91:F93)</f>
        <v>21</v>
      </c>
      <c r="G95" s="10"/>
      <c r="H95" s="23" t="s">
        <v>2340</v>
      </c>
      <c r="I95" s="36">
        <v>20.0</v>
      </c>
      <c r="J95" s="10"/>
      <c r="K95" s="33">
        <f>SUM(SUMIF($K$76:$K$89, "Bolivia",$L$76:$L$89), SUMIF($K$76:$K$89, "Paraguay",$L$76:$L$89), SUMIF($K$76:$K$89, "Uruguay",$L$76:$L$89))</f>
        <v>21</v>
      </c>
      <c r="L95" s="33">
        <f t="shared" si="6"/>
        <v>-1</v>
      </c>
    </row>
    <row r="96" outlineLevel="1">
      <c r="D96" s="10"/>
      <c r="G96" s="10"/>
      <c r="H96" s="10"/>
      <c r="I96" s="15"/>
      <c r="J96" s="10"/>
      <c r="K96" s="37" t="s">
        <v>40</v>
      </c>
      <c r="L96" s="247">
        <f>sum(I91:I95)</f>
        <v>120</v>
      </c>
    </row>
    <row r="97" outlineLevel="1">
      <c r="G97" s="10"/>
      <c r="H97" s="10"/>
      <c r="I97" s="10"/>
      <c r="J97" s="10"/>
      <c r="K97" s="37" t="s">
        <v>41</v>
      </c>
      <c r="L97" s="38">
        <f>SUM(L91:L95)</f>
        <v>14</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403">
        <v>46192.0</v>
      </c>
      <c r="AQ103" s="294" t="s">
        <v>4848</v>
      </c>
      <c r="AR103" s="294" t="s">
        <v>4849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4850</v>
      </c>
      <c r="AB104" s="273" t="s">
        <v>4851</v>
      </c>
      <c r="AC104" s="274" t="s">
        <v>30</v>
      </c>
      <c r="AD104" s="274" t="s">
        <v>2337</v>
      </c>
      <c r="AE104" s="61"/>
      <c r="AF104" s="269" t="b">
        <v>1</v>
      </c>
      <c r="AH104" s="270"/>
      <c r="AI104" s="109"/>
      <c r="AJ104" s="373"/>
      <c r="AK104" s="344"/>
      <c r="AL104" s="344"/>
      <c r="AM104" s="61"/>
      <c r="AN104" s="298"/>
      <c r="AP104" s="401">
        <v>46192.0</v>
      </c>
      <c r="AQ104" s="273" t="s">
        <v>4852</v>
      </c>
      <c r="AR104" s="273" t="s">
        <v>4853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4854</v>
      </c>
      <c r="AB105" s="294" t="s">
        <v>4855</v>
      </c>
      <c r="AC105" s="295" t="s">
        <v>11</v>
      </c>
      <c r="AD105" s="295" t="s">
        <v>2337</v>
      </c>
      <c r="AE105" s="61"/>
      <c r="AF105" s="269" t="b">
        <v>1</v>
      </c>
      <c r="AH105" s="270"/>
      <c r="AI105" s="109"/>
      <c r="AJ105" s="373"/>
      <c r="AK105" s="344"/>
      <c r="AL105" s="344"/>
      <c r="AM105" s="61"/>
      <c r="AN105" s="298"/>
      <c r="AP105" s="403">
        <v>46192.0</v>
      </c>
      <c r="AQ105" s="294" t="s">
        <v>4856</v>
      </c>
      <c r="AR105" s="294" t="s">
        <v>4857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4858</v>
      </c>
      <c r="AB106" s="273" t="s">
        <v>4859</v>
      </c>
      <c r="AC106" s="274" t="s">
        <v>27</v>
      </c>
      <c r="AD106" s="274" t="s">
        <v>2337</v>
      </c>
      <c r="AE106" s="61"/>
      <c r="AF106" s="269" t="b">
        <v>1</v>
      </c>
      <c r="AH106" s="270"/>
      <c r="AI106" s="109"/>
      <c r="AJ106" s="373"/>
      <c r="AK106" s="344"/>
      <c r="AL106" s="344"/>
      <c r="AM106" s="61"/>
      <c r="AN106" s="298"/>
      <c r="AP106" s="401">
        <v>46192.0</v>
      </c>
      <c r="AQ106" s="273" t="s">
        <v>4860</v>
      </c>
      <c r="AR106" s="273" t="s">
        <v>4861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4862</v>
      </c>
      <c r="AB107" s="294" t="s">
        <v>4863</v>
      </c>
      <c r="AC107" s="295"/>
      <c r="AD107" s="295" t="s">
        <v>2337</v>
      </c>
      <c r="AE107" s="61"/>
      <c r="AF107" s="269" t="b">
        <v>0</v>
      </c>
      <c r="AH107" s="270"/>
      <c r="AI107" s="109"/>
      <c r="AJ107" s="373"/>
      <c r="AK107" s="344"/>
      <c r="AL107" s="344"/>
      <c r="AM107" s="61"/>
      <c r="AN107" s="298"/>
      <c r="AP107" s="403">
        <v>46192.0</v>
      </c>
      <c r="AQ107" s="294" t="s">
        <v>4864</v>
      </c>
      <c r="AR107" s="294" t="s">
        <v>4865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4866</v>
      </c>
      <c r="AB108" s="273" t="s">
        <v>4867</v>
      </c>
      <c r="AC108" s="274" t="s">
        <v>27</v>
      </c>
      <c r="AD108" s="274" t="s">
        <v>2337</v>
      </c>
      <c r="AE108" s="61"/>
      <c r="AF108" s="269" t="b">
        <v>1</v>
      </c>
      <c r="AH108" s="270"/>
      <c r="AI108" s="109"/>
      <c r="AJ108" s="373"/>
      <c r="AK108" s="344"/>
      <c r="AL108" s="344"/>
      <c r="AM108" s="61"/>
      <c r="AN108" s="298"/>
      <c r="AP108" s="401">
        <v>46192.0</v>
      </c>
      <c r="AQ108" s="273" t="s">
        <v>4868</v>
      </c>
      <c r="AR108" s="273" t="s">
        <v>4869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4870</v>
      </c>
      <c r="AB109" s="273" t="s">
        <v>4871</v>
      </c>
      <c r="AC109" s="383" t="s">
        <v>27</v>
      </c>
      <c r="AD109" s="410" t="s">
        <v>2338</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4872</v>
      </c>
      <c r="AB110" s="294" t="s">
        <v>4873</v>
      </c>
      <c r="AC110" s="381" t="s">
        <v>11</v>
      </c>
      <c r="AD110" s="295"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4874</v>
      </c>
      <c r="AB111" s="294" t="s">
        <v>4875</v>
      </c>
      <c r="AC111" s="381" t="s">
        <v>30</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4876</v>
      </c>
      <c r="AB112" s="273" t="s">
        <v>4877</v>
      </c>
      <c r="AC112" s="383"/>
      <c r="AD112" s="293" t="s">
        <v>2338</v>
      </c>
      <c r="AE112" s="109" t="s">
        <v>982</v>
      </c>
      <c r="AF112" s="298"/>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4"/>
      <c r="C998" s="525" t="s">
        <v>3164</v>
      </c>
      <c r="D998" s="109" t="s">
        <v>3165</v>
      </c>
      <c r="E998" s="526" t="s">
        <v>13</v>
      </c>
      <c r="F998" s="526" t="s">
        <v>2347</v>
      </c>
      <c r="G998" s="527"/>
      <c r="H998" s="528" t="b">
        <v>0</v>
      </c>
      <c r="I998" s="258"/>
      <c r="J998" s="194"/>
      <c r="K998" s="61"/>
      <c r="L998" s="61"/>
      <c r="M998" s="81"/>
      <c r="N998" s="81"/>
      <c r="O998" s="61"/>
      <c r="P998" s="269" t="b">
        <v>0</v>
      </c>
      <c r="Q998" s="258"/>
      <c r="Y998" s="258"/>
      <c r="AO998" s="258"/>
      <c r="AW998" s="258"/>
      <c r="BE998" s="258"/>
    </row>
    <row r="999" ht="22.5" customHeight="1">
      <c r="A999" s="368"/>
      <c r="B999" s="524"/>
      <c r="C999" s="109" t="s">
        <v>4878</v>
      </c>
      <c r="D999" s="109" t="s">
        <v>4879</v>
      </c>
      <c r="E999" s="526" t="s">
        <v>22</v>
      </c>
      <c r="F999" s="526" t="s">
        <v>2347</v>
      </c>
      <c r="G999" s="527"/>
      <c r="H999" s="528" t="b">
        <v>0</v>
      </c>
      <c r="I999" s="258"/>
      <c r="J999" s="194"/>
      <c r="K999" s="61"/>
      <c r="L999" s="61"/>
      <c r="M999" s="81"/>
      <c r="N999" s="81"/>
      <c r="O999" s="61"/>
      <c r="P999" s="269" t="b">
        <v>0</v>
      </c>
      <c r="Q999" s="258"/>
      <c r="Y999" s="258"/>
      <c r="AO999" s="258"/>
      <c r="AW999" s="258"/>
      <c r="BE999" s="258"/>
    </row>
    <row r="1000" ht="22.5" customHeight="1">
      <c r="A1000" s="368"/>
      <c r="B1000" s="524"/>
      <c r="C1000" s="109" t="s">
        <v>4880</v>
      </c>
      <c r="D1000" s="109" t="s">
        <v>4881</v>
      </c>
      <c r="E1000" s="526" t="s">
        <v>22</v>
      </c>
      <c r="F1000" s="526" t="s">
        <v>2347</v>
      </c>
      <c r="G1000" s="527"/>
      <c r="H1000" s="528" t="b">
        <v>0</v>
      </c>
      <c r="I1000" s="258"/>
      <c r="J1000" s="194"/>
      <c r="K1000" s="61"/>
      <c r="L1000" s="61"/>
      <c r="M1000" s="81"/>
      <c r="N1000" s="81"/>
      <c r="O1000" s="61"/>
      <c r="P1000" s="269" t="b">
        <v>0</v>
      </c>
      <c r="Q1000" s="258"/>
      <c r="Y1000" s="258"/>
      <c r="AO1000" s="258"/>
      <c r="AW1000" s="258"/>
      <c r="BE1000" s="258"/>
    </row>
    <row r="1001" ht="22.5" customHeight="1">
      <c r="A1001" s="368"/>
      <c r="B1001" s="524"/>
      <c r="C1001" s="109" t="s">
        <v>4882</v>
      </c>
      <c r="D1001" s="109" t="s">
        <v>4883</v>
      </c>
      <c r="E1001" s="526" t="s">
        <v>22</v>
      </c>
      <c r="F1001" s="526" t="s">
        <v>2347</v>
      </c>
      <c r="G1001" s="527"/>
      <c r="H1001" s="528" t="b">
        <v>0</v>
      </c>
      <c r="I1001" s="258"/>
      <c r="J1001" s="194"/>
      <c r="K1001" s="61"/>
      <c r="L1001" s="61"/>
      <c r="M1001" s="81"/>
      <c r="N1001" s="81"/>
      <c r="O1001" s="61"/>
      <c r="P1001" s="269" t="b">
        <v>0</v>
      </c>
      <c r="Q1001" s="258"/>
      <c r="Y1001" s="258"/>
      <c r="AO1001" s="258"/>
      <c r="AW1001" s="258"/>
      <c r="BE1001" s="258"/>
    </row>
    <row r="1002" ht="22.5" customHeight="1">
      <c r="A1002" s="368"/>
      <c r="B1002" s="524"/>
      <c r="C1002" s="109"/>
      <c r="D1002" s="109"/>
      <c r="E1002" s="526"/>
      <c r="F1002" s="526"/>
      <c r="G1002" s="527"/>
      <c r="H1002" s="528" t="b">
        <v>0</v>
      </c>
      <c r="I1002" s="258"/>
      <c r="J1002" s="194"/>
      <c r="K1002" s="61"/>
      <c r="L1002" s="61"/>
      <c r="M1002" s="81"/>
      <c r="N1002" s="81"/>
      <c r="O1002" s="61"/>
      <c r="P1002" s="269" t="b">
        <v>0</v>
      </c>
      <c r="Q1002" s="258"/>
      <c r="Y1002" s="258"/>
      <c r="AO1002" s="258"/>
      <c r="AW1002" s="258"/>
      <c r="BE1002" s="258"/>
    </row>
    <row r="1003" ht="22.5" customHeight="1">
      <c r="A1003" s="368"/>
      <c r="B1003" s="524"/>
      <c r="C1003" s="109"/>
      <c r="D1003" s="109"/>
      <c r="E1003" s="526"/>
      <c r="F1003" s="526"/>
      <c r="G1003" s="527"/>
      <c r="H1003" s="52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