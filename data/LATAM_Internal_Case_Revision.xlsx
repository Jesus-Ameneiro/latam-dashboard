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June!$AH$1:$AN$995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tc={ad5aad98-fa24-4590-bbac-03d71c64d455}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d5aad98-fa24-4590-bbac-03d71c64d45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<sst xmlns="http://schemas.openxmlformats.org/spreadsheetml/2006/main" count="10640" uniqueCount="4836">
  <si>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</si>
  <si>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</si>
  <si>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</si>
  <si>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</si>
  <si>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</si>
  <si>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</si>
  <si>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</si>
  <si>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</si>
  <si>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</si>
  <si>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</si>
  <si>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</si>
  <si>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</si>
  <si>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</si>
  <si>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</si>
  <si>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</si>
  <si>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</si>
  <si>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</si>
  <si>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</si>
  <si>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</si>
  <si>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</si>
  <si>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</si>
  <si>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</si>
  <si>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</si>
  <si>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</si>
  <si>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</si>
  <si>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</si>
  <si>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</si>
  <si>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</si>
  <si>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</si>
  <si>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</si>
  <si>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</si>
  <si>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</si>
  <si>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</si>
  <si>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</si>
  <si>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</si>
  <si>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</si>
  <si>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</si>
  <si>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</si>
  <si>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</si>
  <si>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</si>
  <si>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</si>
  <si>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</si>
  <si>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</si>
  <si>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</si>
  <si>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</si>
  <si>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</si>
  <si>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</si>
  <si>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</si>
  <si>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</si>
  <si>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</si>
  <si>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</si>
  <si>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</si>
  <si>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</si>
  <si>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</si>
  <si>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</si>
  <si>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</si>
  <si>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</si>
  <si>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</si>
  <si>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</si>
  <si>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</si>
  <si>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</si>
  <si>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</si>
  <si>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</si>
  <si>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</si>
  <si>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</si>
  <si>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</si>
  <si>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</si>
  <si>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</si>
  <si>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</si>
  <si>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</si>
  <si>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</si>
  <si>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</si>
  <si>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</si>
  <si>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</si>
  <si>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</si>
  <si>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</si>
  <si>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</si>
  <si>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</si>
  <si>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</si>
  <si>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</si>
  <si>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</si>
  <si>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</si>
  <si>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</si>
  <si>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</si>
  <si>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</si>
  <si>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</si>
  <si>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</si>
  <si>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</si>
  <si>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</si>
  <si>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</si>
  <si>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</si>
  <si>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</si>
  <si>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</si>
  <si>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</si>
  <si>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</si>
  <si>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</si>
  <si>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</si>
  <si>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</si>
  <si>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</si>
  <si>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</si>
  <si>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</si>
  <si>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</si>
  <si>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</si>
  <si>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</si>
  <si>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</si>
  <si>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</si>
  <si>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</si>
  <si>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</si>
  <si>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</si>
  <si>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</si>
  <si>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</si>
  <si>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</si>
  <si>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</si>
  <si>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</si>
  <si>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</si>
  <si>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</si>
  <si>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</si>
  <si>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</si>
  <si>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</si>
  <si>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</si>
  <si>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</si>
  <si>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</si>
  <si>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</si>
  <si>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</si>
  <si>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</si>
  <si>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</si>
  <si>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</si>
  <si>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</si>
  <si>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</si>
  <si>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</si>
  <si>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</si>
  <si>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</si>
  <si>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</si>
  <si>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</si>
  <si>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</si>
  <si>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</si>
  <si>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</si>
  <si>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</si>
  <si>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</si>
  <si>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</si>
  <si>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</si>
  <si>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</si>
  <si>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</si>
  <si>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</si>
  <si>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</si>
  <si>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</si>
  <si>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</si>
  <si>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</si>
  <si>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</si>
  <si>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</si>
  <si>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</si>
  <si>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</si>
  <si>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</si>
  <si>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</si>
  <si>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</si>
  <si>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</si>
  <si>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</si>
  <si>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</si>
  <si>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</si>
  <si>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</si>
  <si>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</si>
  <si>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</si>
  <si>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</si>
  <si>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</si>
  <si>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</si>
  <si>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</si>
  <si>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</si>
  <si>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</si>
  <si>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</si>
  <si>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</si>
  <si>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</si>
  <si>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</si>
  <si>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</si>
  <si>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</si>
  <si>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</si>
  <si>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</si>
  <si>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</si>
  <si>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</si>
  <si>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</si>
  <si>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</si>
  <si>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</si>
  <si>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</si>
  <si>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</si>
  <si>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</si>
  <si>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</si>
  <si>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</si>
  <si>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</si>
  <si>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</si>
  <si>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</si>
  <si>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</si>
  <si>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</si>
  <si>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</si>
  <si>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</si>
  <si>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</si>
  <si>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</si>
  <si>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</si>
  <si>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</si>
  <si>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</si>
  <si>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</si>
  <si>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</si>
  <si>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</si>
  <si>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</si>
  <si>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</si>
  <si>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</si>
  <si>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</si>
  <si>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</si>
  <si>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</si>
  <si>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</si>
  <si>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</si>
  <si>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</si>
  <si>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</si>
  <si>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</si>
  <si>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</si>
  <si>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</si>
  <si>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</si>
  <si>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</si>
  <si>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</si>
  <si>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</si>
  <si>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</si>
  <si>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</si>
  <si>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</si>
  <si>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</si>
  <si>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</si>
  <si>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</si>
  <si>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</si>
  <si>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</si>
  <si>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</si>
  <si>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</si>
  <si>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</si>
  <si>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</si>
  <si>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</si>
  <si>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</si>
  <si>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</si>
  <si>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</si>
  <si>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</si>
  <si>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</si>
  <si>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</si>
  <si>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</si>
  <si>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</si>
  <si>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</si>
  <si>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</si>
  <si>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</si>
  <si>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</si>
  <si>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</si>
  <si>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</si>
  <si>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</si>
  <si>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</si>
  <si>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</si>
  <si>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</si>
  <si>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</si>
  <si>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</si>
  <si>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</si>
  <si>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</si>
  <si>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</si>
  <si>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</si>
  <si>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</si>
  <si>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</si>
  <si>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</si>
  <si>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</si>
  <si>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</si>
  <si>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</si>
  <si>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</si>
  <si>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</si>
  <si>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</si>
  <si>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</si>
  <si>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</si>
  <si>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</si>
  <si>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</si>
  <si>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</si>
  <si>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</si>
  <si>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</si>
  <si>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</si>
  <si>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</si>
  <si>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</si>
  <si>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</si>
  <si>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</si>
  <si>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</si>
  <si>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</si>
  <si>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</si>
  <si>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</si>
  <si>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</si>
  <si>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</si>
  <si>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</si>
  <si>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</si>
  <si>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</si>
  <si>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</si>
  <si>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</si>
  <si>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</si>
  <si>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</si>
  <si>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</si>
  <si>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</si>
  <si>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</si>
  <si>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</si>
  <si>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</si>
  <si>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</si>
  <si>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</si>
  <si>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</si>
  <si>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</si>
  <si>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</si>
  <si>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</si>
  <si>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</si>
  <si>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</si>
  <si>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</si>
  <si>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</si>
  <si>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</si>
  <si>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</si>
  <si>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</si>
  <si>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</si>
  <si>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</si>
  <si>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</si>
  <si>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</si>
  <si>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</si>
  <si>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</si>
  <si>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</si>
  <si>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</si>
  <si>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</si>
  <si>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</si>
  <si>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</si>
  <si>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</si>
  <si>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</si>
  <si>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</si>
  <si>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</si>
  <si>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</si>
  <si>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</si>
  <si>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</si>
  <si>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</si>
  <si>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</si>
  <si>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</si>
  <si>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</si>
  <si>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</si>
  <si>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</si>
  <si>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</si>
  <si>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</si>
  <si>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</si>
  <si>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</si>
  <si>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</si>
  <si>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</si>
  <si>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</si>
  <si>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</si>
  <si>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</si>
  <si>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</si>
  <si>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</si>
  <si>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</si>
  <si>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</si>
  <si>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</si>
  <si>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</si>
  <si>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</si>
  <si>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</si>
  <si>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</si>
  <si>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</si>
  <si>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</si>
  <si>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</si>
  <si>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</si>
  <si>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</si>
  <si>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</si>
  <si>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</si>
  <si>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</si>
  <si>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</si>
  <si>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</si>
  <si>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</si>
  <si>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</si>
  <si>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</si>
  <si>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</si>
  <si>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</si>
  <si>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</si>
  <si>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</si>
  <si>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</si>
  <si>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</si>
  <si>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</si>
  <si>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</si>
  <si>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</si>
  <si>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</si>
  <si>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</si>
  <si>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</si>
  <si>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</si>
  <si>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</si>
  <si>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</si>
  <si>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</si>
  <si>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</si>
  <si>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</si>
  <si>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</si>
  <si>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</si>
  <si>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</si>
  <si>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</si>
  <si>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</si>
  <si>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</si>
  <si>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</si>
  <si>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</si>
  <si>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</si>
  <si>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</si>
  <si>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</si>
  <si>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</si>
  <si>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</si>
  <si>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</si>
  <si>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</si>
  <si>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</si>
  <si>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</si>
  <si>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</si>
  <si>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</si>
  <si>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</si>
  <si>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</si>
  <si>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</si>
  <si>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</si>
  <si>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</si>
  <si>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</si>
  <si>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</si>
  <si>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</si>
  <si>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</si>
  <si>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</si>
  <si>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</si>
  <si>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</si>
  <si>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</si>
  <si>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</si>
  <si>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</si>
  <si>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</si>
  <si>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</si>
  <si>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</si>
  <si>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</si>
  <si>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</si>
  <si>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</si>
  <si>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</si>
  <si>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</si>
  <si>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</si>
  <si>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</si>
  <si>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</si>
  <si>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</si>
  <si>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</si>
  <si>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</si>
  <si>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</si>
  <si>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</si>
  <si>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</si>
  <si>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</si>
  <si>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</si>
  <si>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</si>
  <si>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</si>
  <si>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</si>
  <si>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</si>
  <si>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</si>
  <si>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</si>
  <si>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</si>
  <si>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</si>
  <si>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</si>
  <si>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</si>
  <si>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</si>
  <si>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</si>
  <si>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</si>
  <si>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</si>
  <si>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</si>
  <si>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</si>
  <si>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</si>
  <si>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</si>
  <si>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</si>
  <si>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</si>
  <si>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</si>
  <si>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</si>
  <si>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</si>
  <si>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</si>
  <si>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</si>
  <si>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</si>
  <si>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</si>
  <si>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</si>
  <si>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</si>
  <si>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</si>
  <si>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</si>
  <si>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</si>
  <si>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</si>
  <si>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</si>
  <si>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</si>
  <si>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</si>
  <si>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</si>
  <si>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</si>
  <si>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</si>
  <si>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</si>
  <si>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</si>
  <si>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</si>
  <si>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</si>
  <si>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</si>
  <si>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</si>
  <si>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</si>
  <si>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</si>
  <si>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</si>
  <si>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</si>
  <si>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</si>
  <si>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</si>
  <si>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</si>
  <si>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</si>
  <si>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</si>
  <si>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</si>
  <si>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</si>
  <si>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</si>
  <si>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</si>
  <si>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</si>
  <si>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</si>
  <si>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</si>
  <si>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</si>
  <si>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</si>
  <si>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</si>
  <si>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</si>
  <si>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</si>
  <si>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</si>
  <si>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</si>
  <si>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</si>
  <si>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</si>
  <si>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</si>
  <si>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</si>
  <si>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</si>
  <si>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</si>
  <si>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</si>
  <si>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</si>
  <si>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</si>
  <si>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</si>
  <si>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</si>
  <si>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</si>
  <si>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</si>
  <si>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</si>
  <si>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</si>
  <si>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</si>
  <si>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</si>
  <si>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</si>
  <si>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</si>
  <si>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</si>
  <si>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</si>
  <si>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</si>
  <si>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</si>
  <si>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</si>
  <si>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</si>
  <si>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</si>
  <si>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</si>
  <si>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</si>
  <si>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</si>
  <si>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</si>
  <si>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</si>
  <si>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</si>
  <si>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</si>
  <si>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</si>
  <si>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</si>
  <si>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</si>
  <si>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</si>
  <si>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</si>
  <si>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</si>
  <si>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</si>
  <si>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</si>
  <si>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</si>
  <si>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</si>
  <si>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</si>
  <si>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</si>
  <si>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</si>
  <si>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</si>
  <si>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</si>
  <si>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</si>
  <si>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</si>
  <si>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</si>
  <si>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</si>
  <si>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</si>
  <si>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</si>
  <si>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</si>
  <si>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</si>
  <si>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</si>
  <si>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</si>
  <si>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</si>
  <si>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</si>
  <si>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</si>
  <si>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</si>
  <si>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</si>
  <si>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</si>
  <si>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</si>
  <si>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</si>
  <si>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</si>
  <si>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</si>
  <si>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</si>
  <si>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</si>
  <si>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</si>
  <si>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</si>
  <si>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</si>
  <si>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</si>
  <si>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</si>
  <si>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</si>
  <si>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</si>
  <si>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</si>
  <si>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</si>
  <si>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</si>
  <si>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</si>
  <si>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</si>
  <si>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</si>
  <si>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</si>
  <si>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</si>
  <si>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</si>
  <si>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</si>
  <si>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</si>
  <si>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</si>
  <si>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</si>
  <si>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</si>
  <si>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</si>
  <si>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</si>
  <si>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</si>
  <si>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</si>
  <si>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</si>
  <si>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</si>
  <si>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</si>
  <si>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</si>
  <si>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</si>
  <si>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</si>
  <si>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</si>
  <si>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</si>
  <si>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</si>
  <si>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</si>
  <si>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</si>
  <si>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</si>
  <si>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</si>
  <si>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</si>
  <si>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</si>
  <si>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</si>
  <si>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</si>
  <si>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</si>
  <si>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</si>
  <si>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</si>
  <si>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</si>
  <si>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</si>
  <si>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</si>
  <si>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</si>
  <si>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</si>
  <si>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</si>
  <si>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</si>
  <si>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</si>
  <si>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</si>
  <si>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</si>
  <si>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</si>
  <si>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</si>
  <si>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</si>
  <si>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</si>
  <si>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</si>
  <si>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</si>
  <si>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</si>
  <si>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</si>
  <si>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</si>
  <si>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</si>
  <si>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</si>
  <si>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</si>
  <si>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</si>
  <si>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</si>
  <si>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</si>
  <si>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</si>
  <si>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</si>
  <si>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</si>
  <si>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</si>
  <si>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</si>
  <si>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</si>
  <si>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</si>
  <si>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</si>
  <si>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</si>
  <si>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</si>
  <si>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</si>
  <si>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</si>
  <si>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</si>
  <si>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</si>
  <si>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</si>
  <si>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</si>
  <si>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</si>
  <si>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</si>
  <si>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</si>
  <si>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</si>
  <si>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</si>
  <si>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</si>
  <si>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</si>
  <si>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</si>
  <si>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</si>
  <si>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</si>
  <si>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</si>
  <si>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</si>
  <si>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</si>
  <si>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</si>
  <si>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</si>
  <si>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</si>
  <si>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</si>
  <si>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</si>
  <si>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</si>
  <si>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</si>
  <si>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</si>
  <si>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</si>
  <si>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</si>
  <si>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</si>
  <si>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</si>
  <si>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</si>
  <si>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</si>
  <si>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</si>
  <si>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</si>
  <si>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</si>
  <si>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</si>
  <si>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</si>
  <si>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</si>
  <si>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</si>
  <si>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</si>
  <si>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</si>
  <si>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</si>
  <si>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</si>
  <si>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</si>
  <si>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</si>
  <si>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</si>
  <si>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</si>
  <si>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</si>
  <si>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</si>
  <si>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</si>
  <si>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</si>
  <si>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</si>
  <si>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</si>
  <si>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</si>
  <si>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</si>
  <si>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</si>
  <si>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</si>
  <si>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</si>
  <si>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</si>
  <si>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</si>
  <si>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</si>
  <si>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</si>
  <si>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</si>
  <si>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</si>
  <si>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</si>
  <si>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</si>
  <si>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</si>
  <si>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</si>
  <si>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</si>
  <si>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</si>
  <si>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</si>
  <si>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</si>
  <si>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</si>
  <si>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</si>
  <si>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</si>
  <si>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</si>
  <si>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</si>
  <si>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</si>
  <si>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</si>
  <si>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</si>
  <si>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</si>
  <si>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</si>
  <si>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</si>
  <si>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</si>
  <si>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</si>
  <si>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</si>
  <si>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</si>
  <si>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</si>
  <si>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</si>
  <si>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</si>
  <si>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</si>
  <si>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</si>
  <si>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</si>
  <si>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</si>
  <si>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</si>
  <si>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</si>
  <si>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</si>
  <si>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</si>
  <si>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</si>
  <si>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</si>
  <si>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</si>
  <si>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</si>
  <si>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</si>
  <si>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</si>
  <si>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</si>
  <si>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</si>
  <si>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</si>
  <si>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</si>
  <si>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</si>
  <si>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</si>
  <si>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</si>
  <si>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</si>
  <si>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</si>
  <si>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</si>
  <si>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</si>
  <si>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</si>
  <si>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</si>
  <si>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</si>
  <si>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</si>
  <si>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</si>
  <si>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</si>
  <si>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</si>
  <si>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</si>
  <si>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</si>
  <si>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</si>
  <si>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</si>
  <si>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</si>
  <si>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</si>
  <si>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</si>
  <si>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</si>
  <si>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</si>
  <si>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</si>
  <si>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</si>
  <si>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</si>
  <si>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</si>
  <si>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</si>
  <si>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</si>
  <si>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</si>
  <si>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</si>
  <si>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</si>
  <si>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</si>
  <si>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</si>
  <si>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</si>
  <si>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</si>
  <si>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</si>
  <si>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</si>
  <si>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</si>
  <si>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</si>
  <si>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</si>
  <si>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</si>
  <si>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</si>
  <si>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</si>
  <si>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</si>
  <si>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</si>
  <si>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</si>
  <si>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</si>
  <si>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</si>
  <si>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</si>
  <si>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</si>
  <si>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</si>
  <si>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</si>
  <si>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</si>
  <si>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</si>
  <si>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</si>
  <si>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</si>
  <si>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</si>
  <si>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</si>
  <si>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</si>
  <si>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</si>
  <si>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</si>
  <si>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</si>
  <si>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</si>
  <si>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</si>
  <si>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</si>
  <si>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</si>
  <si>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</si>
  <si>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</si>
  <si>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</si>
  <si>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</si>
  <si>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</si>
  <si>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</si>
  <si>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</si>
  <si>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</si>
  <si>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</si>
  <si>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</si>
  <si>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</si>
  <si>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</si>
  <si>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</si>
  <si>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</si>
  <si>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</si>
  <si>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</si>
  <si>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</si>
  <si>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</si>
  <si>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</si>
  <si>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</si>
  <si>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</si>
  <si>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</si>
  <si>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</si>
  <si>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</si>
  <si>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</si>
  <si>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</si>
  <si>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</si>
  <si>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</si>
  <si>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</si>
  <si>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</si>
  <si>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</si>
  <si>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</si>
  <si>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</si>
  <si>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</si>
  <si>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</si>
  <si>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</si>
  <si>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</si>
  <si>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</si>
  <si>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</si>
  <si>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</si>
  <si>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</si>
  <si>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</si>
  <si>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</si>
  <si>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</si>
  <si>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</si>
  <si>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</si>
  <si>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</si>
  <si>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</si>
  <si>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</si>
  <si>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</si>
  <si>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</si>
  <si>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</si>
  <si>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</si>
  <si>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</si>
  <si>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</si>
  <si>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</si>
  <si>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</si>
  <si>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</si>
  <si>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</si>
  <si>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</si>
  <si>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</si>
  <si>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</si>
  <si>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</si>
  <si>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</si>
  <si>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</si>
  <si>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</si>
  <si>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</si>
  <si>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</si>
  <si>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</si>
  <si>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</si>
  <si>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</si>
  <si>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</si>
  <si>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</si>
  <si>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</si>
  <si>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</si>
  <si>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</si>
  <si>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</si>
  <si>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</si>
  <si>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</si>
  <si>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</si>
  <si>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</si>
  <si>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</si>
  <si>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</si>
  <si>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</si>
  <si>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</si>
  <si>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</si>
  <si>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</si>
  <si>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</si>
  <si>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</si>
  <si>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</si>
  <si>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</si>
  <si>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</si>
  <si>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</si>
  <si>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</si>
  <si>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</si>
  <si>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</si>
  <si>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</si>
  <si>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</si>
  <si>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</si>
  <si>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</si>
  <si>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</si>
  <si>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</si>
  <si>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</si>
  <si>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</si>
  <si>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</si>
  <si>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</si>
  <si>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</si>
  <si>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</si>
  <si>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</si>
  <si>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</si>
  <si>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</si>
  <si>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</si>
  <si>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</si>
  <si>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</si>
  <si>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</si>
  <si>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</si>
  <si>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</si>
  <si>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</si>
  <si>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</si>
  <si>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</si>
  <si>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</si>
  <si>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</si>
  <si>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</si>
  <si>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</si>
  <si>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</si>
  <si>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</si>
  <si>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</si>
  <si>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</si>
  <si>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</si>
  <si>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</si>
  <si>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</si>
  <si>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</si>
  <si>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</si>
  <si>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</si>
  <si>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</si>
  <si>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</si>
  <si>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</si>
  <si>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</si>
  <si>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</si>
  <si>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</si>
  <si>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</si>
  <si>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</si>
  <si>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</si>
  <si>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</si>
  <si>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</si>
  <si>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</si>
  <si>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</si>
  <si>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</si>
  <si>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</si>
  <si>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</si>
  <si>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</si>
  <si>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</si>
  <si>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</si>
  <si>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</si>
  <si>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</si>
  <si>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</si>
  <si>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</si>
  <si>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</si>
  <si>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</si>
  <si>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</si>
  <si>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</si>
  <si>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</si>
  <si>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</si>
  <si>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</si>
  <si>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</si>
  <si>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</si>
  <si>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</si>
  <si>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</si>
  <si>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</si>
  <si>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</si>
  <si>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</si>
  <si>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</si>
  <si>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</si>
  <si>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</si>
  <si>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</si>
  <si>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</si>
  <si>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</si>
  <si>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</si>
  <si>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</si>
  <si>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</si>
  <si>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</si>
  <si>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</si>
  <si>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</si>
  <si>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</si>
  <si>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</si>
  <si>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</si>
  <si>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</si>
  <si>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</si>
  <si>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</si>
  <si>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</si>
  <si>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</si>
  <si>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</si>
  <si>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</si>
  <si>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</si>
  <si>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</si>
  <si>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</si>
  <si>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</si>
  <si>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</si>
  <si>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</si>
  <si>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</si>
  <si>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</si>
  <si>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</si>
  <si>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</si>
  <si>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</si>
  <si>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</si>
  <si>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</si>
  <si>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</si>
  <si>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</si>
  <si>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</si>
  <si>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</si>
  <si>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</si>
  <si>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</si>
  <si>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</si>
  <si>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</si>
  <si>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</si>
  <si>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</si>
  <si>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</si>
  <si>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</si>
  <si>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</si>
  <si>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</si>
  <si>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</si>
  <si>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</si>
  <si>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</si>
  <si>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</si>
  <si>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</si>
  <si>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</si>
  <si>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</si>
  <si>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</si>
  <si>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</si>
  <si>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</si>
  <si>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</si>
  <si>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</si>
  <si>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</si>
  <si>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</si>
  <si>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</si>
  <si>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</si>
  <si>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</si>
  <si>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</si>
  <si>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</si>
  <si>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</si>
  <si>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</si>
  <si>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</si>
  <si>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</si>
  <si>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</si>
  <si>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</si>
  <si>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</si>
  <si>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</si>
  <si>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</si>
  <si>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</si>
  <si>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</si>
  <si>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</si>
  <si>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</si>
  <si>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</si>
  <si>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</si>
  <si>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</si>
  <si>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</si>
  <si>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</si>
  <si>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</si>
  <si>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</si>
  <si>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</si>
  <si>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</si>
  <si>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</si>
  <si>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</si>
  <si>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</si>
  <si>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</si>
  <si>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</si>
  <si>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</si>
  <si>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</si>
  <si>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</si>
  <si>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</si>
  <si>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</si>
  <si>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</si>
  <si>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</si>
  <si>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</si>
  <si>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</si>
  <si>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</si>
  <si>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</si>
  <si>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</si>
  <si>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</si>
  <si>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</si>
  <si>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</si>
  <si>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</si>
  <si>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</si>
  <si>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</si>
  <si>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</si>
  <si>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</si>
  <si>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</si>
  <si>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</si>
  <si>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</si>
  <si>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</si>
  <si>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</si>
  <si>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</si>
  <si>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</si>
  <si>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</si>
  <si>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</si>
  <si>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</si>
  <si>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</si>
  <si>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</si>
  <si>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</si>
  <si>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</si>
  <si>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</si>
  <si>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</si>
  <si>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</si>
  <si>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</si>
  <si>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</si>
  <si>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</si>
  <si>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</si>
  <si>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</si>
  <si>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</si>
  <si>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</si>
  <si>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</si>
  <si>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</si>
  <si>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</si>
  <si>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</si>
  <si>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</si>
  <si>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</si>
  <si>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</si>
  <si>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</si>
  <si>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</si>
  <si>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</si>
  <si>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</si>
  <si>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</si>
  <si>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</si>
  <si>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</si>
  <si>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</si>
  <si>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</si>
  <si>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</si>
  <si>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</si>
  <si>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</si>
  <si>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</si>
  <si>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</si>
  <si>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</si>
  <si>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</si>
  <si>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</si>
  <si>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</si>
  <si>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</si>
  <si>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</si>
  <si>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</si>
  <si>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</si>
  <si>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</si>
  <si>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</si>
  <si>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</si>
  <si>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</si>
  <si>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</si>
  <si>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</si>
  <si>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</si>
  <si>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</si>
  <si>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</si>
  <si>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</si>
  <si>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</si>
  <si>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</si>
  <si>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</si>
  <si>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</si>
  <si>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</si>
  <si>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</si>
  <si>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</si>
  <si>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</si>
  <si>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</si>
  <si>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</si>
  <si>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</si>
  <si>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</si>
  <si>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</si>
  <si>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</si>
  <si>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</si>
  <si>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</si>
  <si>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</si>
  <si>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</si>
  <si>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</si>
  <si>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</si>
  <si>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</si>
  <si>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</si>
  <si>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</si>
  <si>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</si>
  <si>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</si>
  <si>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</si>
  <si>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</si>
  <si>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</si>
  <si>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</si>
  <si>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</si>
  <si>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</si>
  <si>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</si>
  <si>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</si>
  <si>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</si>
  <si>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</si>
  <si>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</si>
  <si>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</si>
  <si>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</si>
  <si>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</si>
  <si>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</si>
  <si>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</si>
  <si>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</si>
  <si>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</si>
  <si>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</si>
  <si>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</si>
  <si>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</si>
  <si>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</si>
  <si>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</si>
  <si>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</si>
  <si>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</si>
  <si>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</si>
  <si>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</si>
  <si>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</si>
  <si>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</si>
  <si>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</si>
  <si>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</si>
  <si>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</si>
  <si>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</si>
  <si>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</si>
  <si>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</si>
  <si>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</si>
  <si>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</si>
  <si>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</si>
  <si>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</si>
  <si>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</si>
  <si>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</si>
  <si>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</si>
  <si>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</si>
  <si>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</si>
  <si>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</si>
  <si>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</si>
  <si>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</si>
  <si>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</si>
  <si>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</si>
  <si>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</si>
  <si>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</si>
  <si>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</si>
  <si>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</si>
  <si>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</si>
  <si>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</si>
  <si>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</si>
  <si>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</si>
  <si>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</si>
  <si>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</si>
  <si>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</si>
  <si>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</si>
  <si>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</si>
  <si>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</si>
  <si>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</si>
  <si>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</si>
  <si>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</si>
  <si>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</si>
  <si>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</si>
  <si>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</si>
  <si>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</si>
  <si>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</si>
  <si>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</si>
  <si>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</si>
  <si>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</si>
  <si>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</si>
  <si>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</si>
  <si>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</si>
  <si>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</si>
  <si>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</si>
  <si>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</si>
  <si>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</si>
  <si>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</si>
  <si>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</si>
  <si>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</si>
  <si>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</si>
  <si>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</si>
  <si>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</si>
  <si>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</si>
  <si>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</si>
  <si>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</si>
  <si>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</si>
  <si>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</si>
  <si>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</si>
  <si>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</si>
  <si>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</si>
  <si>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</si>
  <si>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</si>
  <si>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</si>
  <si>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</si>
  <si>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</si>
  <si>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</si>
  <si>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</si>
  <si>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</si>
  <si>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</si>
  <si>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</si>
  <si>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</si>
  <si>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</si>
  <si>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</si>
  <si>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</si>
  <si>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</si>
  <si>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</si>
  <si>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</si>
  <si>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</si>
  <si>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</si>
  <si>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</si>
  <si>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</si>
  <si>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</si>
  <si>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</si>
  <si>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</si>
  <si>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</si>
  <si>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</si>
  <si>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</si>
  <si>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</si>
  <si>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</si>
  <si>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</si>
  <si>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</si>
  <si>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</si>
  <si>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</si>
  <si>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</si>
  <si>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</si>
  <si>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</si>
  <si>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</si>
  <si>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</si>
  <si>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</si>
  <si>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</si>
  <si>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</si>
  <si>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</si>
  <si>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</si>
  <si>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</si>
  <si>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</si>
  <si>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</si>
  <si>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</si>
  <si>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</si>
  <si>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</si>
  <si>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</si>
  <si>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</si>
  <si>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</si>
  <si>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</si>
  <si>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</si>
  <si>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</si>
  <si>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</si>
  <si>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</si>
  <si>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</si>
  <si>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</si>
  <si>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</si>
  <si>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</si>
  <si>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</si>
  <si>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</si>
  <si>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</si>
  <si>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</si>
  <si>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</si>
  <si>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</si>
  <si>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</si>
  <si>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</si>
  <si>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</si>
  <si>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</si>
  <si>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</si>
  <si>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</si>
  <si>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</si>
  <si>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</si>
  <si>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</si>
  <si>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</si>
  <si>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</si>
  <si>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</si>
  <si>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</si>
  <si>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</si>
  <si>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</si>
  <si>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</si>
  <si>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</si>
  <si>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</si>
  <si>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</si>
  <si>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</si>
  <si>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</si>
  <si>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</si>
  <si>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</si>
  <si>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</si>
  <si>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</si>
  <si>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</si>
  <si>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</si>
  <si>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</si>
  <si>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</si>
  <si>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</si>
  <si>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</si>
  <si>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</si>
  <si>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</si>
  <si>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</si>
  <si>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</si>
  <si>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</si>
  <si>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</si>
  <si>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</si>
  <si>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</si>
  <si>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</si>
  <si>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</si>
  <si>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</si>
  <si>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</si>
  <si>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</si>
  <si>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</si>
  <si>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</si>
  <si>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</si>
  <si>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</si>
  <si>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</si>
  <si>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</si>
  <si>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</si>
  <si>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</si>
  <si>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</si>
  <si>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</si>
  <si>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</si>
  <si>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</si>
  <si>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</si>
  <si>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</si>
  <si>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</si>
  <si>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</si>
  <si>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</si>
  <si>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</si>
  <si>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</si>
  <si>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</si>
  <si>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</si>
  <si>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</si>
  <si>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</si>
  <si>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</si>
  <si>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</si>
  <si>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</si>
  <si>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</si>
  <si>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</si>
  <si>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</si>
  <si>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</si>
  <si>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</si>
  <si>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</si>
  <si>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</si>
  <si>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</si>
  <si>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</si>
  <si>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</si>
  <si>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</si>
  <si>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</si>
  <si>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</si>
  <si>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</si>
  <si>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</si>
  <si>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</si>
  <si>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</si>
  <si>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</si>
  <si>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</si>
  <si>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</si>
  <si>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</si>
  <si>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</si>
  <si>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</si>
  <si>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</si>
  <si>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</si>
  <si>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</si>
  <si>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</si>
  <si>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</si>
  <si>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</si>
  <si>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</si>
  <si>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</si>
  <si>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</si>
  <si>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</si>
  <si>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</si>
  <si>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</si>
  <si>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</si>
  <si>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</si>
  <si>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</si>
  <si>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</si>
  <si>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</si>
  <si>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</si>
  <si>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</si>
  <si>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</si>
  <si>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</si>
  <si>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</si>
  <si>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</si>
  <si>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</si>
  <si>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</si>
  <si>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</si>
  <si>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</si>
  <si>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</si>
  <si>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</si>
  <si>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</si>
  <si>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</si>
  <si>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</si>
  <si>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</si>
  <si>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</si>
  <si>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</si>
  <si>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</si>
  <si>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</si>
  <si>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</si>
  <si>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</si>
  <si>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</si>
  <si>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</si>
  <si>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</si>
  <si>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</si>
  <si>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</si>
  <si>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</si>
  <si>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</si>
  <si>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</si>
  <si>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</si>
  <si>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</si>
  <si>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</si>
  <si>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</si>
  <si>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</si>
  <si>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</si>
  <si>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</si>
  <si>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</si>
  <si>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</si>
  <si>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</si>
  <si>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</si>
  <si>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</si>
  <si>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</si>
  <si>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</si>
  <si>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</si>
  <si>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</si>
  <si>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</si>
  <si>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</si>
  <si>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</si>
  <si>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</si>
  <si>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</si>
  <si>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</si>
  <si>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</si>
  <si>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</si>
  <si>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</si>
  <si>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</si>
  <si>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</si>
  <si>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</si>
  <si>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</si>
  <si>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</si>
  <si>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</si>
  <si>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</si>
  <si>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</si>
  <si>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</si>
  <si>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</si>
  <si>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</si>
  <si>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</si>
  <si>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</si>
  <si>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</si>
  <si>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</si>
  <si>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</si>
  <si>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</si>
  <si>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</si>
  <si>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</si>
  <si>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</si>
  <si>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</si>
  <si>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</si>
  <si>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</si>
  <si>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</si>
  <si>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</si>
  <si>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</si>
  <si>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</si>
  <si>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</si>
  <si>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</si>
  <si>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</si>
  <si>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</si>
  <si>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</si>
  <si>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</si>
  <si>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</si>
  <si>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</si>
  <si>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</si>
  <si>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</si>
  <si>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</si>
  <si>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</si>
  <si>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</si>
  <si>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</si>
  <si>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</si>
  <si>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</si>
  <si>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</si>
  <si>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</si>
  <si>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</si>
  <si>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</si>
  <si>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</si>
  <si>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</si>
  <si>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</si>
  <si>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</si>
  <si>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</si>
  <si>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</si>
  <si>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</si>
  <si>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</si>
  <si>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</si>
  <si>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</si>
  <si>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</si>
  <si>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</si>
  <si>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</si>
  <si>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</si>
  <si>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</si>
  <si>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</si>
  <si>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</si>
  <si>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</si>
  <si>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</si>
  <si>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</si>
  <si>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</si>
  <si>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</si>
  <si>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</si>
  <si>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</si>
  <si>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</si>
  <si>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</si>
  <si>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</si>
  <si>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</si>
  <si>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</si>
  <si>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</si>
  <si>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</si>
  <si>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</si>
  <si>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</si>
  <si>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</si>
  <si>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</si>
  <si>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</si>
  <si>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</si>
  <si>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</si>
  <si>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</si>
  <si>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</si>
  <si>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</si>
  <si>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</si>
  <si>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</si>
  <si>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</si>
  <si>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</si>
  <si>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</si>
  <si>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</si>
  <si>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</si>
  <si>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</si>
  <si>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</si>
  <si>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</si>
  <si>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</si>
  <si>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</si>
  <si>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</si>
  <si>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</si>
  <si>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</si>
  <si>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</si>
  <si>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</si>
  <si>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</si>
  <si>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</si>
  <si>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</si>
  <si>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</si>
  <si>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</si>
  <si>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</si>
  <si>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</si>
  <si>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</si>
  <si>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</si>
  <si>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</si>
  <si>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</si>
  <si>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</si>
  <si>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</si>
  <si>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</si>
  <si>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</si>
  <si>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</si>
  <si>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</si>
  <si>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</si>
  <si>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</si>
  <si>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</si>
  <si>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</si>
  <si>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</si>
  <si>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</si>
  <si>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</si>
  <si>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</si>
  <si>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</si>
  <si>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</si>
  <si>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</si>
  <si>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</si>
  <si>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</si>
  <si>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</si>
  <si>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</si>
  <si>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</si>
  <si>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</si>
  <si>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</si>
  <si>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</si>
  <si>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</si>
  <si>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</si>
  <si>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</si>
  <si>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</si>
  <si>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</si>
  <si>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</si>
  <si>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</si>
  <si>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</si>
  <si>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</si>
  <si>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</si>
  <si>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</si>
  <si>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</si>
  <si>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</si>
  <si>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</si>
  <si>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</si>
  <si>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</si>
  <si>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</si>
  <si>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</si>
  <si>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</si>
  <si>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</si>
  <si>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</si>
  <si>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</si>
  <si>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</si>
  <si>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</si>
  <si>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</si>
  <si>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</si>
  <si>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</si>
  <si>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</si>
  <si>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</si>
  <si>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</si>
  <si>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</si>
  <si>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</si>
  <si>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</si>
  <si>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</si>
  <si>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</si>
  <si>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</si>
  <si>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</si>
  <si>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</si>
  <si>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</si>
  <si>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</si>
  <si>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</si>
  <si>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</si>
  <si>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</si>
  <si>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</si>
  <si>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</si>
  <si>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</si>
  <si>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</si>
  <si>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</si>
  <si>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</si>
  <si>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</si>
  <si>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</si>
  <si>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</si>
  <si>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</si>
  <si>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</si>
  <si>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</si>
  <si>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</si>
  <si>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</si>
  <si>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</si>
  <si>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</si>
  <si>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</si>
  <si>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</si>
  <si>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</si>
  <si>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</si>
  <si>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</si>
  <si>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</si>
  <si>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</si>
  <si>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</si>
  <si>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</si>
  <si>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</si>
  <si>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</si>
  <si>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</si>
  <si>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</si>
  <si>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</si>
  <si>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</si>
  <si>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</si>
  <si>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</si>
  <si>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</si>
  <si>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</si>
  <si>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</si>
  <si>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</si>
  <si>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</si>
  <si>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</si>
  <si>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</si>
  <si>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</si>
  <si>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</si>
  <si>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</si>
  <si>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</si>
  <si>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</si>
  <si>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</si>
  <si>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</si>
  <si>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</si>
  <si>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</si>
  <si>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</si>
  <si>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</si>
  <si>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</si>
  <si>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</si>
  <si>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</si>
  <si>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</si>
  <si>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</si>
  <si>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</si>
  <si>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</si>
  <si>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</si>
  <si>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</si>
  <si>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</si>
  <si>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</si>
  <si>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</si>
  <si>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</si>
  <si>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</si>
  <si>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</si>
  <si>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</si>
  <si>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</si>
  <si>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</si>
  <si>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</si>
  <si>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</si>
  <si>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</si>
  <si>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</si>
  <si>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</si>
  <si>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</si>
  <si>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</si>
  <si>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</si>
  <si>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</si>
  <si>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</si>
  <si>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</si>
  <si>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</si>
  <si>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</si>
  <si>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</si>
  <si>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</si>
  <si>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</si>
  <si>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</si>
  <si>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</si>
  <si>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</si>
  <si>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</si>
  <si>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</si>
  <si>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</si>
  <si>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</si>
  <si>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</si>
  <si>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</si>
  <si>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</si>
  <si>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</si>
  <si>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</si>
  <si>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</si>
  <si>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</si>
  <si>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</si>
  <si>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</si>
  <si>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</si>
  <si>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</si>
  <si>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</si>
  <si>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</si>
  <si>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</si>
  <si>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</si>
  <si>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</si>
  <si>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</si>
  <si>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</si>
  <si>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</si>
  <si>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</si>
  <si>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</si>
  <si>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</si>
  <si>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</si>
  <si>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</si>
  <si>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</si>
  <si>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</si>
  <si>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</si>
  <si>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</si>
  <si>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</si>
  <si>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</si>
  <si>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</si>
  <si>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</si>
  <si>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</si>
  <si>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</si>
  <si>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</si>
  <si>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</si>
  <si>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</si>
  <si>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</si>
  <si>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</si>
  <si>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</si>
  <si>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</si>
  <si>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</si>
  <si>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</si>
  <si>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</si>
  <si>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</si>
  <si>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</si>
  <si>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</si>
  <si>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</si>
  <si>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</si>
  <si>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</si>
  <si>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</si>
  <si>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</si>
  <si>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</si>
  <si>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</si>
  <si>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</si>
  <si>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</si>
  <si>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</si>
  <si>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</si>
  <si>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</si>
  <si>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</si>
  <si>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</si>
  <si>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</si>
  <si>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</si>
  <si>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</si>
  <si>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</si>
  <si>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</si>
  <si>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</si>
  <si>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</si>
  <si>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</si>
  <si>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</si>
  <si>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</si>
  <si>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</si>
  <si>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</si>
  <si>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</si>
  <si>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</si>
  <si>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</si>
  <si>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</si>
  <si>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</si>
  <si>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</si>
  <si>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</si>
  <si>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</si>
  <si>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</si>
  <si>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</si>
  <si>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</si>
  <si>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</si>
  <si>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</si>
  <si>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</si>
  <si>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</si>
  <si>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</si>
  <si>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</si>
  <si>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</si>
  <si>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</si>
  <si>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</si>
  <si>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</si>
  <si>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</si>
  <si>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</si>
  <si>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</si>
  <si>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</si>
  <si>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</si>
  <si>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</si>
  <si>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</si>
  <si>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</si>
  <si>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</si>
  <si>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</si>
  <si>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</si>
  <si>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</si>
  <si>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</si>
  <si>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</si>
  <si>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</si>
  <si>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</si>
  <si>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</si>
  <si>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</si>
  <si>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</si>
  <si>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</si>
  <si>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</si>
  <si>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</si>
  <si>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</si>
  <si>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</si>
  <si>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</si>
  <si>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</si>
  <si>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</si>
  <si>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</si>
  <si>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</si>
  <si>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</si>
  <si>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</si>
  <si>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</si>
  <si>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</si>
  <si>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</si>
  <si>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</si>
  <si>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</si>
  <si>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</si>
  <si>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</si>
  <si>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</si>
  <si>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</si>
  <si>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</si>
  <si>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</si>
  <si>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</si>
  <si>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</si>
  <si>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</si>
  <si>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</si>
  <si>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</si>
  <si>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</si>
  <si>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</si>
  <si>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</si>
  <si>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</si>
  <si>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</si>
  <si>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</si>
  <si>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</si>
  <si>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</si>
  <si>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</si>
  <si>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</si>
  <si>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</si>
  <si>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</si>
  <si>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</si>
  <si>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</si>
  <si>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</si>
  <si>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</si>
  <si>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</si>
  <si>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</si>
  <si>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</si>
  <si>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</si>
  <si>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</si>
  <si>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</si>
  <si>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</si>
  <si>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</si>
  <si>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</si>
  <si>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</si>
  <si>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</si>
  <si>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</si>
  <si>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</si>
  <si>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</si>
  <si>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</si>
  <si>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</si>
  <si>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</si>
  <si>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</si>
  <si>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</si>
  <si>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</si>
  <si>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</si>
  <si>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</si>
  <si>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</si>
  <si>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</si>
  <si>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</si>
  <si>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</si>
  <si>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</si>
  <si>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</si>
  <si>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</si>
  <si>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</si>
  <si>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</si>
  <si>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</si>
  <si>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</si>
  <si>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</si>
  <si>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</si>
  <si>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</si>
  <si>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</si>
  <si>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</si>
  <si>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</si>
  <si>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</si>
  <si>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</si>
  <si>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</si>
  <si>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</si>
  <si>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</si>
  <si>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</si>
  <si>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</si>
  <si>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</si>
  <si>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</si>
  <si>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</si>
  <si>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</si>
  <si>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</si>
  <si>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</si>
  <si>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</si>
  <si>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</si>
  <si>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</si>
  <si>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</si>
  <si>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</si>
  <si>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</si>
  <si>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</si>
  <si>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</si>
  <si>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</si>
  <si>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</si>
  <si>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</si>
  <si>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</si>
  <si>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</si>
  <si>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</si>
  <si>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</si>
  <si>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</si>
  <si>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</si>
  <si>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</si>
  <si>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</si>
  <si>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</si>
  <si>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</si>
  <si>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</si>
  <si>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</si>
  <si>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</si>
  <si>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</si>
  <si>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</si>
  <si>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</si>
  <si>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</si>
  <si>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</si>
  <si>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</si>
  <si>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</si>
  <si>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</si>
  <si>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</si>
  <si>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</si>
  <si>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</si>
  <si>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</si>
  <si>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</si>
  <si>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</si>
  <si>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</si>
  <si>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</si>
  <si>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</si>
  <si>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</si>
  <si>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</si>
  <si>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</si>
  <si>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</si>
  <si>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</si>
  <si>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</si>
  <si>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</si>
  <si>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</si>
  <si>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</si>
  <si>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</si>
  <si>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</si>
  <si>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</si>
  <si>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</si>
  <si>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</si>
  <si>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</si>
  <si>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</si>
  <si>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</si>
  <si>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</si>
  <si>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</si>
  <si>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</si>
  <si>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</si>
  <si>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</si>
  <si>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</si>
  <si>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</si>
  <si>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</si>
  <si>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</si>
  <si>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</si>
  <si>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</si>
  <si>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</si>
  <si>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</si>
  <si>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</si>
  <si>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</si>
  <si>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</si>
  <si>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</si>
  <si>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</si>
  <si>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</si>
  <si>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</si>
  <si>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</si>
  <si>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</si>
  <si>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</si>
  <si>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</si>
  <si>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</si>
  <si>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</si>
  <si>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</si>
  <si>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</si>
  <si>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</si>
  <si>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</si>
  <si>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</si>
  <si>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</si>
  <si>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</si>
  <si>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</si>
  <si>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</si>
  <si>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</si>
  <si>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</si>
  <si>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</si>
  <si>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</si>
  <si>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</si>
  <si>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</si>
  <si>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</si>
  <si>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</si>
  <si>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</si>
  <si>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</si>
  <si>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</si>
  <si>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</si>
  <si>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</si>
  <si>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</si>
  <si>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</si>
  <si>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</si>
  <si>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</si>
  <si>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</si>
  <si>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</si>
  <si>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</si>
  <si>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</si>
  <si>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</si>
  <si>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</si>
  <si>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</si>
  <si>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</si>
  <si>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</si>
  <si>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</si>
  <si>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</si>
  <si>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</si>
  <si>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</si>
  <si>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</si>
  <si>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</si>
  <si>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</si>
  <si>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</si>
  <si>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</si>
  <si>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</si>
  <si>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</si>
  <si>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</si>
  <si>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</si>
  <si>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</si>
  <si>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</si>
  <si>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</si>
  <si>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</si>
  <si>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</si>
  <si>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</si>
  <si>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</si>
  <si>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</si>
  <si>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</si>
  <si>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</si>
  <si>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</si>
  <si>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</si>
  <si>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</si>
  <si>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</si>
  <si>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</si>
  <si>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</si>
  <si>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</si>
  <si>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</si>
  <si>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</si>
  <si>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</si>
  <si>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</si>
  <si>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</si>
  <si>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</si>
  <si>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</si>
  <si>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</si>
  <si>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</si>
  <si>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</si>
  <si>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</si>
  <si>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</si>
  <si>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</si>
  <si>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</si>
  <si>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</si>
  <si>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</si>
  <si>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</si>
  <si>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</si>
  <si>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</si>
  <si>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</si>
  <si>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</si>
  <si>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</si>
  <si>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</si>
  <si>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</si>
  <si>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</si>
  <si>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</si>
  <si>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</si>
  <si>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</si>
  <si>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</si>
  <si>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</si>
  <si>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</si>
  <si>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</si>
  <si>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</si>
  <si>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</si>
  <si>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</si>
  <si>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</si>
  <si>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</si>
  <si>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</si>
  <si>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</si>
  <si>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</si>
  <si>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</si>
  <si>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</si>
  <si>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</si>
  <si>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</si>
  <si>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</si>
  <si>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</si>
  <si>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</si>
  <si>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</si>
  <si>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</si>
  <si>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</si>
  <si>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</si>
  <si>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</si>
  <si>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</si>
  <si>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</si>
  <si>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</si>
  <si>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</si>
  <si>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</si>
  <si>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</si>
  <si>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</si>
  <si>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</si>
  <si>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</si>
  <si>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</si>
  <si>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</si>
  <si>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</si>
  <si>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</si>
  <si>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</si>
  <si>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</si>
  <si>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</si>
  <si>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</si>
  <si>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</si>
  <si>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</si>
  <si>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</si>
  <si>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</si>
  <si>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</si>
  <si>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</si>
  <si>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</si>
  <si>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</si>
  <si>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</si>
  <si>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</si>
  <si>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</si>
  <si>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</si>
  <si>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</si>
  <si>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</si>
  <si>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</si>
  <si>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</si>
  <si>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</si>
  <si>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</si>
  <si>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</si>
  <si>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</si>
  <si>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</si>
  <si>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</si>
  <si>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</si>
  <si>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</si>
  <si>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</si>
  <si>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</si>
  <si>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</si>
  <si>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</si>
  <si>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</si>
  <si>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</si>
  <si>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</si>
  <si>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</si>
  <si>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</si>
  <si>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</si>
  <si>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</si>
  <si>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</si>
  <si>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</si>
  <si>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</si>
  <si>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</si>
  <si>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</si>
  <si>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</si>
  <si>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</si>
  <si>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</si>
  <si>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</si>
  <si>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</si>
  <si>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</si>
  <si>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</si>
  <si>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</si>
  <si>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</si>
  <si>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</si>
  <si>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</si>
  <si>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</si>
  <si>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</si>
  <si>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</si>
  <si>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</si>
  <si>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</si>
  <si>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</si>
  <si>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</si>
  <si>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</si>
  <si>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</si>
  <si>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</si>
  <si>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</si>
  <si>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</si>
  <si>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</si>
  <si>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</si>
  <si>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</si>
  <si>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</si>
  <si>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</si>
  <si>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</si>
  <si>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</si>
  <si>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</si>
  <si>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</si>
  <si>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</si>
  <si>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</si>
  <si>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</si>
  <si>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</si>
  <si>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</si>
  <si>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</si>
  <si>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</si>
  <si>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</si>
  <si>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</si>
  <si>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</si>
  <si>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</si>
  <si>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</si>
  <si>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</si>
  <si>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</si>
  <si>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</si>
  <si>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</si>
  <si>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</si>
  <si>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</si>
  <si>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</si>
  <si>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</si>
  <si>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</si>
  <si>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</si>
  <si>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</si>
  <si>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</si>
  <si>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</si>
  <si>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</si>
  <si>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</si>
  <si>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</si>
  <si>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</si>
  <si>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</si>
  <si>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</si>
  <si>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</si>
  <si>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</si>
  <si>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</si>
  <si>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</si>
  <si>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</si>
  <si>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</si>
  <si>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</si>
  <si>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</si>
  <si>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</si>
  <si>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</si>
  <si>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</si>
  <si>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</si>
  <si>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</si>
  <si>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</si>
  <si>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</si>
  <si>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</si>
  <si>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</si>
  <si>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</si>
  <si>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</si>
  <si>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</si>
  <si>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</si>
  <si>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</si>
  <si>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</si>
  <si>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</si>
  <si>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</si>
  <si>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</si>
  <si>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</si>
  <si>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</si>
  <si>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</si>
  <si>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</si>
  <si>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</si>
  <si>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</si>
  <si>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</si>
  <si>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</si>
  <si>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</si>
  <si>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</si>
  <si>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</si>
  <si>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</si>
  <si>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</si>
  <si>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</si>
  <si>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</si>
  <si>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</si>
  <si>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</si>
  <si>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</si>
  <si>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</si>
  <si>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</si>
  <si>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</si>
  <si>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</si>
  <si>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</si>
  <si>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</si>
  <si>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</si>
  <si>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</si>
  <si>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</si>
  <si>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</si>
  <si>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</si>
  <si>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</si>
  <si>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</si>
  <si>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</si>
  <si>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</si>
  <si>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</si>
  <si>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</si>
  <si>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</si>
  <si>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</si>
  <si>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</si>
  <si>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</si>
  <si>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</si>
  <si>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</si>
  <si>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</si>
  <si>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</si>
  <si>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</si>
  <si>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</si>
  <si>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</si>
  <si>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</si>
  <si>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</si>
  <si>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</si>
  <si>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</si>
  <si>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</si>
  <si>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</si>
  <si>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</si>
  <si>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</si>
  <si>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</si>
  <si>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</si>
  <si>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</si>
  <si>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</si>
  <si>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</si>
  <si>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</si>
  <si>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</si>
  <si>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</si>
  <si>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</si>
  <si>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</si>
  <si>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</si>
  <si>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</si>
  <si>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</si>
  <si>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</si>
  <si>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</si>
  <si>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</si>
  <si>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</si>
  <si>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</si>
  <si>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</si>
  <si>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</si>
  <si>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</si>
  <si>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</si>
  <si>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</si>
  <si>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</si>
  <si>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</si>
  <si>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</si>
  <si>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</si>
  <si>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</si>
  <si>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</si>
  <si>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</si>
  <si>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</si>
  <si>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</si>
  <si>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</si>
  <si>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</si>
  <si>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</si>
  <si>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</si>
  <si>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</si>
  <si>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</si>
  <si>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</si>
  <si>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</si>
  <si>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</si>
  <si>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</si>
  <si>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</si>
  <si>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</si>
  <si>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</si>
  <si>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</si>
  <si>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</si>
  <si>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</si>
  <si>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</si>
  <si>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</si>
  <si>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</si>
  <si>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</si>
  <si>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</si>
  <si>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</si>
  <si>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</si>
  <si>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</si>
  <si>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</si>
  <si>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</si>
  <si>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</si>
  <si>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</si>
  <si>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</si>
  <si>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</si>
  <si>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</si>
  <si>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</si>
  <si>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</si>
  <si>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</si>
  <si>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</si>
  <si>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</si>
  <si>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</si>
  <si>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</si>
  <si>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</si>
  <si>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</si>
  <si>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</si>
  <si>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</si>
  <si>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</si>
  <si>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</si>
  <si>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</si>
  <si>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</si>
  <si>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</si>
  <si>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</si>
  <si>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</si>
  <si>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</si>
  <si>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</si>
  <si>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</si>
  <si>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</si>
  <si>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</si>
  <si>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</si>
  <si>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</si>
  <si>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</si>
  <si>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</si>
  <si>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</si>
  <si>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</si>
  <si>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</si>
  <si>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</si>
  <si>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</si>
  <si>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</si>
  <si>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</si>
  <si>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</si>
  <si>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</si>
  <si>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</si>
  <si>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</si>
  <si>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</si>
  <si>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</si>
  <si>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</si>
  <si>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</si>
  <si>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</si>
  <si>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</si>
  <si>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</si>
  <si>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</si>
  <si>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</si>
  <si>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</si>
  <si>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</si>
  <si>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</si>
  <si>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</si>
  <si>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</si>
  <si>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</si>
  <si>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</si>
  <si>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</si>
  <si>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</si>
  <si>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</si>
  <si>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</si>
  <si>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</si>
  <si>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</si>
  <si>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</si>
  <si>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</si>
  <si>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</si>
  <si>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</si>
  <si>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</si>
  <si>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</si>
  <si>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</si>
  <si>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</si>
  <si>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</si>
  <si>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</si>
  <si>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</si>
  <si>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</si>
  <si>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</si>
  <si>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</si>
  <si>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</si>
  <si>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</si>
  <si>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</si>
  <si>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</si>
  <si>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</si>
  <si>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</si>
  <si>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</si>
  <si>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</si>
  <si>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</si>
  <si>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</si>
  <si>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</si>
  <si>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</si>
  <si>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</si>
  <si>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</si>
  <si>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</si>
  <si>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</si>
  <si>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</si>
  <si>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</si>
  <si>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</si>
  <si>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</si>
  <si>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</si>
  <si>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</si>
  <si>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</si>
  <si>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</si>
  <si>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</si>
  <si>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</si>
  <si>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</si>
  <si>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</si>
  <si>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</si>
  <si>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</si>
  <si>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</si>
  <si>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</si>
  <si>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</si>
  <si>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</si>
  <si>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</si>
  <si>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</si>
  <si>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</si>
  <si>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</si>
  <si>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</si>
  <si>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</si>
  <si>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</si>
  <si>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</si>
  <si>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</si>
  <si>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</si>
  <si>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</si>
  <si>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</si>
  <si>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</si>
  <si>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</si>
  <si>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</si>
  <si>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</si>
  <si>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</si>
  <si>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</si>
  <si>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</si>
  <si>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</si>
  <si>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</si>
  <si>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</si>
  <si>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</si>
  <si>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</si>
  <si>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</si>
  <si>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</si>
  <si>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</si>
  <si>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</si>
  <si>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</si>
  <si>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</si>
  <si>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</si>
  <si>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</si>
  <si>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</si>
  <si>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</si>
  <si>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</si>
  <si>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</si>
  <si>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</si>
  <si>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</si>
  <si>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</si>
  <si>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</si>
  <si>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</si>
  <si>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</si>
  <si>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</si>
  <si>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</si>
  <si>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</si>
  <si>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</si>
  <si>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</si>
  <si>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</si>
  <si>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</si>
  <si>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</si>
  <si>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</si>
  <si>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</si>
  <si>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</si>
  <si>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</si>
  <si>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</si>
  <si>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</si>
  <si>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</si>
  <si>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</si>
  <si>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</si>
  <si>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</si>
  <si>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</si>
  <si>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</si>
  <si>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</si>
  <si>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</si>
  <si>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</si>
  <si>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</si>
  <si>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</si>
  <si>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</si>
  <si>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</si>
  <si>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</si>
  <si>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</si>
  <si>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</si>
  <si>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</si>
  <si>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</si>
  <si>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</si>
  <si>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</si>
  <si>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</si>
  <si>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</si>
  <si>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</si>
  <si>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</si>
  <si>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</si>
  <si>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</si>
  <si>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</si>
  <si>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</si>
  <si>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</si>
  <si>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</si>
  <si>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</si>
  <si>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</si>
  <si>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</si>
  <si>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</si>
  <si>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</si>
  <si>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</si>
  <si>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</si>
  <si>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</si>
  <si>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</si>
  <si>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</si>
  <si>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</si>
  <si>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</si>
  <si>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</si>
  <si>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</si>
  <si>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</si>
  <si>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</si>
  <si>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</si>
  <si>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</si>
  <si>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</si>
  <si>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</si>
  <si>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</si>
  <si>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</si>
  <si>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</si>
  <si>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</si>
  <si>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</si>
  <si>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</si>
  <si>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</si>
  <si>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</si>
  <si>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</si>
  <si>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</si>
  <si>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</si>
  <si>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</si>
  <si>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</si>
  <si>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</si>
  <si>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</si>
  <si>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</si>
  <si>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</si>
  <si>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</si>
  <si>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</si>
  <si>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</si>
  <si>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</si>
  <si>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</si>
  <si>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</si>
  <si>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</si>
  <si>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</si>
  <si>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</si>
  <si>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</si>
  <si>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</si>
  <si>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</si>
  <si>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</si>
  <si>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</si>
  <si>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</si>
  <si>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</si>
  <si>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</si>
  <si>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</si>
  <si>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</si>
  <si>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</si>
  <si>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</si>
  <si>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</si>
  <si>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</si>
  <si>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</si>
  <si>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</si>
  <si>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</si>
  <si>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</si>
  <si>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</si>
  <si>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</si>
  <si>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</si>
  <si>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</si>
  <si>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</si>
  <si>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</si>
  <si>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</si>
  <si>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</si>
  <si>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</si>
  <si>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</si>
  <si>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</si>
  <si>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</si>
  <si>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</si>
  <si>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</si>
  <si>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</si>
  <si>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</si>
  <si>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</si>
  <si>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</si>
  <si>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</si>
  <si>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</si>
  <si>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</si>
  <si>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</si>
  <si>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</si>
  <si>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</si>
  <si>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</si>
  <si>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</si>
  <si>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</si>
  <si>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</si>
  <si>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</si>
  <si>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</si>
  <si>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</si>
  <si>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</si>
  <si>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</si>
  <si>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</si>
  <si>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</si>
  <si>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</si>
  <si>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</si>
  <si>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</si>
  <si>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</si>
  <si>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</si>
  <si>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</si>
  <si>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</si>
  <si>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</si>
  <si>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</si>
  <si>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</si>
  <si>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</si>
  <si>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</si>
  <si>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</si>
  <si>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</si>
  <si>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</si>
  <si>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</si>
  <si>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</si>
  <si>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</si>
  <si>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</si>
  <si>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</si>
  <si>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</si>
  <si>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</si>
  <si>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</si>
  <si>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</si>
  <si>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</si>
  <si>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</si>
  <si>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</si>
  <si>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</si>
  <si>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</si>
  <si>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</si>
  <si>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</si>
  <si>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</si>
  <si>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</si>
  <si>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</si>
  <si>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</si>
  <si>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</si>
  <si>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</si>
  <si>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</si>
  <si>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</si>
  <si>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</si>
  <si>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</si>
  <si>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</si>
  <si>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</si>
  <si>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</si>
  <si>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</si>
  <si>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</si>
  <si>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</si>
  <si>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</si>
  <si>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</si>
  <si>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</si>
  <si>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</si>
  <si>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</si>
  <si>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</si>
  <si>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</si>
  <si>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</si>
  <si>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</si>
  <si>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</si>
  <si>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</si>
  <si>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</si>
  <si>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</si>
  <si>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</si>
  <si>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</si>
  <si>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</si>
  <si>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</si>
  <si>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</si>
  <si>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</si>
  <si>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</si>
  <si>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</si>
  <si>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</si>
  <si>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</si>
  <si>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</si>
  <si>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</si>
  <si>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</si>
  <si>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</si>
  <si>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</si>
  <si>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</si>
  <si>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</si>
  <si>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</si>
  <si>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</si>
  <si>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</si>
  <si>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</si>
  <si>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</si>
  <si>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</si>
  <si>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</si>
  <si>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</si>
  <si>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</si>
  <si>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</si>
  <si>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</si>
  <si>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</si>
  <si>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</si>
  <si>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</si>
  <si>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</si>
  <si>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</si>
  <si>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</si>
  <si>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</si>
  <si>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</si>
  <si>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</si>
  <si>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</si>
  <si>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</si>
  <si>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</si>
  <si>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</si>
  <si>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</si>
  <si>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</si>
  <si>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</si>
  <si>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</si>
  <si>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</si>
  <si>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</si>
  <si>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</si>
  <si>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</si>
  <si>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</si>
  <si>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</si>
  <si>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</si>
  <si>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</si>
  <si>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</si>
  <si>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</si>
  <si>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</si>
  <si>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</si>
  <si>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</si>
  <si>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</si>
  <si>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</si>
  <si>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</si>
  <si>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</si>
  <si>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</si>
  <si>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</si>
  <si>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</si>
  <si>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</si>
  <si>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</si>
  <si>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</si>
  <si>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</si>
  <si>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</si>
  <si>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</si>
  <si>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</si>
  <si>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</si>
  <si>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</si>
  <si>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</si>
  <si>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</si>
  <si>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</si>
  <si>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</si>
  <si>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</si>
  <si>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</si>
  <si>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</si>
  <si>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</si>
  <si>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</si>
  <si>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</si>
  <si>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</si>
  <si>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</si>
  <si>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</si>
  <si>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</si>
  <si>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</si>
  <si>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</si>
  <si>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</si>
  <si>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</si>
  <si>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</si>
  <si>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</si>
  <si>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</si>
  <si>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</si>
  <si>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</si>
  <si>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</si>
  <si>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</si>
  <si>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</si>
  <si>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</si>
  <si>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</si>
  <si>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</si>
  <si>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</si>
  <si>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</si>
  <si>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</si>
  <si>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</si>
  <si>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</si>
  <si>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</si>
  <si>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</si>
  <si>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</si>
  <si>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</si>
  <si>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</si>
  <si>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</si>
  <si>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</si>
  <si>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</si>
  <si>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</si>
  <si>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</si>
  <si>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</si>
  <si>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</si>
  <si>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</si>
  <si>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</si>
  <si>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</si>
  <si>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</si>
  <si>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</si>
  <si>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</si>
  <si>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</si>
  <si>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</si>
  <si>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</si>
  <si>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</si>
  <si>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</si>
  <si>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</si>
  <si>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</si>
  <si>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</si>
  <si>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</si>
  <si>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</si>
  <si>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</si>
  <si>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</si>
  <si>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</si>
  <si>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</si>
  <si>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</si>
  <si>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</si>
  <si>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</si>
  <si>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</si>
  <si>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</si>
  <si>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</si>
  <si>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</si>
  <si>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</si>
  <si>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</si>
  <si>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</si>
  <si>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</si>
  <si>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</si>
  <si>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</si>
  <si>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</si>
  <si>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</si>
  <si>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</si>
  <si>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</si>
  <si>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</si>
  <si>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</si>
  <si>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</si>
  <si>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</si>
  <si>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</si>
  <si>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</si>
  <si>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</si>
  <si>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</si>
  <si>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</si>
  <si>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</si>
  <si>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</si>
  <si>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</si>
  <si>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</si>
  <si>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</si>
  <si>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</si>
  <si>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</si>
  <si>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</si>
  <si>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</si>
  <si>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</si>
  <si>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</si>
  <si>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</si>
  <si>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</si>
  <si>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</si>
  <si>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</si>
  <si>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</si>
  <si>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</si>
  <si>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</si>
  <si>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</si>
  <si>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</si>
  <si>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</si>
  <si>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</si>
  <si>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</si>
  <si>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</si>
  <si>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</si>
  <si>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</si>
  <si>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</si>
  <si>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</si>
  <si>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</si>
  <si>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</si>
  <si>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</si>
  <si>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</si>
  <si>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</si>
  <si>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</si>
  <si>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</si>
  <si>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</si>
  <si>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</si>
  <si>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</si>
  <si>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</si>
  <si>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</si>
  <si>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</si>
  <si>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</si>
  <si>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</si>
  <si>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</si>
  <si>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</si>
  <si>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</si>
  <si>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</si>
  <si>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</si>
  <si>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</si>
  <si>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</si>
  <si>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</si>
  <si>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</si>
  <si>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</si>
  <si>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</si>
  <si>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</si>
  <si>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</si>
  <si>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</si>
  <si>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</si>
  <si>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</si>
  <si>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</si>
  <si>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</si>
  <si>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</si>
  <si>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</si>
  <si>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</si>
  <si>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</si>
  <si>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</si>
  <si>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</si>
  <si>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</si>
  <si>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</si>
  <si>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</si>
  <si>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</si>
  <si>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</si>
  <si>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</si>
  <si>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</si>
  <si>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</si>
  <si>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</si>
  <si>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</si>
  <si>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</si>
  <si>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</si>
  <si>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</si>
  <si>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</si>
  <si>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</si>
  <si>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</si>
  <si>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</si>
  <si>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</si>
  <si>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</si>
  <si>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</si>
  <si>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</si>
  <si>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</si>
  <si>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</si>
  <si>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</si>
  <si>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</si>
  <si>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</si>
  <si>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</si>
  <si>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</si>
  <si>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</si>
  <si>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</si>
  <si>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</si>
  <si>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</si>
  <si>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</si>
  <si>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</si>
  <si>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</si>
  <si>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</si>
  <si>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</si>
  <si>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</si>
  <si>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</si>
  <si>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</si>
  <si>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</si>
  <si>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</si>
  <si>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</si>
  <si>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</si>
  <si>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</si>
  <si>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</si>
  <si>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</si>
  <si>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</si>
  <si>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</si>
  <si>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</si>
  <si>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</si>
  <si>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</si>
  <si>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</si>
  <si>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</si>
  <si>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</si>
  <si>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</si>
  <si>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</si>
  <si>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</si>
  <si>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</si>
  <si>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</si>
  <si>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</si>
  <si>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</si>
  <si>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</si>
  <si>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</si>
  <si>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</si>
  <si>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</si>
  <si>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</si>
  <si>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</si>
  <si>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</si>
  <si>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</si>
  <si>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</si>
  <si>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</si>
  <si>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</si>
  <si>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</si>
  <si>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</si>
  <si>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</si>
  <si>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</si>
  <si>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</si>
  <si>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</si>
  <si>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</si>
  <si>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</si>
  <si>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</si>
  <si>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</si>
  <si>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</si>
  <si>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</si>
  <si>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</si>
  <si>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</si>
  <si>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</si>
  <si>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</si>
  <si>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</si>
  <si>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</si>
  <si>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</si>
  <si>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</si>
  <si>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</si>
  <si>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</si>
  <si>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</si>
  <si>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</si>
  <si>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</si>
  <si>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</si>
  <si>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</si>
  <si>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</si>
  <si>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</si>
  <si>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</si>
  <si>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</si>
  <si>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</si>
  <si>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</si>
  <si>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</si>
  <si>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</si>
  <si>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</si>
  <si>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</si>
  <si>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</si>
  <si>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</si>
  <si>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</si>
  <si>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</si>
  <si>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</si>
  <si>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</si>
  <si>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</si>
  <si>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</si>
  <si>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</si>
  <si>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</si>
  <si>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</si>
  <si>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</si>
  <si>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</si>
  <si>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</si>
  <si>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</si>
  <si>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</si>
  <si>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</si>
  <si>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</si>
  <si>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</si>
  <si>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</si>
  <si>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</si>
  <si>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</si>
  <si>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</si>
  <si>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</si>
  <si>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</si>
  <si>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</si>
  <si>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</si>
  <si>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</si>
  <si>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</si>
  <si>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</si>
  <si>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</si>
  <si>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</si>
  <si>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</si>
  <si>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</si>
  <si>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</si>
  <si>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</si>
  <si>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</si>
  <si>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</si>
  <si>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</si>
  <si>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</si>
  <si>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</si>
  <si>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</si>
  <si>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</si>
  <si>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</si>
  <si>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</si>
  <si>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</si>
  <si>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</si>
  <si>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</si>
  <si>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</si>
  <si>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</si>
  <si>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</si>
  <si>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</si>
  <si>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</si>
  <si>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</si>
  <si>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</si>
  <si>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</si>
  <si>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</si>
  <si>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</si>
  <si>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</si>
  <si>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</si>
  <si>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</si>
  <si>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</si>
  <si>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</si>
  <si>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</si>
  <si>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</si>
  <si>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</si>
  <si>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</si>
  <si>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</si>
  <si>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</si>
  <si>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</si>
  <si>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</si>
  <si>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</si>
  <si>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</si>
  <si>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</si>
  <si>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</si>
  <si>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</si>
  <si>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</si>
  <si>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</si>
  <si>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</si>
  <si>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</si>
  <si>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</si>
  <si>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</si>
  <si>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</si>
  <si>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</si>
  <si>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</si>
  <si>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</si>
  <si>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</si>
  <si>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</si>
  <si>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</si>
  <si>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</si>
  <si>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</si>
  <si>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</si>
  <si>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</si>
  <si>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</si>
  <si>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</si>
  <si>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</si>
  <si>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</si>
  <si>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</si>
  <si>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</si>
  <si>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</si>
  <si>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</si>
  <si>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</si>
  <si>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</si>
  <si>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</si>
  <si>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</si>
  <si>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</si>
  <si>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</si>
  <si>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</si>
  <si>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</si>
  <si>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</si>
  <si>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</si>
  <si>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</si>
  <si>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</si>
  <si>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</si>
  <si>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</si>
  <si>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</si>
  <si>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</si>
  <si>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</si>
  <si>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</si>
  <si>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</si>
  <si>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</si>
  <si>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</si>
  <si>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</si>
  <si>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</si>
  <si>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</si>
  <si>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</si>
  <si>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</si>
  <si>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</si>
  <si>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</si>
  <si>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</si>
  <si>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</si>
  <si>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</si>
  <si>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</si>
  <si>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</si>
  <si>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</si>
  <si>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</si>
  <si>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</si>
  <si>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</si>
  <si>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</si>
  <si>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</si>
  <si>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</si>
  <si>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</si>
  <si>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</si>
  <si>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</si>
  <si>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</si>
  <si>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</si>
  <si>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</si>
  <si>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</si>
  <si>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</si>
  <si>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</si>
  <si>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</si>
  <si>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</si>
  <si>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</si>
  <si>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</si>
  <si>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</si>
  <si>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</si>
  <si>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</si>
  <si>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</si>
  <si>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</si>
  <si>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</si>
  <si>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</si>
  <si>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</si>
  <si>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</si>
  <si>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</si>
  <si>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</si>
  <si>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</si>
  <si>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</si>
  <si>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</si>
  <si>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</si>
  <si>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</si>
  <si>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</si>
  <si>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</si>
  <si>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</si>
  <si>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</si>
  <si>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</si>
  <si>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</si>
  <si>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</si>
  <si>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</si>
  <si>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</si>
  <si>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</si>
  <si>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</si>
  <si>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</si>
  <si>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</si>
  <si>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</si>
  <si>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</si>
  <si>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</si>
  <si>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</si>
  <si>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</si>
  <si>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</si>
  <si>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</si>
  <si>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</si>
  <si>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</si>
  <si>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</si>
  <si>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</si>
  <si>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</si>
  <si>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</si>
  <si>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</si>
  <si>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</si>
  <si>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</si>
  <si>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</si>
  <si>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</si>
  <si>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</si>
  <si>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</si>
  <si>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</si>
  <si>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</si>
  <si>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</si>
  <si>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</si>
  <si>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</si>
  <si>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</si>
  <si>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</si>
  <si>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</si>
  <si>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</si>
  <si>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</si>
  <si>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</si>
  <si>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</si>
  <si>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</si>
  <si>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</si>
  <si>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</si>
  <si>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</si>
  <si>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</si>
  <si>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</si>
  <si>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</si>
  <si>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</si>
  <si>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</si>
  <si>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</si>
  <si>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</si>
  <si>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</si>
  <si>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</si>
  <si>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</si>
  <si>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</si>
  <si>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</si>
  <si>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</si>
  <si>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</si>
  <si>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</si>
  <si>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</si>
  <si>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</si>
  <si>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</si>
  <si>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</si>
  <si>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</si>
  <si>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</si>
  <si>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</si>
  <si>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</si>
  <si>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</si>
  <si>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</si>
  <si>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</si>
  <si>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</si>
  <si>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</si>
  <si>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</si>
  <si>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</si>
  <si>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</si>
  <si>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</si>
  <si>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</si>
  <si>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</si>
  <si>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</si>
  <si>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</si>
  <si>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</si>
  <si>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</si>
  <si>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</si>
  <si>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</si>
  <si>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</si>
  <si>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</si>
  <si>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</si>
  <si>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</si>
  <si>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</si>
  <si>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</si>
  <si>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</si>
  <si>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</si>
  <si>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</si>
  <si>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</si>
  <si>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</si>
  <si>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</si>
  <si>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</si>
  <si>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</si>
  <si>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</si>
  <si>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</si>
  <si>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</si>
  <si>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</si>
  <si>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</si>
  <si>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</si>
  <si>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</si>
  <si>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</si>
  <si>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</si>
  <si>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</si>
  <si>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</si>
  <si>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</si>
  <si>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</si>
  <si>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</si>
  <si>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</si>
  <si>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</si>
  <si>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</si>
  <si>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</si>
  <si>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</si>
  <si>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</si>
  <si>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</si>
  <si>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</si>
  <si>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</si>
  <si>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</si>
  <si>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</si>
  <si>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</si>
  <si>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</si>
  <si>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</si>
  <si>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</si>
  <si>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</si>
  <si>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</si>
  <si>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</si>
  <si>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</si>
  <si>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</si>
  <si>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</si>
  <si>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</si>
  <si>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</si>
  <si>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</si>
  <si>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</si>
  <si>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</si>
  <si>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</si>
  <si>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</si>
  <si>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</si>
  <si>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</si>
  <si>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</si>
  <si>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</si>
  <si>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</si>
  <si>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</si>
  <si>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</si>
  <si>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</si>
  <si>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</si>
  <si>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</si>
  <si>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</si>
  <si>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</si>
  <si>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</si>
  <si>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</si>
  <si>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</si>
  <si>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</si>
  <si>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</si>
  <si>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</si>
  <si>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</si>
  <si>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</si>
  <si>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</si>
  <si>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</si>
  <si>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</si>
  <si>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</si>
  <si>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</si>
  <si>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</si>
  <si>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</si>
  <si>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</si>
  <si>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</si>
  <si>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</si>
  <si>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</si>
  <si>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</si>
  <si>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</si>
  <si>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</si>
  <si>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</si>
  <si>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</si>
  <si>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</si>
  <si>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</si>
  <si>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</si>
  <si>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</si>
  <si>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</si>
  <si>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</si>
  <si>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</si>
  <si>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</si>
  <si>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</si>
  <si>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</si>
  <si>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</si>
  <si>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</si>
  <si>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</si>
  <si>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</si>
  <si>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</si>
  <si>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</si>
  <si>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</si>
  <si>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</si>
  <si>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</si>
  <si>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</si>
  <si>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</si>
  <si>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</si>
  <si>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</si>
  <si>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</si>
  <si>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</si>
  <si>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</si>
  <si>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</si>
  <si>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</si>
  <si>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</si>
  <si>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</si>
  <si>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</si>
  <si>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</si>
  <si>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</si>
  <si>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</si>
  <si>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</si>
  <si>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</si>
  <si>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</si>
  <si>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</si>
  <si>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</si>
  <si>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</si>
  <si>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</si>
  <si>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</si>
  <si>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</si>
  <si>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</si>
  <si>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</si>
  <si>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</si>
  <si>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</si>
  <si>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</si>
  <si>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</si>
  <si>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</si>
  <si>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</si>
  <si>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</si>
  <si>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</si>
  <si>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</si>
  <si>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</si>
  <si>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</si>
  <si>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</si>
  <si>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</si>
  <si>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</si>
  <si>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</si>
  <si>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</si>
  <si>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</si>
  <si>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</si>
  <si>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</si>
  <si>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</si>
  <si>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</si>
  <si>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</si>
  <si>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</si>
  <si>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</si>
  <si>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</si>
  <si>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</si>
  <si>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</si>
  <si>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</si>
  <si>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</si>
  <si>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</si>
  <si>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</si>
  <si>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</si>
  <si>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</si>
  <si>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</si>
  <si>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</si>
  <si>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</si>
  <si>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</si>
  <si>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</si>
  <si>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</si>
  <si>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</si>
  <si>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</si>
  <si>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</si>
  <si>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</si>
  <si>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</si>
  <si>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</si>
  <si>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</si>
  <si>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</si>
  <si>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</si>
  <si>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</si>
  <si>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</si>
  <si>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</si>
  <si>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</si>
  <si>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</si>
  <si>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</si>
  <si>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</si>
  <si>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</si>
  <si>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</si>
  <si>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</si>
  <si>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</si>
  <si>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</si>
  <si>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</si>
  <si>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</si>
  <si>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</si>
  <si>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</si>
  <si>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</si>
  <si>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</si>
  <si>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</si>
  <si>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</si>
  <si>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</si>
  <si>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</si>
  <si>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</si>
  <si>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</si>
  <si>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</si>
  <si>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</si>
  <si>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</si>
  <si>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</si>
  <si>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</si>
  <si>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</si>
  <si>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</si>
  <si>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</si>
  <si>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</si>
  <si>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</si>
  <si>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</si>
  <si>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</si>
  <si>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</si>
  <si>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</si>
  <si>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</si>
  <si>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</si>
  <si>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</si>
  <si>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</si>
  <si>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</si>
  <si>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</si>
  <si>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</si>
  <si>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</si>
  <si>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</si>
  <si>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</si>
  <si>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</si>
  <si>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</si>
  <si>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</si>
  <si>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</si>
  <si>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</si>
  <si>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</si>
  <si>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</si>
  <si>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</si>
  <si>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</si>
  <si>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</si>
  <si>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</si>
  <si>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</si>
  <si>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</si>
  <si>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</si>
  <si>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</si>
  <si>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</si>
  <si>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</si>
  <si>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</si>
  <si>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</si>
  <si>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</si>
  <si>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</si>
  <si>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</si>
  <si>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</si>
  <si>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</si>
  <si>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</si>
  <si>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</si>
  <si>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</si>
  <si>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</si>
  <si>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</si>
  <si>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</si>
  <si>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</si>
  <si>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</si>
  <si>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</si>
  <si>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</si>
  <si>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</si>
  <si>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</si>
  <si>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</si>
  <si>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</si>
  <si>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</si>
  <si>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</si>
  <si>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</si>
  <si>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</si>
  <si>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</si>
  <si>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</si>
  <si>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</si>
  <si>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</si>
  <si>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</si>
  <si>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</si>
  <si>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</si>
  <si>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</si>
  <si>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</si>
  <si>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</si>
  <si>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</si>
  <si>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</si>
  <si>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</si>
  <si>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</si>
  <si>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</si>
  <si>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</si>
  <si>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</si>
  <si>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</si>
  <si>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</si>
  <si>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</si>
  <si>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</si>
  <si>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</si>
  <si>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</si>
  <si>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</si>
  <si>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</si>
  <si>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</si>
  <si>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</si>
  <si>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</si>
  <si>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</si>
  <si>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</si>
  <si>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</si>
  <si>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</si>
  <si>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</si>
  <si>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</si>
  <si>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</si>
  <si>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</si>
  <si>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</si>
  <si>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</si>
  <si>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</si>
  <si>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</si>
  <si>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</si>
  <si>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</si>
  <si>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</si>
  <si>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</si>
  <si>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</si>
  <si>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</si>
  <si>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</si>
  <si>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</si>
  <si>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</si>
  <si>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</si>
  <si>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</si>
  <si>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</si>
  <si>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</si>
  <si>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</si>
  <si>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</si>
  <si>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</si>
  <si>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</si>
  <si>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</si>
  <si>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</si>
  <si>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</si>
  <si>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</si>
  <si>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</si>
  <si>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</si>
  <si>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</si>
  <si>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</si>
  <si>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</si>
  <si>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</si>
  <si>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</si>
  <si>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</si>
  <si>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</si>
  <si>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</si>
  <si>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</si>
  <si>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</si>
  <si>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</si>
  <si>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</si>
  <si>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</si>
  <si>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</si>
  <si>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</si>
  <si>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</si>
  <si>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</si>
  <si>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</si>
  <si>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</si>
  <si>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</si>
  <si>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</si>
  <si>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</si>
  <si>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</si>
  <si>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</si>
  <si>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</si>
  <si>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</si>
  <si>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</si>
  <si>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</si>
  <si>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</si>
  <si>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</si>
  <si>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</si>
  <si>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</si>
  <si>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</si>
  <si>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</si>
  <si>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</si>
  <si>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</si>
  <si>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</si>
  <si>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</si>
  <si>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</si>
  <si>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</si>
  <si>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</si>
  <si>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</si>
  <si>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</si>
  <si>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</si>
  <si>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</si>
  <si>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</si>
  <si>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</si>
  <si>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</si>
  <si>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</si>
  <si>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</si>
  <si>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</si>
  <si>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</si>
  <si>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</si>
  <si>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</si>
  <si>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</si>
  <si>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</si>
  <si>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</si>
  <si>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</si>
  <si>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</si>
  <si>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</si>
  <si>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</si>
  <si>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</si>
  <si>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</si>
  <si>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</si>
  <si>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</si>
  <si>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</si>
  <si>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</si>
  <si>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</si>
  <si>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</si>
  <si>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</si>
  <si>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</si>
  <si>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</si>
  <si>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</si>
  <si>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</si>
  <si>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</si>
  <si>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</si>
  <si>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</si>
  <si>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</si>
  <si>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</si>
  <si>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</si>
  <si>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</si>
  <si>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</si>
  <si>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</si>
  <si>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</si>
  <si>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</si>
  <si>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</si>
  <si>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</si>
  <si>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</si>
  <si>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</si>
  <si>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</si>
  <si>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</si>
  <si>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</si>
  <si>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</si>
  <si>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</si>
  <si>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</si>
  <si>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</si>
  <si>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</si>
  <si>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</si>
  <si>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</si>
  <si>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</si>
  <si>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</si>
  <si>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</si>
  <si>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</si>
  <si>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</si>
  <si>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</si>
  <si>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</si>
  <si>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</si>
  <si>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</si>
  <si>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</si>
  <si>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</si>
  <si>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</si>
  <si>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</si>
  <si>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</si>
  <si>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</si>
  <si>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</si>
  <si>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</si>
  <si>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</si>
  <si>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</si>
  <si>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</si>
  <si>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</si>
  <si>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</si>
  <si>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</si>
  <si>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</si>
  <si>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</si>
  <si>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</si>
  <si>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</si>
  <si>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</si>
  <si>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</si>
  <si>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</si>
  <si>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</si>
  <si>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</si>
  <si>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</si>
  <si>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</si>
  <si>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</si>
  <si>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</si>
  <si>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</si>
  <si>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</si>
  <si>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</si>
  <si>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</si>
  <si>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</si>
  <si>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</si>
  <si>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</si>
  <si>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</si>
  <si>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</si>
  <si>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</si>
  <si>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</si>
  <si>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</si>
  <si>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</si>
  <si>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</si>
  <si>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</si>
  <si>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</si>
  <si>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</si>
  <si>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</si>
  <si>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</si>
  <si>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</si>
  <si>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</si>
  <si>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</si>
  <si>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</si>
  <si>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</si>
  <si>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</si>
  <si>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</si>
  <si>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</si>
  <si>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</si>
  <si>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</si>
  <si>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</si>
  <si>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</si>
  <si>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</si>
  <si>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</si>
  <si>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</si>
  <si>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</si>
  <si>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</si>
  <si>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</si>
  <si>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</si>
  <si>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</si>
  <si>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</si>
  <si>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</si>
  <si>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</si>
  <si>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</si>
  <si>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</si>
  <si>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</si>
  <si>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</si>
  <si>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</si>
  <si>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</si>
  <si>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</si>
  <si>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</si>
  <si>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</si>
  <si>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</si>
  <si>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</si>
  <si>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</si>
  <si>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</si>
  <si>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</si>
  <si>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</si>
  <si>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</si>
  <si>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</si>
  <si>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</si>
  <si>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</si>
  <si>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</si>
  <si>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</si>
  <si>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</si>
  <si>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</si>
  <si>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</si>
  <si>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</si>
  <si>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</si>
  <si>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</si>
  <si>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</si>
  <si>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</si>
  <si>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</si>
  <si>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</si>
  <si>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</si>
  <si>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</si>
  <si>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 xml:space="preserve">	4551640#1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</si>
  <si>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</si>
  <si>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</si>
  <si>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</si>
  <si>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</si>
  <si>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</si>
  <si>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</si>
  <si>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</si>
  <si>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</si>
  <si>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</si>
  <si>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</si>
  <si>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</si>
  <si>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</si>
  <si>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</si>
  <si>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</si>
  <si>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</si>
  <si>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</si>
  <si>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</si>
  <si>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</si>
  <si>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</si>
  <si>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</si>
  <si>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</si>
  <si>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</si>
  <si>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</si>
  <si>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</si>
  <si>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</si>
  <si>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</si>
  <si>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</si>
  <si>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</si>
  <si>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</si>
  <si>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</si>
  <si>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</si>
  <si>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</si>
  <si>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</si>
  <si>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</si>
  <si>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</si>
  <si>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</si>
  <si>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</si>
  <si>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</si>
  <si>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</si>
  <si>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</si>
  <si>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</si>
  <si>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</si>
  <si>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</si>
  <si>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</si>
  <si>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</si>
  <si>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</si>
  <si>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</si>
  <si>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</si>
  <si>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</si>
  <si>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</si>
  <si>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</si>
  <si>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</si>
  <si>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</si>
  <si>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</si>
  <si>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</si>
  <si>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</si>
  <si>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</si>
  <si>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</si>
  <si>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</si>
  <si>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</si>
  <si>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</si>
  <si>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</si>
  <si>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</si>
  <si>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</si>
  <si>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</si>
  <si>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</si>
  <si>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</si>
  <si>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</si>
  <si>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</si>
  <si>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</si>
  <si>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</si>
  <si>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</si>
  <si>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</si>
  <si>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</si>
  <si>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</si>
  <si>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</si>
  <si>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</si>
  <si>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</si>
  <si>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</si>
  <si>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</si>
  <si>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</si>
  <si>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</si>
  <si>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</si>
  <si>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</si>
  <si>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</si>
  <si>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</si>
  <si>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</si>
  <si>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</si>
  <si>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</si>
  <si>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</si>
  <si>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</si>
  <si>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</si>
  <si>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</si>
  <si>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</si>
  <si>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</si>
  <si>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</si>
  <si>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</si>
  <si>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</si>
  <si>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</si>
  <si>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</si>
  <si>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</si>
  <si>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</si>
  <si>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</si>
  <si>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</si>
  <si>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</si>
  <si>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</si>
  <si>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</si>
  <si>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</si>
  <si>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</si>
  <si>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</si>
  <si>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</si>
  <si>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</si>
  <si>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</si>
  <si>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</si>
  <si>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</si>
  <si>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</si>
  <si>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</si>
  <si>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</si>
  <si>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</si>
  <si>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</si>
  <si>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</si>
  <si>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</si>
  <si>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</si>
  <si>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</si>
  <si>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</si>
  <si>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</si>
  <si>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</si>
  <si>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</si>
  <si>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</si>
  <si>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</si>
  <si>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</si>
  <si>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</si>
  <si>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</si>
  <si>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</si>
  <si>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</si>
  <si>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</si>
  <si>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</si>
  <si>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</si>
  <si>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</si>
  <si>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</si>
  <si>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</si>
  <si>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</si>
  <si>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</si>
  <si>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</si>
  <si>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</si>
  <si>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</si>
  <si>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</si>
  <si>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</si>
  <si>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</si>
  <si>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</si>
  <si>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</si>
  <si>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</si>
  <si>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</si>
  <si>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</si>
  <si>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</si>
  <si>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</si>
  <si>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</si>
  <si>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</si>
  <si>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</si>
  <si>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</si>
  <si>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</si>
  <si>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</si>
  <si>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</si>
  <si>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</si>
  <si>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</si>
  <si>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</si>
  <si>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</si>
  <si>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</si>
  <si>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</si>
  <si>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</si>
  <si>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</si>
  <si>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</si>
  <si>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</si>
  <si>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</si>
  <si>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</si>
  <si>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</si>
  <si>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</si>
  <si>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</si>
  <si>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</si>
  <si>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</si>
  <si>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</si>
  <si>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</si>
  <si>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</si>
  <si>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</si>
  <si>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</si>
  <si>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</si>
  <si>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</si>
  <si>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</si>
  <si>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</si>
  <si>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</si>
  <si>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</si>
  <si>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</si>
  <si>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</si>
  <si>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</si>
  <si>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</si>
  <si>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</si>
  <si>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</si>
  <si>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</si>
  <si>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</si>
  <si>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</si>
  <si>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</si>
  <si>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</si>
  <si>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</si>
  <si>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</si>
  <si>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</si>
  <si>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</si>
  <si>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</si>
  <si>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</si>
  <si>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</si>
  <si>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</si>
  <si>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</si>
  <si>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</si>
  <si>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</si>
  <si>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</si>
  <si>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</si>
  <si>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</si>
  <si>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</si>
  <si>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</si>
  <si>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</si>
  <si>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</si>
  <si>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</si>
  <si>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</si>
  <si>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</si>
  <si>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</si>
  <si>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</si>
  <si>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</si>
  <si>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</si>
  <si>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</si>
  <si>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</si>
  <si>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</si>
  <si>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</si>
  <si>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</si>
  <si>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</si>
  <si>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</si>
  <si>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</si>
  <si>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</si>
  <si>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 - Not multiple case. Other case was wrongly associated.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</si>
  <si>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</si>
  <si>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</si>
  <si>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</si>
  <si>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</si>
  <si>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</si>
  <si>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</si>
  <si>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</si>
  <si>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</si>
  <si>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</si>
  <si>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</si>
  <si>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</si>
  <si>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</si>
  <si>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</si>
  <si>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</si>
  <si>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</si>
  <si>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</si>
  <si>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</si>
  <si>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</si>
  <si>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</si>
  <si>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</si>
  <si>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</si>
  <si>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</si>
  <si>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</si>
  <si>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</si>
  <si>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</si>
  <si>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</si>
  <si>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</si>
  <si>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</si>
  <si>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</si>
  <si>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</si>
  <si>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</si>
  <si>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</si>
  <si>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</si>
  <si>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</si>
  <si>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</si>
  <si>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</si>
  <si>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</si>
  <si>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</si>
  <si>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</si>
  <si>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</si>
  <si>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</si>
  <si>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</si>
  <si>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</si>
  <si>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</si>
  <si>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</si>
  <si>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</si>
  <si>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</si>
  <si>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</si>
  <si>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</si>
  <si>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</si>
  <si>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</si>
  <si>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</si>
  <si>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</si>
  <si>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</si>
  <si>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</si>
  <si>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</si>
  <si>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</si>
  <si>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</si>
  <si>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</si>
  <si>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</si>
  <si>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</si>
  <si>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</si>
  <si>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</si>
  <si>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</si>
  <si>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</si>
  <si>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</si>
  <si>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</si>
  <si>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</si>
  <si>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</si>
  <si>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</si>
  <si>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</si>
  <si>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</si>
  <si>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</si>
  <si>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</si>
  <si>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</si>
  <si>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</si>
  <si>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</si>
  <si>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</si>
  <si>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</si>
  <si>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</si>
  <si>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</si>
  <si>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</si>
  <si>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</si>
  <si>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</si>
  <si>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</si>
  <si>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</si>
  <si>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</si>
  <si>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</si>
  <si>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</si>
  <si>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</si>
  <si>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</si>
  <si>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</si>
  <si>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</si>
  <si>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</si>
  <si>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</si>
  <si>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</si>
  <si>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</si>
  <si>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</si>
  <si>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</si>
  <si>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</si>
  <si>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</si>
  <si>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</si>
  <si>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</si>
  <si>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</si>
  <si>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</si>
  <si>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</si>
  <si>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</si>
  <si>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</si>
  <si>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</si>
  <si>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</si>
  <si>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</si>
  <si>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</si>
  <si>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</si>
  <si>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</si>
  <si>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</si>
  <si>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</si>
  <si>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</si>
  <si>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</si>
  <si>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</si>
  <si>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</si>
  <si>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</si>
  <si>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</si>
  <si>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</si>
  <si>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</si>
  <si>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</si>
  <si>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</si>
  <si>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</si>
  <si>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</si>
  <si>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</si>
  <si>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</si>
  <si>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</si>
  <si>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</si>
  <si>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</si>
  <si>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</si>
  <si>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</si>
  <si>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</si>
  <si>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</si>
  <si>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</si>
  <si>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</si>
  <si>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</si>
  <si>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</si>
  <si>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</si>
  <si>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</si>
  <si>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</si>
  <si>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</si>
  <si>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</si>
  <si>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</si>
  <si>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</si>
  <si>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</si>
  <si>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</si>
  <si>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</si>
  <si>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</si>
  <si>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</si>
  <si>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</si>
  <si>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</si>
  <si>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</si>
  <si>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</si>
  <si>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</si>
  <si>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</si>
  <si>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</si>
  <si>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</si>
  <si>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</si>
  <si>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</si>
  <si>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</si>
  <si>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</si>
  <si>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</si>
  <si>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</si>
  <si>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</si>
  <si>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</si>
  <si>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</si>
  <si>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</si>
  <si>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</si>
  <si>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</si>
  <si>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</si>
  <si>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</si>
  <si>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</si>
  <si>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</si>
  <si>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</si>
  <si>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</si>
  <si>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</si>
  <si>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</si>
  <si>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</si>
  <si>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</si>
  <si>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</si>
  <si>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</si>
  <si>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</si>
  <si>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</si>
  <si>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</si>
  <si>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</si>
  <si>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</si>
  <si>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</si>
  <si>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</si>
  <si>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</si>
  <si>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</si>
  <si>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</si>
  <si>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</si>
  <si>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</si>
  <si>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</si>
  <si>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</si>
  <si>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</si>
  <si>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</si>
  <si>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</si>
  <si>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</si>
  <si>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</si>
  <si>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</si>
  <si>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</si>
  <si>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</si>
  <si>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</si>
  <si>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</si>
  <si>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</si>
  <si>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</si>
  <si>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</si>
  <si>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</si>
  <si>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</si>
  <si>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</si>
  <si>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</si>
  <si>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</si>
  <si>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</si>
  <si>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</si>
  <si>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</si>
  <si>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</si>
  <si>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</si>
  <si>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</si>
  <si>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</si>
  <si>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</si>
  <si>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</si>
  <si>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</si>
  <si>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</si>
  <si>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</si>
  <si>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</si>
  <si>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</si>
  <si>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</si>
  <si>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</si>
  <si>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</si>
  <si>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</si>
  <si>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</si>
  <si>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</si>
  <si>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</si>
  <si>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</si>
  <si>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</si>
  <si>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</si>
  <si>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</si>
  <si>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</si>
  <si>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</si>
  <si>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</si>
  <si>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</si>
  <si>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</si>
  <si>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</si>
  <si>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</si>
  <si>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</si>
  <si>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</si>
  <si>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</si>
  <si>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</si>
  <si>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</si>
  <si>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</si>
  <si>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</si>
  <si>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</si>
  <si>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</si>
  <si>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</si>
  <si>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</si>
  <si>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</si>
  <si>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</si>
  <si>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</si>
  <si>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</si>
  <si>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</si>
  <si>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</si>
  <si>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</si>
  <si>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</si>
  <si>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</si>
  <si>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</si>
  <si>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</si>
  <si>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</si>
  <si>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</si>
  <si>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</si>
  <si>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</si>
  <si>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</si>
  <si>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</si>
  <si>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</si>
  <si>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</si>
  <si>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</si>
  <si>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</si>
  <si>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</si>
  <si>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</si>
  <si>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</si>
  <si>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</si>
  <si>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</si>
  <si>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</si>
  <si>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</si>
  <si>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</si>
  <si>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</si>
  <si>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</si>
  <si>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</si>
  <si>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</si>
  <si>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</si>
  <si>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</si>
  <si>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</si>
  <si>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</si>
  <si>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</si>
  <si>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</si>
  <si>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</si>
  <si>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</si>
  <si>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</si>
  <si>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</si>
  <si>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</si>
  <si>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</si>
  <si>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</si>
  <si>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</si>
  <si>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</si>
  <si>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</si>
  <si>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</si>
  <si>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</si>
  <si>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4575414#1</t>
  </si>
  <si>
    <t>Skmservicios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</si>
  <si>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</si>
  <si>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</si>
  <si>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</si>
  <si>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</si>
  <si>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</si>
  <si>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</si>
  <si>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</si>
  <si>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</si>
  <si>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</si>
  <si>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</si>
  <si>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4621674#1</t>
  </si>
  <si>
    <t>SIMA INGENIEROS-SERVICIOS AMBIENTALES-RESIDUOS SOLIDOS-RESIDUOS LIQUIDOS-ALQUIER MAQUINARIA-</t>
  </si>
  <si>
    <t>3402597#1</t>
  </si>
  <si>
    <t>Prepanama</t>
  </si>
  <si>
    <t>4527503#1</t>
  </si>
  <si>
    <t>Cucina Ideale</t>
  </si>
  <si>
    <t>4542872#1</t>
  </si>
  <si>
    <t>SITCR</t>
  </si>
  <si>
    <t xml:space="preserve">4652243#1
</t>
  </si>
  <si>
    <t>Grupo Cantarell</t>
  </si>
  <si>
    <t>4647508#1</t>
  </si>
  <si>
    <t>Rgctecnologias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</si>
  <si>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</si>
  <si>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</si>
  <si>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</si>
  <si>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</si>
  <si>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</si>
  <si>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</si>
  <si>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</si>
  <si>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</si>
  <si>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4334854#1</t>
  </si>
  <si>
    <t>Caliza Arquitectura</t>
  </si>
  <si>
    <t>4592208#1</t>
  </si>
  <si>
    <t>Piedrasfinasecuador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</si>
  <si>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</si>
  <si>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</si>
  <si>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</si>
  <si>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</si>
  <si>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</si>
  <si>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</si>
  <si>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</si>
  <si>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</si>
  <si>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4331470#1</t>
  </si>
  <si>
    <t>Grupoangal</t>
  </si>
  <si>
    <t>2984994#1</t>
  </si>
  <si>
    <t>esmet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</si>
  <si>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</si>
  <si>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</si>
  <si>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</si>
  <si>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</si>
  <si>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</si>
  <si>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</si>
  <si>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</si>
  <si>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</si>
  <si>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4421200#1</t>
  </si>
  <si>
    <t>Ergoinova</t>
  </si>
  <si>
    <t>4532940#1</t>
  </si>
  <si>
    <t>Csiing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</si>
  <si>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</si>
  <si>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</si>
  <si>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</si>
  <si>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</si>
  <si>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</si>
  <si>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</si>
  <si>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</si>
  <si>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</si>
  <si>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1674741#1</t>
  </si>
  <si>
    <t>Ingencer</t>
  </si>
  <si>
    <t>1037404#1</t>
  </si>
  <si>
    <t>design servicios inmobiliarios eirl</t>
  </si>
  <si>
    <t>1347606#1</t>
  </si>
  <si>
    <t>Sandiego</t>
  </si>
  <si>
    <t>1061146#1</t>
  </si>
  <si>
    <t>ENGINEERING S.A.</t>
  </si>
  <si>
    <t>4544239#1</t>
  </si>
  <si>
    <t>Net</t>
  </si>
  <si>
    <t>4405209#1</t>
  </si>
  <si>
    <t>3vgq3g</t>
  </si>
  <si>
    <t>1255756#1</t>
  </si>
  <si>
    <t>Quo Marketing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</si>
  <si>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</si>
  <si>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</si>
  <si>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</si>
  <si>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</si>
  <si>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</si>
  <si>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</si>
  <si>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</si>
  <si>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</si>
  <si>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2265364#1</t>
  </si>
  <si>
    <t>Personal Administrativo SysOp</t>
  </si>
  <si>
    <t>847086#1</t>
  </si>
  <si>
    <t>muro studio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</si>
  <si>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</si>
  <si>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</si>
  <si>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</si>
  <si>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</si>
  <si>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</si>
  <si>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</si>
  <si>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</si>
  <si>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</si>
  <si>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3870696#1</t>
  </si>
  <si>
    <t>Edemexicali</t>
  </si>
  <si>
    <t>2208664#1</t>
  </si>
  <si>
    <t>Grupo Gauros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</si>
  <si>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</si>
  <si>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</si>
  <si>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</si>
  <si>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</si>
  <si>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</si>
  <si>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</si>
  <si>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</si>
  <si>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</si>
  <si>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4529353#1</t>
  </si>
  <si>
    <t>Grupohegor</t>
  </si>
  <si>
    <t>3530170#1</t>
  </si>
  <si>
    <t>PMD arquitectura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</si>
  <si>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</si>
  <si>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</si>
  <si>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</si>
  <si>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</si>
  <si>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</si>
  <si>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</si>
  <si>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</si>
  <si>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</si>
  <si>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4419134#1</t>
  </si>
  <si>
    <t>Romor</t>
  </si>
  <si>
    <t>4575388#1</t>
  </si>
  <si>
    <t>Inerciaba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</si>
  <si>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</si>
  <si>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</si>
  <si>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</si>
  <si>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</si>
  <si>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</si>
  <si>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</si>
  <si>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</si>
  <si>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</si>
  <si>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4546845#1</t>
  </si>
  <si>
    <t>Avodahelsalvador</t>
  </si>
  <si>
    <t>1231932#1</t>
  </si>
  <si>
    <t>Cegne San Antonio De Padua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</si>
  <si>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</si>
  <si>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</si>
  <si>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</si>
  <si>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</si>
  <si>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</si>
  <si>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</si>
  <si>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</si>
  <si>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</si>
  <si>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4533070#1</t>
  </si>
  <si>
    <t>Loto Real Del Cibao</t>
  </si>
  <si>
    <t>4372035#1</t>
  </si>
  <si>
    <t>Distritoperseverancia</t>
  </si>
  <si>
    <t>4609792#1</t>
  </si>
  <si>
    <t>HDC Arquitectura</t>
  </si>
  <si>
    <t>4577668#1</t>
  </si>
  <si>
    <t>Enecomsi</t>
  </si>
  <si>
    <t>4471208#1</t>
  </si>
  <si>
    <t>Versatilarquitectos</t>
  </si>
  <si>
    <t>1069707#1</t>
  </si>
  <si>
    <t>Universo Abanza</t>
  </si>
  <si>
    <t>Big Deal - Approved assets: 10 out of 25 machines</t>
  </si>
  <si>
    <t>4405941#1</t>
  </si>
  <si>
    <t>HDH ingeniería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</si>
  <si>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</si>
  <si>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</si>
  <si>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</si>
  <si>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</si>
  <si>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</si>
  <si>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</si>
  <si>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</si>
  <si>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2129324#1</t>
  </si>
  <si>
    <t>Concorda10</t>
  </si>
  <si>
    <t>939725#1</t>
  </si>
  <si>
    <t>AF arquitectura</t>
  </si>
  <si>
    <t>1739414#2</t>
  </si>
  <si>
    <t>Dalcor Sac</t>
  </si>
  <si>
    <t>4500893#1</t>
  </si>
  <si>
    <t>Reeivarquitectos</t>
  </si>
  <si>
    <t>923536#1</t>
  </si>
  <si>
    <t>REZ MASUD Inmobiliaria</t>
  </si>
  <si>
    <t>4536621#1</t>
  </si>
  <si>
    <t>Nadaestudio</t>
  </si>
  <si>
    <t>603858#1</t>
  </si>
  <si>
    <t>Bravaestudio</t>
  </si>
  <si>
    <t>380099#1</t>
  </si>
  <si>
    <t>Colcar Merbus</t>
  </si>
  <si>
    <t>4481196#1</t>
  </si>
  <si>
    <t>Iesystems</t>
  </si>
  <si>
    <t>4299564#1</t>
  </si>
  <si>
    <t>Oblak Hnos. S.A.C.I.F.e I.</t>
  </si>
  <si>
    <t>4644989#1</t>
  </si>
  <si>
    <t>Obregon Coconut Company Ltd - Farms.</t>
  </si>
  <si>
    <t>896309#1</t>
  </si>
  <si>
    <t>Gladis Lerna Castillo</t>
  </si>
  <si>
    <t>Big Deal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</si>
  <si>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</si>
  <si>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</si>
  <si>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</si>
  <si>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</si>
  <si>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</si>
  <si>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</si>
  <si>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</si>
  <si>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4569899#1</t>
  </si>
  <si>
    <t>Onelectric</t>
  </si>
  <si>
    <t>3256671#1</t>
  </si>
  <si>
    <t>Gmpobras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</si>
  <si>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</si>
  <si>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</si>
  <si>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</si>
  <si>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</si>
  <si>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</si>
  <si>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</si>
  <si>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</si>
  <si>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4607391#1</t>
  </si>
  <si>
    <t>Psproyectosrd</t>
  </si>
  <si>
    <t>4400456#1</t>
  </si>
  <si>
    <t>Mlmiron</t>
  </si>
  <si>
    <t>3885743#1</t>
  </si>
  <si>
    <t>Metrocubico</t>
  </si>
  <si>
    <t>4530153#1</t>
  </si>
  <si>
    <t>Exacontratistas</t>
  </si>
  <si>
    <t>4334914#1</t>
  </si>
  <si>
    <t>Tolder</t>
  </si>
  <si>
    <t>1027831#1</t>
  </si>
  <si>
    <t>Ortiz y Anderson</t>
  </si>
  <si>
    <t>4546369#1</t>
  </si>
  <si>
    <t>Frigoconcepcion</t>
  </si>
  <si>
    <t>1293645#1</t>
  </si>
  <si>
    <t>RIGO INDUSTRIAS</t>
  </si>
  <si>
    <t>4384577#1</t>
  </si>
  <si>
    <t>Gallagro</t>
  </si>
  <si>
    <t>956312#1</t>
  </si>
  <si>
    <t>Maduro</t>
  </si>
  <si>
    <t>4649451#1</t>
  </si>
  <si>
    <t>Gapper</t>
  </si>
  <si>
    <t>2233008#1</t>
  </si>
  <si>
    <t>Fibermex</t>
  </si>
  <si>
    <t>4421998#1</t>
  </si>
  <si>
    <t>Rossettidesarrollos</t>
  </si>
  <si>
    <t>2511973#1</t>
  </si>
  <si>
    <t>Cad</t>
  </si>
  <si>
    <t>4523042#1</t>
  </si>
  <si>
    <t>ICE INGENIEROS S.A.</t>
  </si>
  <si>
    <t>4386493#1</t>
  </si>
  <si>
    <t>Pintegralco Servicios Integrales</t>
  </si>
  <si>
    <t>1036506#1</t>
  </si>
  <si>
    <t>Constructora Pedralbes</t>
  </si>
  <si>
    <t>4538827#1</t>
  </si>
  <si>
    <t>Madenco</t>
  </si>
  <si>
    <t>4378665#1</t>
  </si>
  <si>
    <t>Armetalsrl</t>
  </si>
  <si>
    <t>1282768#1</t>
  </si>
  <si>
    <t>Grupomsp</t>
  </si>
  <si>
    <t>4608487#1</t>
  </si>
  <si>
    <t>Manterolainteriorismo</t>
  </si>
  <si>
    <t>4583942#1</t>
  </si>
  <si>
    <t>Canko</t>
  </si>
  <si>
    <t>579977#1</t>
  </si>
  <si>
    <t>CONTINENTAL ENGINEERING, S.A. (ICONSA)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</si>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</sst>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1fe6805-1998-44be-9036-bdcfc46eb51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4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4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5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s v="4458722#1"/>
        <s v="4366646#1"/>
        <s v="1673335#1"/>
        <s v="2271592#2"/>
        <s v="2950040#1"/>
        <s v="966039#1"/>
        <s v="4374285#1"/>
        <s v="4480715#1"/>
        <s v="4652243#1 "/>
        <s v="4334854#1"/>
        <s v="4331470#1"/>
        <s v="4421200#1"/>
        <s v="1674741#1"/>
        <s v="4405209#1"/>
        <s v="2265364#1"/>
        <s v="3870696#1"/>
        <s v="4529353#1"/>
        <s v="4419134#1"/>
        <s v="4546845#1"/>
        <s v="4533070#1"/>
        <s v="1069707#1"/>
        <s v="2129324#1"/>
        <s v="4536621#1"/>
        <s v="4644989#1"/>
        <s v="4569899#1"/>
        <s v="4607391#1"/>
        <s v="1027831#1"/>
        <s v="956312#1"/>
        <s v="2511973#1"/>
        <s v="1036506#1"/>
        <s v="1282768#1"/>
        <s v="579977#1"/>
        <m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  <s v="Grupo Cantarell"/>
        <s v="Caliza Arquitectura"/>
        <s v="Grupoangal"/>
        <s v="Ergoinova"/>
        <s v="Ingencer"/>
        <s v="3vgq3g"/>
        <s v="Personal Administrativo SysOp"/>
        <s v="Edemexicali"/>
        <s v="Grupohegor"/>
        <s v="Romor"/>
        <s v="Avodahelsalvador"/>
        <s v="Loto Real Del Cibao"/>
        <s v="Universo Abanza"/>
        <s v="Concorda10"/>
        <s v="Nadaestudio"/>
        <s v="Obregon Coconut Company Ltd - Farms."/>
        <s v="Onelectric"/>
        <s v="Psproyectosrd"/>
        <s v="Ortiz y Anderson"/>
        <s v="Maduro"/>
        <s v="Cad"/>
        <s v="Constructora Pedralbes"/>
        <s v="Grupomsp"/>
        <s v="CONTINENTAL ENGINEERING, S.A. (ICONSA)"/>
        <m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 - Not multiple case. Other case was wrongly associated."/>
        <s v="Big Deal - Approved assets: 14 out of 16 machines"/>
        <s v="Big Deal - Approved assets: 10 out of 25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7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5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3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d v="2026-06-18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 4551640#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626847#1"/>
        <s v="4594009#1"/>
        <s v="4646330#1"/>
        <s v="1431716#1"/>
        <s v="4530389#1"/>
        <s v="4549155#1"/>
        <s v="4575414#1"/>
        <s v="4621674#1"/>
        <s v="4647508#1"/>
        <s v="4592208#1"/>
        <s v="2984994#1"/>
        <s v="4532940#1"/>
        <s v="1037404#1"/>
        <s v="1255756#1"/>
        <s v="847086#1"/>
        <s v="2208664#1"/>
        <s v="3530170#1"/>
        <s v="4575388#1"/>
        <s v="1231932#1"/>
        <s v="4372035#1"/>
        <s v="4405941#1"/>
        <s v="939725#1"/>
        <s v="603858#1"/>
        <s v="896309#1"/>
        <s v="3256671#1"/>
        <s v="4400456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Nursrl"/>
        <s v="Mobilyachile"/>
        <s v="Mampe Constructora"/>
        <s v="Arquicon"/>
        <s v="Matrizcreativa"/>
        <s v="Mariatti"/>
        <s v="Skmservicios"/>
        <s v="SIMA INGENIEROS-SERVICIOS AMBIENTALES-RESIDUOS SOLIDOS-RESIDUOS LIQUIDOS-ALQUIER MAQUINARIA-"/>
        <s v="Rgctecnologias"/>
        <s v="Piedrasfinasecuador"/>
        <s v="esmet"/>
        <s v="Csiing"/>
        <s v="design servicios inmobiliarios eirl"/>
        <s v="Quo Marketing"/>
        <s v="muro studio"/>
        <s v="Grupo Gauros"/>
        <s v="PMD arquitectura"/>
        <s v="Inerciaba"/>
        <s v="Cegne San Antonio De Padua"/>
        <s v="Distritoperseverancia"/>
        <s v="HDH ingeniería"/>
        <s v="AF arquitectura"/>
        <s v="Bravaestudio"/>
        <s v="Gladis Lerna Castillo"/>
        <s v="Gmpobras"/>
        <s v="Mlmiron"/>
        <m/>
      </sharedItems>
    </cacheField>
    <cacheField name="Country" numFmtId="0">
      <sharedItems containsBlank="1">
        <s v="Argentina"/>
        <s v="Colombia"/>
        <m/>
        <s v="Chile"/>
        <s v="Ecuador"/>
        <s v="Paraguay"/>
        <s v="Bolivia"/>
        <s v="Peru"/>
        <s v="Uruguay"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  <s v="Big Deal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6"/>
        <item x="3"/>
        <item x="1"/>
        <item x="4"/>
        <item x="5"/>
        <item x="7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4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5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5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5" displayName="MCC_June_Week_3" name="MCC_June_Week_3" id="29">
  <autoFilter ref="$AH$1:$AN$995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3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77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3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1fe6805-1998-44be-9036-bdcfc46eb514}" id="{ad5aad98-fa24-4590-bbac-03d71c64d45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-5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-22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8</v>
      </c>
      <c r="L23" s="33">
        <f t="shared" si="2"/>
        <v>2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31</v>
      </c>
      <c r="F57" s="246">
        <f t="shared" si="3"/>
        <v>-11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29</v>
      </c>
      <c r="L57" s="33">
        <f t="shared" si="4"/>
        <v>-9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33</v>
      </c>
      <c r="F91" s="246">
        <f t="shared" ref="F91:F93" si="5">C91-E91</f>
        <v>7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34</v>
      </c>
      <c r="L91" s="33">
        <f t="shared" ref="L91:L95" si="6">I91-K91</f>
        <v>-9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23</v>
      </c>
      <c r="F92" s="246">
        <f t="shared" si="5"/>
        <v>17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14</v>
      </c>
      <c r="L92" s="33">
        <f t="shared" si="6"/>
        <v>11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38</v>
      </c>
      <c r="F93" s="246">
        <f t="shared" si="5"/>
        <v>2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6</v>
      </c>
      <c r="L94" s="33">
        <f t="shared" si="6"/>
        <v>9</v>
      </c>
    </row>
    <row r="95" outlineLevel="1">
      <c r="D95" s="10"/>
      <c r="E95" s="37" t="s">
        <v>41</v>
      </c>
      <c r="F95" s="38">
        <f>SUM(F91:F93)</f>
        <v>26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14</v>
      </c>
      <c r="L95" s="33">
        <f t="shared" si="6"/>
        <v>6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33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69" t="b">
        <v>1</v>
      </c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 t="b">
        <v>1</v>
      </c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 t="b">
        <v>1</v>
      </c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 t="b">
        <v>1</v>
      </c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 t="b">
        <v>1</v>
      </c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 t="b">
        <v>1</v>
      </c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/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 t="b">
        <v>1</v>
      </c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 t="b">
        <v>1</v>
      </c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 t="b">
        <v>1</v>
      </c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 t="b">
        <v>1</v>
      </c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 t="b">
        <v>1</v>
      </c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 t="b">
        <v>1</v>
      </c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 t="b">
        <v>1</v>
      </c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 t="b">
        <v>1</v>
      </c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 t="b">
        <v>1</v>
      </c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 t="b">
        <v>1</v>
      </c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 t="b">
        <v>1</v>
      </c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 t="b">
        <v>1</v>
      </c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 t="b">
        <v>1</v>
      </c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 t="b">
        <v>1</v>
      </c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 t="b">
        <v>1</v>
      </c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 t="b">
        <v>1</v>
      </c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 t="b">
        <v>1</v>
      </c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 t="b">
        <v>1</v>
      </c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 t="b">
        <v>1</v>
      </c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 t="b">
        <v>1</v>
      </c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 t="b">
        <v>1</v>
      </c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 t="b">
        <v>1</v>
      </c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 t="b">
        <v>1</v>
      </c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 t="b">
        <v>1</v>
      </c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69" t="b">
        <v>1</v>
      </c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 t="b">
        <v>1</v>
      </c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 t="b">
        <v>1</v>
      </c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 t="b">
        <v>1</v>
      </c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 t="b">
        <v>1</v>
      </c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69" t="b">
        <v>1</v>
      </c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46181.0</v>
      </c>
      <c r="C64" s="109" t="s">
        <v>4442</v>
      </c>
      <c r="D64" s="373" t="s">
        <v>4443</v>
      </c>
      <c r="E64" s="58" t="s">
        <v>24</v>
      </c>
      <c r="F64" s="58" t="s">
        <v>9</v>
      </c>
      <c r="G64" s="109"/>
      <c r="H64" s="269" t="b">
        <v>1</v>
      </c>
      <c r="J64" s="270">
        <v>46177.0</v>
      </c>
      <c r="K64" s="109" t="s">
        <v>4444</v>
      </c>
      <c r="L64" s="109" t="s">
        <v>4445</v>
      </c>
      <c r="M64" s="58" t="s">
        <v>11</v>
      </c>
      <c r="N64" s="58" t="s">
        <v>20</v>
      </c>
      <c r="O64" s="109"/>
      <c r="P64" s="269" t="b">
        <v>1</v>
      </c>
      <c r="R64" s="403">
        <v>46185.0</v>
      </c>
      <c r="S64" s="109" t="s">
        <v>4446</v>
      </c>
      <c r="T64" s="109" t="s">
        <v>4447</v>
      </c>
      <c r="U64" s="58" t="s">
        <v>13</v>
      </c>
      <c r="V64" s="58" t="s">
        <v>9</v>
      </c>
      <c r="W64" s="61"/>
      <c r="X64" s="269" t="b">
        <v>1</v>
      </c>
      <c r="Z64" s="401">
        <v>46183.0</v>
      </c>
      <c r="AA64" s="273" t="s">
        <v>4448</v>
      </c>
      <c r="AB64" s="273" t="s">
        <v>4449</v>
      </c>
      <c r="AC64" s="402" t="s">
        <v>15</v>
      </c>
      <c r="AD64" s="402" t="s">
        <v>2337</v>
      </c>
      <c r="AE64" s="109"/>
      <c r="AF64" s="269" t="b">
        <v>1</v>
      </c>
      <c r="AH64" s="270">
        <v>46190.0</v>
      </c>
      <c r="AI64" s="294" t="s">
        <v>4450</v>
      </c>
      <c r="AJ64" s="294" t="s">
        <v>4451</v>
      </c>
      <c r="AK64" s="295" t="s">
        <v>22</v>
      </c>
      <c r="AL64" s="58" t="s">
        <v>12</v>
      </c>
      <c r="AM64" s="61"/>
      <c r="AN64" s="298"/>
      <c r="AP64" s="382">
        <v>46190.0</v>
      </c>
      <c r="AQ64" s="273" t="s">
        <v>4452</v>
      </c>
      <c r="AR64" s="273" t="s">
        <v>4453</v>
      </c>
      <c r="AS64" s="383" t="s">
        <v>15</v>
      </c>
      <c r="AT64" s="410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46181.0</v>
      </c>
      <c r="C65" s="109" t="s">
        <v>4454</v>
      </c>
      <c r="D65" s="373" t="s">
        <v>4455</v>
      </c>
      <c r="E65" s="58" t="s">
        <v>10</v>
      </c>
      <c r="F65" s="58" t="s">
        <v>9</v>
      </c>
      <c r="G65" s="109" t="s">
        <v>4456</v>
      </c>
      <c r="H65" s="269"/>
      <c r="J65" s="270">
        <v>46177.0</v>
      </c>
      <c r="K65" s="109" t="s">
        <v>4457</v>
      </c>
      <c r="L65" s="109" t="s">
        <v>4458</v>
      </c>
      <c r="M65" s="58" t="s">
        <v>11</v>
      </c>
      <c r="N65" s="58" t="s">
        <v>20</v>
      </c>
      <c r="O65" s="61"/>
      <c r="P65" s="269" t="b">
        <v>1</v>
      </c>
      <c r="R65" s="403">
        <v>46185.0</v>
      </c>
      <c r="S65" s="109" t="s">
        <v>4459</v>
      </c>
      <c r="T65" s="109" t="s">
        <v>4460</v>
      </c>
      <c r="U65" s="58" t="s">
        <v>44</v>
      </c>
      <c r="V65" s="58" t="s">
        <v>9</v>
      </c>
      <c r="W65" s="109" t="s">
        <v>4461</v>
      </c>
      <c r="X65" s="269" t="b">
        <v>1</v>
      </c>
      <c r="Z65" s="403">
        <v>46183.0</v>
      </c>
      <c r="AA65" s="294" t="s">
        <v>4462</v>
      </c>
      <c r="AB65" s="294" t="s">
        <v>4463</v>
      </c>
      <c r="AC65" s="391" t="s">
        <v>25</v>
      </c>
      <c r="AD65" s="391" t="s">
        <v>2337</v>
      </c>
      <c r="AE65" s="61"/>
      <c r="AF65" s="269" t="b">
        <v>1</v>
      </c>
      <c r="AH65" s="270">
        <v>46190.0</v>
      </c>
      <c r="AI65" s="430" t="s">
        <v>4464</v>
      </c>
      <c r="AJ65" s="430" t="s">
        <v>4465</v>
      </c>
      <c r="AK65" s="410" t="s">
        <v>10</v>
      </c>
      <c r="AL65" s="58" t="s">
        <v>12</v>
      </c>
      <c r="AM65" s="61"/>
      <c r="AN65" s="298"/>
      <c r="AP65" s="380">
        <v>46190.0</v>
      </c>
      <c r="AQ65" s="294" t="s">
        <v>4466</v>
      </c>
      <c r="AR65" s="294" t="s">
        <v>4467</v>
      </c>
      <c r="AS65" s="381" t="s">
        <v>18</v>
      </c>
      <c r="AT65" s="295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4468</v>
      </c>
      <c r="D66" s="373" t="s">
        <v>4469</v>
      </c>
      <c r="E66" s="58" t="s">
        <v>16</v>
      </c>
      <c r="F66" s="58" t="s">
        <v>9</v>
      </c>
      <c r="G66" s="61"/>
      <c r="H66" s="269" t="b">
        <v>1</v>
      </c>
      <c r="J66" s="270">
        <v>46177.0</v>
      </c>
      <c r="K66" s="109" t="s">
        <v>4470</v>
      </c>
      <c r="L66" s="109" t="s">
        <v>4471</v>
      </c>
      <c r="M66" s="58" t="s">
        <v>11</v>
      </c>
      <c r="N66" s="58" t="s">
        <v>20</v>
      </c>
      <c r="O66" s="61"/>
      <c r="P66" s="269" t="b">
        <v>1</v>
      </c>
      <c r="R66" s="403">
        <v>46185.0</v>
      </c>
      <c r="S66" s="477" t="s">
        <v>4472</v>
      </c>
      <c r="T66" s="477" t="s">
        <v>4473</v>
      </c>
      <c r="U66" s="508" t="s">
        <v>10</v>
      </c>
      <c r="V66" s="508" t="s">
        <v>9</v>
      </c>
      <c r="W66" s="61"/>
      <c r="X66" s="269" t="b">
        <v>1</v>
      </c>
      <c r="Z66" s="401">
        <v>46183.0</v>
      </c>
      <c r="AA66" s="273" t="s">
        <v>4474</v>
      </c>
      <c r="AB66" s="273" t="s">
        <v>4475</v>
      </c>
      <c r="AC66" s="402" t="s">
        <v>18</v>
      </c>
      <c r="AD66" s="402" t="s">
        <v>2337</v>
      </c>
      <c r="AE66" s="61"/>
      <c r="AF66" s="269" t="b">
        <v>1</v>
      </c>
      <c r="AH66" s="270">
        <v>46190.0</v>
      </c>
      <c r="AI66" s="294" t="s">
        <v>4476</v>
      </c>
      <c r="AJ66" s="294" t="s">
        <v>4477</v>
      </c>
      <c r="AK66" s="295" t="s">
        <v>22</v>
      </c>
      <c r="AL66" s="58" t="s">
        <v>12</v>
      </c>
      <c r="AM66" s="61"/>
      <c r="AN66" s="298"/>
      <c r="AP66" s="382">
        <v>46190.0</v>
      </c>
      <c r="AQ66" s="273" t="s">
        <v>4478</v>
      </c>
      <c r="AR66" s="273" t="s">
        <v>4479</v>
      </c>
      <c r="AS66" s="383" t="s">
        <v>30</v>
      </c>
      <c r="AT66" s="410" t="s">
        <v>2338</v>
      </c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>
        <v>46181.0</v>
      </c>
      <c r="C67" s="109" t="s">
        <v>4480</v>
      </c>
      <c r="D67" s="373" t="s">
        <v>4481</v>
      </c>
      <c r="E67" s="58" t="s">
        <v>10</v>
      </c>
      <c r="F67" s="58" t="s">
        <v>9</v>
      </c>
      <c r="G67" s="61"/>
      <c r="H67" s="269" t="b">
        <v>1</v>
      </c>
      <c r="J67" s="270">
        <v>46177.0</v>
      </c>
      <c r="K67" s="109" t="s">
        <v>4482</v>
      </c>
      <c r="L67" s="109" t="s">
        <v>4483</v>
      </c>
      <c r="M67" s="58" t="s">
        <v>21</v>
      </c>
      <c r="N67" s="58" t="s">
        <v>20</v>
      </c>
      <c r="O67" s="109"/>
      <c r="P67" s="269" t="b">
        <v>1</v>
      </c>
      <c r="R67" s="403">
        <v>46185.0</v>
      </c>
      <c r="S67" s="273" t="s">
        <v>4484</v>
      </c>
      <c r="T67" s="273" t="s">
        <v>4485</v>
      </c>
      <c r="U67" s="274"/>
      <c r="V67" s="274" t="s">
        <v>2344</v>
      </c>
      <c r="W67" s="109" t="s">
        <v>4486</v>
      </c>
      <c r="X67" s="298"/>
      <c r="Z67" s="403">
        <v>46183.0</v>
      </c>
      <c r="AA67" s="294" t="s">
        <v>4487</v>
      </c>
      <c r="AB67" s="294" t="s">
        <v>4488</v>
      </c>
      <c r="AC67" s="391" t="s">
        <v>30</v>
      </c>
      <c r="AD67" s="391" t="s">
        <v>2337</v>
      </c>
      <c r="AE67" s="61"/>
      <c r="AF67" s="269" t="b">
        <v>1</v>
      </c>
      <c r="AH67" s="270">
        <v>46190.0</v>
      </c>
      <c r="AI67" s="430" t="s">
        <v>4489</v>
      </c>
      <c r="AJ67" s="430" t="s">
        <v>4490</v>
      </c>
      <c r="AK67" s="410" t="s">
        <v>10</v>
      </c>
      <c r="AL67" s="58" t="s">
        <v>12</v>
      </c>
      <c r="AM67" s="61"/>
      <c r="AN67" s="298"/>
      <c r="AP67" s="382">
        <v>46190.0</v>
      </c>
      <c r="AQ67" s="109" t="s">
        <v>4491</v>
      </c>
      <c r="AR67" s="109" t="s">
        <v>4492</v>
      </c>
      <c r="AS67" s="58" t="s">
        <v>30</v>
      </c>
      <c r="AT67" s="58" t="s">
        <v>14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4493</v>
      </c>
      <c r="D68" s="373" t="s">
        <v>4494</v>
      </c>
      <c r="E68" s="58" t="s">
        <v>22</v>
      </c>
      <c r="F68" s="58" t="s">
        <v>9</v>
      </c>
      <c r="G68" s="109" t="s">
        <v>4495</v>
      </c>
      <c r="H68" s="298"/>
      <c r="J68" s="270">
        <v>46177.0</v>
      </c>
      <c r="K68" s="109" t="s">
        <v>4496</v>
      </c>
      <c r="L68" s="109" t="s">
        <v>4497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294" t="s">
        <v>4498</v>
      </c>
      <c r="T68" s="294" t="s">
        <v>4499</v>
      </c>
      <c r="U68" s="295" t="s">
        <v>24</v>
      </c>
      <c r="V68" s="295" t="s">
        <v>2344</v>
      </c>
      <c r="W68" s="61"/>
      <c r="X68" s="269" t="b">
        <v>1</v>
      </c>
      <c r="Z68" s="401">
        <v>46183.0</v>
      </c>
      <c r="AA68" s="273" t="s">
        <v>4500</v>
      </c>
      <c r="AB68" s="273" t="s">
        <v>4501</v>
      </c>
      <c r="AC68" s="402" t="s">
        <v>27</v>
      </c>
      <c r="AD68" s="402" t="s">
        <v>2337</v>
      </c>
      <c r="AE68" s="61"/>
      <c r="AF68" s="269" t="b">
        <v>1</v>
      </c>
      <c r="AG68" s="428"/>
      <c r="AH68" s="270">
        <v>46190.0</v>
      </c>
      <c r="AI68" s="405" t="s">
        <v>4502</v>
      </c>
      <c r="AJ68" s="405" t="s">
        <v>4503</v>
      </c>
      <c r="AK68" s="406" t="s">
        <v>16</v>
      </c>
      <c r="AL68" s="58" t="s">
        <v>12</v>
      </c>
      <c r="AM68" s="61"/>
      <c r="AN68" s="298"/>
      <c r="AP68" s="382">
        <v>46190.0</v>
      </c>
      <c r="AQ68" s="109" t="s">
        <v>4504</v>
      </c>
      <c r="AR68" s="109" t="s">
        <v>4505</v>
      </c>
      <c r="AS68" s="58" t="s">
        <v>18</v>
      </c>
      <c r="AT68" s="58" t="s">
        <v>14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4506</v>
      </c>
      <c r="D69" s="373" t="s">
        <v>4507</v>
      </c>
      <c r="E69" s="58" t="s">
        <v>16</v>
      </c>
      <c r="F69" s="58" t="s">
        <v>2347</v>
      </c>
      <c r="G69" s="109" t="s">
        <v>4508</v>
      </c>
      <c r="H69" s="269" t="b">
        <v>1</v>
      </c>
      <c r="J69" s="270">
        <v>46177.0</v>
      </c>
      <c r="K69" s="109" t="s">
        <v>4509</v>
      </c>
      <c r="L69" s="109" t="s">
        <v>4510</v>
      </c>
      <c r="M69" s="58" t="s">
        <v>23</v>
      </c>
      <c r="N69" s="58" t="s">
        <v>20</v>
      </c>
      <c r="O69" s="61"/>
      <c r="P69" s="269" t="b">
        <v>1</v>
      </c>
      <c r="R69" s="403">
        <v>46185.0</v>
      </c>
      <c r="S69" s="273" t="s">
        <v>4511</v>
      </c>
      <c r="T69" s="273" t="s">
        <v>4512</v>
      </c>
      <c r="U69" s="274" t="s">
        <v>32</v>
      </c>
      <c r="V69" s="274" t="s">
        <v>2344</v>
      </c>
      <c r="W69" s="109"/>
      <c r="X69" s="269" t="b">
        <v>1</v>
      </c>
      <c r="Z69" s="403">
        <v>46183.0</v>
      </c>
      <c r="AA69" s="294" t="s">
        <v>4513</v>
      </c>
      <c r="AB69" s="294" t="s">
        <v>4514</v>
      </c>
      <c r="AC69" s="391" t="s">
        <v>30</v>
      </c>
      <c r="AD69" s="391" t="s">
        <v>2337</v>
      </c>
      <c r="AE69" s="61"/>
      <c r="AF69" s="269" t="b">
        <v>1</v>
      </c>
      <c r="AH69" s="270">
        <v>46190.0</v>
      </c>
      <c r="AI69" s="273" t="s">
        <v>4515</v>
      </c>
      <c r="AJ69" s="273" t="s">
        <v>4516</v>
      </c>
      <c r="AK69" s="274" t="s">
        <v>24</v>
      </c>
      <c r="AL69" s="58" t="s">
        <v>12</v>
      </c>
      <c r="AM69" s="61"/>
      <c r="AN69" s="298"/>
      <c r="AP69" s="382">
        <v>46190.0</v>
      </c>
      <c r="AQ69" s="109" t="s">
        <v>4517</v>
      </c>
      <c r="AR69" s="109" t="s">
        <v>4518</v>
      </c>
      <c r="AS69" s="58" t="s">
        <v>11</v>
      </c>
      <c r="AT69" s="58" t="s">
        <v>14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4519</v>
      </c>
      <c r="D70" s="373" t="s">
        <v>4520</v>
      </c>
      <c r="E70" s="58" t="s">
        <v>10</v>
      </c>
      <c r="F70" s="58" t="s">
        <v>9</v>
      </c>
      <c r="G70" s="61"/>
      <c r="H70" s="269" t="b">
        <v>1</v>
      </c>
      <c r="J70" s="401">
        <v>46177.0</v>
      </c>
      <c r="K70" s="273" t="s">
        <v>4521</v>
      </c>
      <c r="L70" s="273" t="s">
        <v>4522</v>
      </c>
      <c r="M70" s="402" t="s">
        <v>11</v>
      </c>
      <c r="N70" s="402" t="s">
        <v>2337</v>
      </c>
      <c r="O70" s="109" t="s">
        <v>3786</v>
      </c>
      <c r="P70" s="269" t="b">
        <v>1</v>
      </c>
      <c r="R70" s="403">
        <v>46185.0</v>
      </c>
      <c r="S70" s="294" t="s">
        <v>4523</v>
      </c>
      <c r="T70" s="294" t="s">
        <v>4524</v>
      </c>
      <c r="U70" s="295" t="s">
        <v>22</v>
      </c>
      <c r="V70" s="295" t="s">
        <v>2344</v>
      </c>
      <c r="W70" s="61"/>
      <c r="X70" s="269" t="b">
        <v>1</v>
      </c>
      <c r="Z70" s="403">
        <v>46183.0</v>
      </c>
      <c r="AA70" s="109" t="s">
        <v>4525</v>
      </c>
      <c r="AB70" s="109" t="s">
        <v>4526</v>
      </c>
      <c r="AC70" s="58" t="s">
        <v>27</v>
      </c>
      <c r="AD70" s="58" t="s">
        <v>14</v>
      </c>
      <c r="AE70" s="61"/>
      <c r="AF70" s="269" t="b">
        <v>1</v>
      </c>
      <c r="AH70" s="270">
        <v>46190.0</v>
      </c>
      <c r="AI70" s="294" t="s">
        <v>4527</v>
      </c>
      <c r="AJ70" s="294" t="s">
        <v>4528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4529</v>
      </c>
      <c r="AR70" s="273" t="s">
        <v>4530</v>
      </c>
      <c r="AS70" s="274" t="s">
        <v>18</v>
      </c>
      <c r="AT70" s="274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4531</v>
      </c>
      <c r="D71" s="373" t="s">
        <v>4532</v>
      </c>
      <c r="E71" s="58" t="s">
        <v>16</v>
      </c>
      <c r="F71" s="58" t="s">
        <v>2347</v>
      </c>
      <c r="G71" s="61"/>
      <c r="H71" s="269" t="b">
        <v>1</v>
      </c>
      <c r="J71" s="403">
        <v>46177.0</v>
      </c>
      <c r="K71" s="294" t="s">
        <v>4533</v>
      </c>
      <c r="L71" s="294" t="s">
        <v>4534</v>
      </c>
      <c r="M71" s="391" t="s">
        <v>11</v>
      </c>
      <c r="N71" s="391" t="s">
        <v>2337</v>
      </c>
      <c r="O71" s="61"/>
      <c r="P71" s="269" t="b">
        <v>1</v>
      </c>
      <c r="R71" s="403">
        <v>46185.0</v>
      </c>
      <c r="S71" s="273" t="s">
        <v>4535</v>
      </c>
      <c r="T71" s="273" t="s">
        <v>4536</v>
      </c>
      <c r="U71" s="274" t="s">
        <v>13</v>
      </c>
      <c r="V71" s="274" t="s">
        <v>2344</v>
      </c>
      <c r="W71" s="61"/>
      <c r="X71" s="269" t="b">
        <v>1</v>
      </c>
      <c r="Z71" s="501">
        <v>46184.0</v>
      </c>
      <c r="AA71" s="498" t="s">
        <v>4537</v>
      </c>
      <c r="AB71" s="498" t="s">
        <v>4538</v>
      </c>
      <c r="AC71" s="471" t="s">
        <v>21</v>
      </c>
      <c r="AD71" s="471" t="s">
        <v>20</v>
      </c>
      <c r="AE71" s="61"/>
      <c r="AF71" s="269" t="b">
        <v>1</v>
      </c>
      <c r="AH71" s="270">
        <v>46190.0</v>
      </c>
      <c r="AI71" s="273" t="s">
        <v>4539</v>
      </c>
      <c r="AJ71" s="273" t="s">
        <v>4540</v>
      </c>
      <c r="AK71" s="274" t="s">
        <v>10</v>
      </c>
      <c r="AL71" s="58" t="s">
        <v>12</v>
      </c>
      <c r="AM71" s="61"/>
      <c r="AN71" s="298"/>
      <c r="AP71" s="380">
        <v>46190.0</v>
      </c>
      <c r="AQ71" s="405" t="s">
        <v>4541</v>
      </c>
      <c r="AR71" s="405" t="s">
        <v>4542</v>
      </c>
      <c r="AS71" s="406" t="s">
        <v>27</v>
      </c>
      <c r="AT71" s="406" t="s">
        <v>2338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294" t="s">
        <v>4543</v>
      </c>
      <c r="D72" s="294" t="s">
        <v>4544</v>
      </c>
      <c r="E72" s="391" t="s">
        <v>24</v>
      </c>
      <c r="F72" s="58" t="s">
        <v>12</v>
      </c>
      <c r="G72" s="61"/>
      <c r="H72" s="269" t="b">
        <v>1</v>
      </c>
      <c r="J72" s="401">
        <v>46177.0</v>
      </c>
      <c r="K72" s="273" t="s">
        <v>4545</v>
      </c>
      <c r="L72" s="273" t="s">
        <v>4546</v>
      </c>
      <c r="M72" s="402" t="s">
        <v>11</v>
      </c>
      <c r="N72" s="402" t="s">
        <v>2337</v>
      </c>
      <c r="O72" s="61"/>
      <c r="P72" s="269" t="b">
        <v>1</v>
      </c>
      <c r="R72" s="382">
        <v>46185.0</v>
      </c>
      <c r="S72" s="273" t="s">
        <v>4547</v>
      </c>
      <c r="T72" s="273" t="s">
        <v>4548</v>
      </c>
      <c r="U72" s="383" t="s">
        <v>10</v>
      </c>
      <c r="V72" s="410" t="s">
        <v>2338</v>
      </c>
      <c r="W72" s="109"/>
      <c r="X72" s="269" t="b">
        <v>1</v>
      </c>
      <c r="Z72" s="516">
        <v>46184.0</v>
      </c>
      <c r="AA72" s="465" t="s">
        <v>130</v>
      </c>
      <c r="AB72" s="465" t="s">
        <v>131</v>
      </c>
      <c r="AC72" s="466" t="s">
        <v>11</v>
      </c>
      <c r="AD72" s="466" t="s">
        <v>20</v>
      </c>
      <c r="AE72" s="61"/>
      <c r="AF72" s="269" t="b">
        <v>1</v>
      </c>
      <c r="AH72" s="270">
        <v>46191.0</v>
      </c>
      <c r="AI72" s="109" t="s">
        <v>4549</v>
      </c>
      <c r="AJ72" s="373" t="s">
        <v>4550</v>
      </c>
      <c r="AK72" s="58" t="s">
        <v>22</v>
      </c>
      <c r="AL72" s="58" t="s">
        <v>28</v>
      </c>
      <c r="AM72" s="61"/>
      <c r="AN72" s="298"/>
      <c r="AP72" s="382">
        <v>46190.0</v>
      </c>
      <c r="AQ72" s="430" t="s">
        <v>4551</v>
      </c>
      <c r="AR72" s="430" t="s">
        <v>4552</v>
      </c>
      <c r="AS72" s="410" t="s">
        <v>21</v>
      </c>
      <c r="AT72" s="410" t="s">
        <v>2338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273" t="s">
        <v>4553</v>
      </c>
      <c r="D73" s="273" t="s">
        <v>4554</v>
      </c>
      <c r="E73" s="402" t="s">
        <v>44</v>
      </c>
      <c r="F73" s="58" t="s">
        <v>12</v>
      </c>
      <c r="G73" s="61"/>
      <c r="H73" s="269" t="b">
        <v>1</v>
      </c>
      <c r="J73" s="403">
        <v>46177.0</v>
      </c>
      <c r="K73" s="294" t="s">
        <v>4555</v>
      </c>
      <c r="L73" s="294" t="s">
        <v>4556</v>
      </c>
      <c r="M73" s="391" t="s">
        <v>11</v>
      </c>
      <c r="N73" s="391" t="s">
        <v>2337</v>
      </c>
      <c r="O73" s="61"/>
      <c r="P73" s="269" t="b">
        <v>1</v>
      </c>
      <c r="R73" s="380">
        <v>46185.0</v>
      </c>
      <c r="S73" s="294" t="s">
        <v>4557</v>
      </c>
      <c r="T73" s="294" t="s">
        <v>4558</v>
      </c>
      <c r="U73" s="441" t="s">
        <v>10</v>
      </c>
      <c r="V73" s="295" t="s">
        <v>2338</v>
      </c>
      <c r="W73" s="61"/>
      <c r="X73" s="269" t="b">
        <v>1</v>
      </c>
      <c r="Z73" s="501">
        <v>46184.0</v>
      </c>
      <c r="AA73" s="498" t="s">
        <v>4559</v>
      </c>
      <c r="AB73" s="498" t="s">
        <v>4560</v>
      </c>
      <c r="AC73" s="471" t="s">
        <v>11</v>
      </c>
      <c r="AD73" s="471" t="s">
        <v>20</v>
      </c>
      <c r="AE73" s="61"/>
      <c r="AF73" s="269" t="b">
        <v>1</v>
      </c>
      <c r="AH73" s="270">
        <v>46191.0</v>
      </c>
      <c r="AI73" s="294" t="s">
        <v>4561</v>
      </c>
      <c r="AJ73" s="411" t="s">
        <v>4562</v>
      </c>
      <c r="AK73" s="295" t="s">
        <v>22</v>
      </c>
      <c r="AL73" s="58" t="s">
        <v>12</v>
      </c>
      <c r="AM73" s="61"/>
      <c r="AN73" s="298"/>
      <c r="AP73" s="380">
        <v>46190.0</v>
      </c>
      <c r="AQ73" s="294" t="s">
        <v>4563</v>
      </c>
      <c r="AR73" s="294" t="s">
        <v>4564</v>
      </c>
      <c r="AS73" s="381" t="s">
        <v>30</v>
      </c>
      <c r="AT73" s="295" t="s">
        <v>2338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294" t="s">
        <v>4565</v>
      </c>
      <c r="D74" s="294" t="s">
        <v>4566</v>
      </c>
      <c r="E74" s="391" t="s">
        <v>24</v>
      </c>
      <c r="F74" s="58" t="s">
        <v>12</v>
      </c>
      <c r="G74" s="61"/>
      <c r="H74" s="269" t="b">
        <v>1</v>
      </c>
      <c r="J74" s="401">
        <v>46177.0</v>
      </c>
      <c r="K74" s="273" t="s">
        <v>4567</v>
      </c>
      <c r="L74" s="273" t="s">
        <v>4568</v>
      </c>
      <c r="M74" s="402" t="s">
        <v>11</v>
      </c>
      <c r="N74" s="402" t="s">
        <v>2337</v>
      </c>
      <c r="O74" s="61"/>
      <c r="P74" s="269" t="b">
        <v>1</v>
      </c>
      <c r="R74" s="270">
        <v>46185.0</v>
      </c>
      <c r="S74" s="312" t="s">
        <v>4569</v>
      </c>
      <c r="T74" s="109" t="s">
        <v>4570</v>
      </c>
      <c r="U74" s="58"/>
      <c r="V74" s="58" t="s">
        <v>2347</v>
      </c>
      <c r="W74" s="427" t="s">
        <v>2432</v>
      </c>
      <c r="X74" s="298"/>
      <c r="Z74" s="516">
        <v>46184.0</v>
      </c>
      <c r="AA74" s="465" t="s">
        <v>4571</v>
      </c>
      <c r="AB74" s="465" t="s">
        <v>4572</v>
      </c>
      <c r="AC74" s="466" t="s">
        <v>11</v>
      </c>
      <c r="AD74" s="466" t="s">
        <v>20</v>
      </c>
      <c r="AE74" s="61"/>
      <c r="AF74" s="269" t="b">
        <v>1</v>
      </c>
      <c r="AH74" s="270">
        <v>46191.0</v>
      </c>
      <c r="AI74" s="273" t="s">
        <v>4573</v>
      </c>
      <c r="AJ74" s="413" t="s">
        <v>4574</v>
      </c>
      <c r="AK74" s="274" t="s">
        <v>22</v>
      </c>
      <c r="AL74" s="58" t="s">
        <v>12</v>
      </c>
      <c r="AM74" s="61"/>
      <c r="AN74" s="298"/>
      <c r="AP74" s="403">
        <v>46191.0</v>
      </c>
      <c r="AQ74" s="294" t="s">
        <v>4575</v>
      </c>
      <c r="AR74" s="294" t="s">
        <v>4576</v>
      </c>
      <c r="AS74" s="295" t="s">
        <v>11</v>
      </c>
      <c r="AT74" s="295" t="s">
        <v>2337</v>
      </c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273" t="s">
        <v>4577</v>
      </c>
      <c r="D75" s="273" t="s">
        <v>4578</v>
      </c>
      <c r="E75" s="402" t="s">
        <v>10</v>
      </c>
      <c r="F75" s="58" t="s">
        <v>12</v>
      </c>
      <c r="G75" s="61"/>
      <c r="H75" s="269" t="b">
        <v>1</v>
      </c>
      <c r="J75" s="403">
        <v>46177.0</v>
      </c>
      <c r="K75" s="294" t="s">
        <v>4579</v>
      </c>
      <c r="L75" s="294" t="s">
        <v>4580</v>
      </c>
      <c r="M75" s="391" t="s">
        <v>11</v>
      </c>
      <c r="N75" s="391" t="s">
        <v>2337</v>
      </c>
      <c r="O75" s="61"/>
      <c r="P75" s="269" t="b">
        <v>1</v>
      </c>
      <c r="R75" s="270">
        <v>46185.0</v>
      </c>
      <c r="S75" s="384" t="s">
        <v>4581</v>
      </c>
      <c r="T75" s="109" t="s">
        <v>4582</v>
      </c>
      <c r="U75" s="58" t="s">
        <v>22</v>
      </c>
      <c r="V75" s="58" t="s">
        <v>2347</v>
      </c>
      <c r="W75" s="61"/>
      <c r="X75" s="269" t="b">
        <v>1</v>
      </c>
      <c r="Z75" s="501">
        <v>46184.0</v>
      </c>
      <c r="AA75" s="498" t="s">
        <v>4583</v>
      </c>
      <c r="AB75" s="498" t="s">
        <v>4584</v>
      </c>
      <c r="AC75" s="471" t="s">
        <v>11</v>
      </c>
      <c r="AD75" s="471" t="s">
        <v>20</v>
      </c>
      <c r="AE75" s="61"/>
      <c r="AF75" s="269" t="b">
        <v>1</v>
      </c>
      <c r="AG75" s="428"/>
      <c r="AH75" s="270">
        <v>46191.0</v>
      </c>
      <c r="AI75" s="294" t="s">
        <v>4585</v>
      </c>
      <c r="AJ75" s="411" t="s">
        <v>4586</v>
      </c>
      <c r="AK75" s="295" t="s">
        <v>22</v>
      </c>
      <c r="AL75" s="58" t="s">
        <v>12</v>
      </c>
      <c r="AM75" s="61"/>
      <c r="AN75" s="298"/>
      <c r="AP75" s="401">
        <v>46191.0</v>
      </c>
      <c r="AQ75" s="273" t="s">
        <v>4587</v>
      </c>
      <c r="AR75" s="273" t="s">
        <v>4588</v>
      </c>
      <c r="AS75" s="274" t="s">
        <v>25</v>
      </c>
      <c r="AT75" s="274" t="s">
        <v>2337</v>
      </c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4589</v>
      </c>
      <c r="D76" s="294" t="s">
        <v>4590</v>
      </c>
      <c r="E76" s="391" t="s">
        <v>10</v>
      </c>
      <c r="F76" s="58" t="s">
        <v>12</v>
      </c>
      <c r="G76" s="61"/>
      <c r="H76" s="269"/>
      <c r="J76" s="401">
        <v>46177.0</v>
      </c>
      <c r="K76" s="273" t="s">
        <v>4591</v>
      </c>
      <c r="L76" s="273" t="s">
        <v>4592</v>
      </c>
      <c r="M76" s="402" t="s">
        <v>11</v>
      </c>
      <c r="N76" s="402" t="s">
        <v>2337</v>
      </c>
      <c r="O76" s="61"/>
      <c r="P76" s="269" t="b">
        <v>1</v>
      </c>
      <c r="R76" s="270">
        <v>46186.0</v>
      </c>
      <c r="S76" s="384" t="s">
        <v>4593</v>
      </c>
      <c r="T76" s="109" t="s">
        <v>4594</v>
      </c>
      <c r="U76" s="58" t="s">
        <v>22</v>
      </c>
      <c r="V76" s="58" t="s">
        <v>2347</v>
      </c>
      <c r="W76" s="109"/>
      <c r="X76" s="269" t="b">
        <v>1</v>
      </c>
      <c r="Z76" s="473">
        <v>46184.0</v>
      </c>
      <c r="AA76" s="498" t="s">
        <v>4595</v>
      </c>
      <c r="AB76" s="465" t="s">
        <v>4596</v>
      </c>
      <c r="AC76" s="466" t="s">
        <v>11</v>
      </c>
      <c r="AD76" s="466" t="s">
        <v>20</v>
      </c>
      <c r="AE76" s="61"/>
      <c r="AF76" s="269" t="b">
        <v>1</v>
      </c>
      <c r="AH76" s="270">
        <v>46191.0</v>
      </c>
      <c r="AI76" s="273" t="s">
        <v>4597</v>
      </c>
      <c r="AJ76" s="413" t="s">
        <v>4598</v>
      </c>
      <c r="AK76" s="274" t="s">
        <v>22</v>
      </c>
      <c r="AL76" s="58" t="s">
        <v>12</v>
      </c>
      <c r="AM76" s="61"/>
      <c r="AN76" s="298"/>
      <c r="AP76" s="403">
        <v>46191.0</v>
      </c>
      <c r="AQ76" s="294" t="s">
        <v>4599</v>
      </c>
      <c r="AR76" s="294" t="s">
        <v>4600</v>
      </c>
      <c r="AS76" s="295" t="s">
        <v>23</v>
      </c>
      <c r="AT76" s="295" t="s">
        <v>2337</v>
      </c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312" t="s">
        <v>4601</v>
      </c>
      <c r="D77" s="373" t="s">
        <v>4602</v>
      </c>
      <c r="E77" s="58" t="s">
        <v>16</v>
      </c>
      <c r="F77" s="58" t="s">
        <v>14</v>
      </c>
      <c r="G77" s="61"/>
      <c r="H77" s="269"/>
      <c r="J77" s="270">
        <v>46178.0</v>
      </c>
      <c r="K77" s="109" t="s">
        <v>4603</v>
      </c>
      <c r="L77" s="109" t="s">
        <v>4604</v>
      </c>
      <c r="M77" s="58" t="s">
        <v>21</v>
      </c>
      <c r="N77" s="58" t="s">
        <v>20</v>
      </c>
      <c r="O77" s="61"/>
      <c r="P77" s="269" t="b">
        <v>1</v>
      </c>
      <c r="R77" s="270">
        <v>46186.0</v>
      </c>
      <c r="S77" s="294" t="s">
        <v>4605</v>
      </c>
      <c r="T77" s="294" t="s">
        <v>4606</v>
      </c>
      <c r="U77" s="295" t="s">
        <v>13</v>
      </c>
      <c r="V77" s="58" t="s">
        <v>12</v>
      </c>
      <c r="W77" s="61"/>
      <c r="X77" s="269" t="b">
        <v>1</v>
      </c>
      <c r="Z77" s="473">
        <v>46184.0</v>
      </c>
      <c r="AA77" s="465" t="s">
        <v>81</v>
      </c>
      <c r="AB77" s="465" t="s">
        <v>82</v>
      </c>
      <c r="AC77" s="496" t="s">
        <v>11</v>
      </c>
      <c r="AD77" s="496" t="s">
        <v>20</v>
      </c>
      <c r="AE77" s="61"/>
      <c r="AF77" s="269" t="b">
        <v>1</v>
      </c>
      <c r="AH77" s="270">
        <v>46191.0</v>
      </c>
      <c r="AI77" s="294" t="s">
        <v>4607</v>
      </c>
      <c r="AJ77" s="411" t="s">
        <v>4608</v>
      </c>
      <c r="AK77" s="295" t="s">
        <v>22</v>
      </c>
      <c r="AL77" s="58" t="s">
        <v>12</v>
      </c>
      <c r="AM77" s="61"/>
      <c r="AN77" s="298"/>
      <c r="AP77" s="270">
        <v>46191.0</v>
      </c>
      <c r="AQ77" s="109" t="s">
        <v>4609</v>
      </c>
      <c r="AR77" s="109" t="s">
        <v>4610</v>
      </c>
      <c r="AS77" s="58" t="s">
        <v>11</v>
      </c>
      <c r="AT77" s="58" t="s">
        <v>20</v>
      </c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109" t="s">
        <v>4611</v>
      </c>
      <c r="D78" s="373" t="s">
        <v>4612</v>
      </c>
      <c r="E78" s="58" t="s">
        <v>13</v>
      </c>
      <c r="F78" s="58" t="s">
        <v>14</v>
      </c>
      <c r="G78" s="61"/>
      <c r="H78" s="269"/>
      <c r="J78" s="270">
        <v>46178.0</v>
      </c>
      <c r="K78" s="109" t="s">
        <v>4613</v>
      </c>
      <c r="L78" s="109" t="s">
        <v>4614</v>
      </c>
      <c r="M78" s="58" t="s">
        <v>11</v>
      </c>
      <c r="N78" s="58" t="s">
        <v>20</v>
      </c>
      <c r="O78" s="61"/>
      <c r="P78" s="269" t="b">
        <v>1</v>
      </c>
      <c r="R78" s="270">
        <v>46186.0</v>
      </c>
      <c r="S78" s="273" t="s">
        <v>4615</v>
      </c>
      <c r="T78" s="273" t="s">
        <v>4616</v>
      </c>
      <c r="U78" s="274" t="s">
        <v>10</v>
      </c>
      <c r="V78" s="58" t="s">
        <v>12</v>
      </c>
      <c r="W78" s="61"/>
      <c r="X78" s="269" t="b">
        <v>1</v>
      </c>
      <c r="Z78" s="473">
        <v>46184.0</v>
      </c>
      <c r="AA78" s="498" t="s">
        <v>4617</v>
      </c>
      <c r="AB78" s="498" t="s">
        <v>4618</v>
      </c>
      <c r="AC78" s="470" t="s">
        <v>11</v>
      </c>
      <c r="AD78" s="470" t="s">
        <v>20</v>
      </c>
      <c r="AE78" s="61"/>
      <c r="AF78" s="269" t="b">
        <v>1</v>
      </c>
      <c r="AH78" s="270">
        <v>46191.0</v>
      </c>
      <c r="AI78" s="273" t="s">
        <v>4619</v>
      </c>
      <c r="AJ78" s="413" t="s">
        <v>4620</v>
      </c>
      <c r="AK78" s="274" t="s">
        <v>22</v>
      </c>
      <c r="AL78" s="58" t="s">
        <v>12</v>
      </c>
      <c r="AM78" s="61"/>
      <c r="AN78" s="298"/>
      <c r="AP78" s="270">
        <v>46191.0</v>
      </c>
      <c r="AQ78" s="109" t="s">
        <v>4621</v>
      </c>
      <c r="AR78" s="109" t="s">
        <v>4622</v>
      </c>
      <c r="AS78" s="58" t="s">
        <v>11</v>
      </c>
      <c r="AT78" s="58" t="s">
        <v>20</v>
      </c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109" t="s">
        <v>4623</v>
      </c>
      <c r="D79" s="373" t="s">
        <v>4624</v>
      </c>
      <c r="E79" s="58" t="s">
        <v>16</v>
      </c>
      <c r="F79" s="58" t="s">
        <v>14</v>
      </c>
      <c r="G79" s="61"/>
      <c r="H79" s="269"/>
      <c r="J79" s="270">
        <v>46178.0</v>
      </c>
      <c r="K79" s="109" t="s">
        <v>4625</v>
      </c>
      <c r="L79" s="109" t="s">
        <v>4626</v>
      </c>
      <c r="M79" s="58" t="s">
        <v>11</v>
      </c>
      <c r="N79" s="58" t="s">
        <v>20</v>
      </c>
      <c r="O79" s="61"/>
      <c r="P79" s="269" t="b">
        <v>1</v>
      </c>
      <c r="R79" s="270">
        <v>46186.0</v>
      </c>
      <c r="S79" s="294" t="s">
        <v>4627</v>
      </c>
      <c r="T79" s="411" t="s">
        <v>4628</v>
      </c>
      <c r="U79" s="295" t="s">
        <v>22</v>
      </c>
      <c r="V79" s="58" t="s">
        <v>12</v>
      </c>
      <c r="W79" s="61"/>
      <c r="X79" s="269" t="b">
        <v>1</v>
      </c>
      <c r="Z79" s="401">
        <v>46184.0</v>
      </c>
      <c r="AA79" s="273" t="s">
        <v>4629</v>
      </c>
      <c r="AB79" s="273" t="s">
        <v>4630</v>
      </c>
      <c r="AC79" s="402" t="s">
        <v>21</v>
      </c>
      <c r="AD79" s="402" t="s">
        <v>2337</v>
      </c>
      <c r="AE79" s="61"/>
      <c r="AF79" s="269" t="b">
        <v>1</v>
      </c>
      <c r="AH79" s="270">
        <v>46191.0</v>
      </c>
      <c r="AI79" s="294" t="s">
        <v>4631</v>
      </c>
      <c r="AJ79" s="411" t="s">
        <v>4632</v>
      </c>
      <c r="AK79" s="295" t="s">
        <v>22</v>
      </c>
      <c r="AL79" s="58" t="s">
        <v>12</v>
      </c>
      <c r="AM79" s="61"/>
      <c r="AN79" s="298"/>
      <c r="AP79" s="270">
        <v>46191.0</v>
      </c>
      <c r="AQ79" s="109" t="s">
        <v>4633</v>
      </c>
      <c r="AR79" s="109" t="s">
        <v>4634</v>
      </c>
      <c r="AS79" s="58" t="s">
        <v>11</v>
      </c>
      <c r="AT79" s="58" t="s">
        <v>20</v>
      </c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4635</v>
      </c>
      <c r="D80" s="294" t="s">
        <v>4636</v>
      </c>
      <c r="E80" s="391" t="s">
        <v>44</v>
      </c>
      <c r="F80" s="370" t="s">
        <v>12</v>
      </c>
      <c r="G80" s="195"/>
      <c r="H80" s="371"/>
      <c r="J80" s="270">
        <v>46178.0</v>
      </c>
      <c r="K80" s="109" t="s">
        <v>4637</v>
      </c>
      <c r="L80" s="109" t="s">
        <v>4638</v>
      </c>
      <c r="M80" s="58" t="s">
        <v>11</v>
      </c>
      <c r="N80" s="58" t="s">
        <v>20</v>
      </c>
      <c r="O80" s="61"/>
      <c r="P80" s="269" t="b">
        <v>1</v>
      </c>
      <c r="R80" s="270">
        <v>46186.0</v>
      </c>
      <c r="S80" s="273" t="s">
        <v>4639</v>
      </c>
      <c r="T80" s="413" t="s">
        <v>4640</v>
      </c>
      <c r="U80" s="274" t="s">
        <v>22</v>
      </c>
      <c r="V80" s="58" t="s">
        <v>12</v>
      </c>
      <c r="W80" s="61"/>
      <c r="X80" s="269" t="b">
        <v>1</v>
      </c>
      <c r="Z80" s="403">
        <v>46184.0</v>
      </c>
      <c r="AA80" s="294" t="s">
        <v>4641</v>
      </c>
      <c r="AB80" s="294" t="s">
        <v>4642</v>
      </c>
      <c r="AC80" s="391" t="s">
        <v>27</v>
      </c>
      <c r="AD80" s="391" t="s">
        <v>2337</v>
      </c>
      <c r="AE80" s="109"/>
      <c r="AF80" s="269" t="b">
        <v>1</v>
      </c>
      <c r="AH80" s="270">
        <v>46191.0</v>
      </c>
      <c r="AI80" s="273" t="s">
        <v>4643</v>
      </c>
      <c r="AJ80" s="413" t="s">
        <v>4644</v>
      </c>
      <c r="AK80" s="274" t="s">
        <v>22</v>
      </c>
      <c r="AL80" s="58" t="s">
        <v>12</v>
      </c>
      <c r="AM80" s="61"/>
      <c r="AN80" s="298"/>
      <c r="AP80" s="270">
        <v>46191.0</v>
      </c>
      <c r="AQ80" s="109" t="s">
        <v>4645</v>
      </c>
      <c r="AR80" s="109" t="s">
        <v>4646</v>
      </c>
      <c r="AS80" s="58" t="s">
        <v>11</v>
      </c>
      <c r="AT80" s="58" t="s">
        <v>20</v>
      </c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26" t="s">
        <v>4647</v>
      </c>
      <c r="D81" s="326" t="s">
        <v>4648</v>
      </c>
      <c r="E81" s="370" t="s">
        <v>24</v>
      </c>
      <c r="F81" s="370" t="s">
        <v>14</v>
      </c>
      <c r="G81" s="195"/>
      <c r="H81" s="371"/>
      <c r="J81" s="270">
        <v>46178.0</v>
      </c>
      <c r="K81" s="109" t="s">
        <v>4649</v>
      </c>
      <c r="L81" s="109" t="s">
        <v>4650</v>
      </c>
      <c r="M81" s="58" t="s">
        <v>11</v>
      </c>
      <c r="N81" s="58" t="s">
        <v>20</v>
      </c>
      <c r="O81" s="109"/>
      <c r="P81" s="269" t="b">
        <v>1</v>
      </c>
      <c r="R81" s="270">
        <v>46186.0</v>
      </c>
      <c r="S81" s="294" t="s">
        <v>4651</v>
      </c>
      <c r="T81" s="411" t="s">
        <v>4652</v>
      </c>
      <c r="U81" s="295" t="s">
        <v>22</v>
      </c>
      <c r="V81" s="58" t="s">
        <v>12</v>
      </c>
      <c r="W81" s="61"/>
      <c r="X81" s="269" t="b">
        <v>1</v>
      </c>
      <c r="Z81" s="401">
        <v>46184.0</v>
      </c>
      <c r="AA81" s="273" t="s">
        <v>4653</v>
      </c>
      <c r="AB81" s="273" t="s">
        <v>4654</v>
      </c>
      <c r="AC81" s="402" t="s">
        <v>11</v>
      </c>
      <c r="AD81" s="402" t="s">
        <v>2337</v>
      </c>
      <c r="AE81" s="61"/>
      <c r="AF81" s="269" t="b">
        <v>1</v>
      </c>
      <c r="AH81" s="270">
        <v>46191.0</v>
      </c>
      <c r="AI81" s="109" t="s">
        <v>4655</v>
      </c>
      <c r="AJ81" s="373" t="s">
        <v>4656</v>
      </c>
      <c r="AK81" s="58" t="s">
        <v>22</v>
      </c>
      <c r="AL81" s="58" t="s">
        <v>9</v>
      </c>
      <c r="AM81" s="61"/>
      <c r="AN81" s="298"/>
      <c r="AP81" s="270">
        <v>46191.0</v>
      </c>
      <c r="AQ81" s="109" t="s">
        <v>4657</v>
      </c>
      <c r="AR81" s="109" t="s">
        <v>4658</v>
      </c>
      <c r="AS81" s="58" t="s">
        <v>11</v>
      </c>
      <c r="AT81" s="58" t="s">
        <v>20</v>
      </c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273" t="s">
        <v>4659</v>
      </c>
      <c r="D82" s="273" t="s">
        <v>4660</v>
      </c>
      <c r="E82" s="402" t="s">
        <v>10</v>
      </c>
      <c r="F82" s="274" t="s">
        <v>2344</v>
      </c>
      <c r="G82" s="326"/>
      <c r="H82" s="371"/>
      <c r="J82" s="270">
        <v>46178.0</v>
      </c>
      <c r="K82" s="109" t="s">
        <v>4661</v>
      </c>
      <c r="L82" s="109" t="s">
        <v>4662</v>
      </c>
      <c r="M82" s="58" t="s">
        <v>11</v>
      </c>
      <c r="N82" s="58" t="s">
        <v>20</v>
      </c>
      <c r="O82" s="109"/>
      <c r="P82" s="269" t="b">
        <v>1</v>
      </c>
      <c r="R82" s="270">
        <v>46186.0</v>
      </c>
      <c r="S82" s="273" t="s">
        <v>4663</v>
      </c>
      <c r="T82" s="413" t="s">
        <v>4664</v>
      </c>
      <c r="U82" s="274" t="s">
        <v>22</v>
      </c>
      <c r="V82" s="58" t="s">
        <v>12</v>
      </c>
      <c r="W82" s="61"/>
      <c r="X82" s="269" t="b">
        <v>1</v>
      </c>
      <c r="Z82" s="403">
        <v>46184.0</v>
      </c>
      <c r="AA82" s="294" t="s">
        <v>4665</v>
      </c>
      <c r="AB82" s="294" t="s">
        <v>4666</v>
      </c>
      <c r="AC82" s="391" t="s">
        <v>21</v>
      </c>
      <c r="AD82" s="391" t="s">
        <v>2337</v>
      </c>
      <c r="AE82" s="61"/>
      <c r="AF82" s="269" t="b">
        <v>1</v>
      </c>
      <c r="AH82" s="270">
        <v>46191.0</v>
      </c>
      <c r="AI82" s="109" t="s">
        <v>4667</v>
      </c>
      <c r="AJ82" s="373" t="s">
        <v>4668</v>
      </c>
      <c r="AK82" s="58" t="s">
        <v>13</v>
      </c>
      <c r="AL82" s="58" t="s">
        <v>9</v>
      </c>
      <c r="AM82" s="61"/>
      <c r="AN82" s="298"/>
      <c r="AP82" s="270">
        <v>46191.0</v>
      </c>
      <c r="AQ82" s="109" t="s">
        <v>4669</v>
      </c>
      <c r="AR82" s="109" t="s">
        <v>4670</v>
      </c>
      <c r="AS82" s="58" t="s">
        <v>23</v>
      </c>
      <c r="AT82" s="58" t="s">
        <v>20</v>
      </c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294" t="s">
        <v>4671</v>
      </c>
      <c r="D83" s="294" t="s">
        <v>4672</v>
      </c>
      <c r="E83" s="391" t="s">
        <v>16</v>
      </c>
      <c r="F83" s="295" t="s">
        <v>2344</v>
      </c>
      <c r="G83" s="195"/>
      <c r="H83" s="371"/>
      <c r="J83" s="380">
        <v>46178.0</v>
      </c>
      <c r="K83" s="430" t="s">
        <v>4673</v>
      </c>
      <c r="L83" s="430" t="s">
        <v>4674</v>
      </c>
      <c r="M83" s="431" t="s">
        <v>11</v>
      </c>
      <c r="N83" s="58" t="s">
        <v>2338</v>
      </c>
      <c r="O83" s="61"/>
      <c r="P83" s="269" t="b">
        <v>1</v>
      </c>
      <c r="R83" s="270">
        <v>46186.0</v>
      </c>
      <c r="S83" s="294" t="s">
        <v>4675</v>
      </c>
      <c r="T83" s="294" t="s">
        <v>4676</v>
      </c>
      <c r="U83" s="295" t="s">
        <v>32</v>
      </c>
      <c r="V83" s="58" t="s">
        <v>12</v>
      </c>
      <c r="W83" s="61"/>
      <c r="X83" s="269" t="b">
        <v>1</v>
      </c>
      <c r="Z83" s="403">
        <v>46184.0</v>
      </c>
      <c r="AA83" s="109" t="s">
        <v>4677</v>
      </c>
      <c r="AB83" s="109" t="s">
        <v>4678</v>
      </c>
      <c r="AC83" s="58" t="s">
        <v>27</v>
      </c>
      <c r="AD83" s="58" t="s">
        <v>14</v>
      </c>
      <c r="AE83" s="61"/>
      <c r="AF83" s="269" t="b">
        <v>1</v>
      </c>
      <c r="AH83" s="270">
        <v>46191.0</v>
      </c>
      <c r="AI83" s="109" t="s">
        <v>4679</v>
      </c>
      <c r="AJ83" s="373" t="s">
        <v>4680</v>
      </c>
      <c r="AK83" s="58" t="s">
        <v>44</v>
      </c>
      <c r="AL83" s="58" t="s">
        <v>9</v>
      </c>
      <c r="AM83" s="61"/>
      <c r="AN83" s="298"/>
      <c r="AP83" s="270">
        <v>46191.0</v>
      </c>
      <c r="AQ83" s="109" t="s">
        <v>4681</v>
      </c>
      <c r="AR83" s="109" t="s">
        <v>4682</v>
      </c>
      <c r="AS83" s="58" t="s">
        <v>21</v>
      </c>
      <c r="AT83" s="58" t="s">
        <v>20</v>
      </c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61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326"/>
      <c r="D84" s="326"/>
      <c r="E84" s="370"/>
      <c r="F84" s="385"/>
      <c r="G84" s="195"/>
      <c r="H84" s="371"/>
      <c r="J84" s="382">
        <v>46178.0</v>
      </c>
      <c r="K84" s="405" t="s">
        <v>4683</v>
      </c>
      <c r="L84" s="405" t="s">
        <v>4684</v>
      </c>
      <c r="M84" s="492" t="s">
        <v>11</v>
      </c>
      <c r="N84" s="58" t="s">
        <v>2338</v>
      </c>
      <c r="O84" s="61"/>
      <c r="P84" s="269" t="b">
        <v>1</v>
      </c>
      <c r="R84" s="270">
        <v>46186.0</v>
      </c>
      <c r="S84" s="273" t="s">
        <v>4685</v>
      </c>
      <c r="T84" s="273" t="s">
        <v>4686</v>
      </c>
      <c r="U84" s="274" t="s">
        <v>19</v>
      </c>
      <c r="V84" s="58" t="s">
        <v>12</v>
      </c>
      <c r="W84" s="61"/>
      <c r="X84" s="269" t="b">
        <v>1</v>
      </c>
      <c r="Z84" s="401">
        <v>46184.0</v>
      </c>
      <c r="AA84" s="273" t="s">
        <v>4687</v>
      </c>
      <c r="AB84" s="273" t="s">
        <v>4688</v>
      </c>
      <c r="AC84" s="402" t="s">
        <v>23</v>
      </c>
      <c r="AD84" s="402" t="s">
        <v>2337</v>
      </c>
      <c r="AE84" s="61"/>
      <c r="AF84" s="269" t="b">
        <v>1</v>
      </c>
      <c r="AH84" s="270">
        <v>46191.0</v>
      </c>
      <c r="AI84" s="109" t="s">
        <v>4689</v>
      </c>
      <c r="AJ84" s="373" t="s">
        <v>4690</v>
      </c>
      <c r="AK84" s="58" t="s">
        <v>22</v>
      </c>
      <c r="AL84" s="58" t="s">
        <v>9</v>
      </c>
      <c r="AM84" s="109" t="s">
        <v>4691</v>
      </c>
      <c r="AN84" s="298"/>
      <c r="AP84" s="270">
        <v>46191.0</v>
      </c>
      <c r="AQ84" s="109" t="s">
        <v>4692</v>
      </c>
      <c r="AR84" s="109" t="s">
        <v>4693</v>
      </c>
      <c r="AS84" s="58" t="s">
        <v>18</v>
      </c>
      <c r="AT84" s="58" t="s">
        <v>20</v>
      </c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61"/>
      <c r="BH84" s="61"/>
      <c r="BI84" s="81"/>
      <c r="BJ84" s="344"/>
      <c r="BK84" s="61"/>
      <c r="BL84" s="298"/>
    </row>
    <row r="85" ht="22.5" customHeight="1">
      <c r="A85" s="368"/>
      <c r="B85" s="270">
        <v>46181.0</v>
      </c>
      <c r="C85" s="326"/>
      <c r="D85" s="326"/>
      <c r="E85" s="370"/>
      <c r="F85" s="385"/>
      <c r="G85" s="195"/>
      <c r="H85" s="371"/>
      <c r="J85" s="380">
        <v>46178.0</v>
      </c>
      <c r="K85" s="273" t="s">
        <v>4694</v>
      </c>
      <c r="L85" s="273" t="s">
        <v>4695</v>
      </c>
      <c r="M85" s="402" t="s">
        <v>11</v>
      </c>
      <c r="N85" s="58" t="s">
        <v>2338</v>
      </c>
      <c r="O85" s="61"/>
      <c r="P85" s="269" t="b">
        <v>1</v>
      </c>
      <c r="R85" s="270">
        <v>46186.0</v>
      </c>
      <c r="S85" s="109" t="s">
        <v>4696</v>
      </c>
      <c r="T85" s="109" t="s">
        <v>4697</v>
      </c>
      <c r="U85" s="58" t="s">
        <v>22</v>
      </c>
      <c r="V85" s="58" t="s">
        <v>2347</v>
      </c>
      <c r="W85" s="109" t="s">
        <v>4698</v>
      </c>
      <c r="X85" s="298"/>
      <c r="Z85" s="401">
        <v>46184.0</v>
      </c>
      <c r="AA85" s="465" t="s">
        <v>4699</v>
      </c>
      <c r="AB85" s="465" t="s">
        <v>4700</v>
      </c>
      <c r="AC85" s="466" t="s">
        <v>27</v>
      </c>
      <c r="AD85" s="466" t="s">
        <v>14</v>
      </c>
      <c r="AE85" s="487"/>
      <c r="AF85" s="269" t="b">
        <v>1</v>
      </c>
      <c r="AH85" s="270">
        <v>46191.0</v>
      </c>
      <c r="AI85" s="109" t="s">
        <v>4701</v>
      </c>
      <c r="AJ85" s="373" t="s">
        <v>4702</v>
      </c>
      <c r="AK85" s="58" t="s">
        <v>13</v>
      </c>
      <c r="AL85" s="58" t="s">
        <v>2347</v>
      </c>
      <c r="AM85" s="61"/>
      <c r="AN85" s="298"/>
      <c r="AP85" s="401">
        <v>46191.0</v>
      </c>
      <c r="AQ85" s="273" t="s">
        <v>4703</v>
      </c>
      <c r="AR85" s="273" t="s">
        <v>4704</v>
      </c>
      <c r="AS85" s="274" t="s">
        <v>18</v>
      </c>
      <c r="AT85" s="274" t="s">
        <v>2337</v>
      </c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61"/>
      <c r="BH85" s="61"/>
      <c r="BI85" s="81"/>
      <c r="BJ85" s="344"/>
      <c r="BK85" s="61"/>
      <c r="BL85" s="298"/>
    </row>
    <row r="86" ht="22.5" customHeight="1">
      <c r="A86" s="368"/>
      <c r="B86" s="437"/>
      <c r="C86" s="326"/>
      <c r="D86" s="326"/>
      <c r="E86" s="370"/>
      <c r="F86" s="385"/>
      <c r="G86" s="195"/>
      <c r="H86" s="371"/>
      <c r="J86" s="382">
        <v>46178.0</v>
      </c>
      <c r="K86" s="294" t="s">
        <v>4705</v>
      </c>
      <c r="L86" s="294" t="s">
        <v>4706</v>
      </c>
      <c r="M86" s="396" t="s">
        <v>23</v>
      </c>
      <c r="N86" s="58" t="s">
        <v>2338</v>
      </c>
      <c r="O86" s="61"/>
      <c r="P86" s="269" t="b">
        <v>1</v>
      </c>
      <c r="R86" s="270">
        <v>46187.0</v>
      </c>
      <c r="S86" s="384" t="s">
        <v>4707</v>
      </c>
      <c r="T86" s="109" t="s">
        <v>4708</v>
      </c>
      <c r="U86" s="58" t="s">
        <v>22</v>
      </c>
      <c r="V86" s="58" t="s">
        <v>2347</v>
      </c>
      <c r="W86" s="61"/>
      <c r="X86" s="269" t="b">
        <v>1</v>
      </c>
      <c r="Z86" s="501">
        <v>46185.0</v>
      </c>
      <c r="AA86" s="498" t="s">
        <v>4709</v>
      </c>
      <c r="AB86" s="498" t="s">
        <v>4710</v>
      </c>
      <c r="AC86" s="471" t="s">
        <v>11</v>
      </c>
      <c r="AD86" s="471" t="s">
        <v>20</v>
      </c>
      <c r="AE86" s="485"/>
      <c r="AF86" s="269" t="b">
        <v>1</v>
      </c>
      <c r="AH86" s="270">
        <v>46191.0</v>
      </c>
      <c r="AI86" s="294" t="s">
        <v>4711</v>
      </c>
      <c r="AJ86" s="294" t="s">
        <v>4712</v>
      </c>
      <c r="AK86" s="295" t="s">
        <v>13</v>
      </c>
      <c r="AL86" s="295" t="s">
        <v>2344</v>
      </c>
      <c r="AM86" s="61"/>
      <c r="AN86" s="298"/>
      <c r="AP86" s="401">
        <v>46191.0</v>
      </c>
      <c r="AQ86" s="109" t="s">
        <v>4713</v>
      </c>
      <c r="AR86" s="109" t="s">
        <v>4714</v>
      </c>
      <c r="AS86" s="58" t="s">
        <v>21</v>
      </c>
      <c r="AT86" s="58" t="s">
        <v>14</v>
      </c>
      <c r="AU86" s="109"/>
      <c r="AV86" s="298"/>
      <c r="AX86" s="270"/>
      <c r="AY86" s="109"/>
      <c r="AZ86" s="373"/>
      <c r="BA86" s="344"/>
      <c r="BB86" s="344"/>
      <c r="BC86" s="61"/>
      <c r="BD86" s="298"/>
      <c r="BF86" s="194"/>
      <c r="BG86" s="61"/>
      <c r="BH86" s="61"/>
      <c r="BI86" s="81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326"/>
      <c r="H87" s="371"/>
      <c r="J87" s="380">
        <v>46178.0</v>
      </c>
      <c r="K87" s="294" t="s">
        <v>4715</v>
      </c>
      <c r="L87" s="294" t="s">
        <v>4716</v>
      </c>
      <c r="M87" s="396" t="s">
        <v>11</v>
      </c>
      <c r="N87" s="391" t="s">
        <v>2338</v>
      </c>
      <c r="O87" s="61"/>
      <c r="P87" s="269" t="b">
        <v>1</v>
      </c>
      <c r="R87" s="270">
        <v>46187.0</v>
      </c>
      <c r="S87" s="294" t="s">
        <v>4717</v>
      </c>
      <c r="T87" s="411" t="s">
        <v>4718</v>
      </c>
      <c r="U87" s="295" t="s">
        <v>22</v>
      </c>
      <c r="V87" s="58" t="s">
        <v>12</v>
      </c>
      <c r="W87" s="61"/>
      <c r="X87" s="269" t="b">
        <v>1</v>
      </c>
      <c r="Z87" s="516">
        <v>46185.0</v>
      </c>
      <c r="AA87" s="465" t="s">
        <v>4719</v>
      </c>
      <c r="AB87" s="465" t="s">
        <v>4720</v>
      </c>
      <c r="AC87" s="466" t="s">
        <v>11</v>
      </c>
      <c r="AD87" s="466" t="s">
        <v>20</v>
      </c>
      <c r="AE87" s="500"/>
      <c r="AF87" s="269" t="b">
        <v>1</v>
      </c>
      <c r="AH87" s="270">
        <v>46191.0</v>
      </c>
      <c r="AI87" s="273" t="s">
        <v>4721</v>
      </c>
      <c r="AJ87" s="273" t="s">
        <v>4722</v>
      </c>
      <c r="AK87" s="274" t="s">
        <v>19</v>
      </c>
      <c r="AL87" s="274" t="s">
        <v>2344</v>
      </c>
      <c r="AM87" s="61"/>
      <c r="AN87" s="298"/>
      <c r="AP87" s="401">
        <v>46191.0</v>
      </c>
      <c r="AQ87" s="109" t="s">
        <v>4723</v>
      </c>
      <c r="AR87" s="109" t="s">
        <v>4724</v>
      </c>
      <c r="AS87" s="58" t="s">
        <v>23</v>
      </c>
      <c r="AT87" s="58" t="s">
        <v>14</v>
      </c>
      <c r="AU87" s="109" t="s">
        <v>4725</v>
      </c>
      <c r="AV87" s="298"/>
      <c r="AX87" s="270"/>
      <c r="AY87" s="109"/>
      <c r="AZ87" s="373"/>
      <c r="BA87" s="344"/>
      <c r="BB87" s="344"/>
      <c r="BC87" s="61"/>
      <c r="BD87" s="298"/>
      <c r="BF87" s="194"/>
      <c r="BG87" s="61"/>
      <c r="BH87" s="61"/>
      <c r="BI87" s="81"/>
      <c r="BJ87" s="81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326"/>
      <c r="H88" s="386"/>
      <c r="J88" s="382">
        <v>46178.0</v>
      </c>
      <c r="K88" s="273" t="s">
        <v>4726</v>
      </c>
      <c r="L88" s="273" t="s">
        <v>4727</v>
      </c>
      <c r="M88" s="517" t="s">
        <v>11</v>
      </c>
      <c r="N88" s="402" t="s">
        <v>2338</v>
      </c>
      <c r="O88" s="109" t="s">
        <v>4728</v>
      </c>
      <c r="P88" s="269"/>
      <c r="R88" s="270">
        <v>46187.0</v>
      </c>
      <c r="S88" s="273" t="s">
        <v>4729</v>
      </c>
      <c r="T88" s="413" t="s">
        <v>4730</v>
      </c>
      <c r="U88" s="274" t="s">
        <v>22</v>
      </c>
      <c r="V88" s="58" t="s">
        <v>12</v>
      </c>
      <c r="W88" s="61"/>
      <c r="X88" s="269" t="b">
        <v>1</v>
      </c>
      <c r="Z88" s="501">
        <v>46185.0</v>
      </c>
      <c r="AA88" s="498" t="s">
        <v>4731</v>
      </c>
      <c r="AB88" s="498" t="s">
        <v>4732</v>
      </c>
      <c r="AC88" s="471" t="s">
        <v>11</v>
      </c>
      <c r="AD88" s="471" t="s">
        <v>20</v>
      </c>
      <c r="AE88" s="485"/>
      <c r="AF88" s="269" t="b">
        <v>1</v>
      </c>
      <c r="AH88" s="270">
        <v>46191.0</v>
      </c>
      <c r="AI88" s="294" t="s">
        <v>4733</v>
      </c>
      <c r="AJ88" s="294" t="s">
        <v>4734</v>
      </c>
      <c r="AK88" s="295" t="s">
        <v>13</v>
      </c>
      <c r="AL88" s="295" t="s">
        <v>2344</v>
      </c>
      <c r="AM88" s="61"/>
      <c r="AN88" s="298"/>
      <c r="AP88" s="401">
        <v>46191.0</v>
      </c>
      <c r="AQ88" s="109" t="s">
        <v>4735</v>
      </c>
      <c r="AR88" s="109" t="s">
        <v>4736</v>
      </c>
      <c r="AS88" s="58" t="s">
        <v>11</v>
      </c>
      <c r="AT88" s="58" t="s">
        <v>14</v>
      </c>
      <c r="AU88" s="61"/>
      <c r="AV88" s="298"/>
      <c r="AX88" s="270"/>
      <c r="AY88" s="109"/>
      <c r="AZ88" s="373"/>
      <c r="BA88" s="344"/>
      <c r="BB88" s="344"/>
      <c r="BC88" s="61"/>
      <c r="BD88" s="298"/>
      <c r="BF88" s="194"/>
      <c r="BG88" s="61"/>
      <c r="BH88" s="61"/>
      <c r="BI88" s="81"/>
      <c r="BJ88" s="81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2">
        <v>46178.0</v>
      </c>
      <c r="K89" s="430" t="s">
        <v>4737</v>
      </c>
      <c r="L89" s="430" t="s">
        <v>4738</v>
      </c>
      <c r="M89" s="518" t="s">
        <v>11</v>
      </c>
      <c r="N89" s="431" t="s">
        <v>2338</v>
      </c>
      <c r="O89" s="109" t="s">
        <v>4739</v>
      </c>
      <c r="P89" s="269" t="b">
        <v>1</v>
      </c>
      <c r="R89" s="270">
        <v>46187.0</v>
      </c>
      <c r="S89" s="294" t="s">
        <v>4740</v>
      </c>
      <c r="T89" s="411" t="s">
        <v>4741</v>
      </c>
      <c r="U89" s="295" t="s">
        <v>22</v>
      </c>
      <c r="V89" s="58" t="s">
        <v>12</v>
      </c>
      <c r="W89" s="61"/>
      <c r="X89" s="269" t="b">
        <v>1</v>
      </c>
      <c r="Z89" s="516">
        <v>46185.0</v>
      </c>
      <c r="AA89" s="465" t="s">
        <v>4742</v>
      </c>
      <c r="AB89" s="465" t="s">
        <v>4743</v>
      </c>
      <c r="AC89" s="466" t="s">
        <v>11</v>
      </c>
      <c r="AD89" s="466" t="s">
        <v>20</v>
      </c>
      <c r="AE89" s="500"/>
      <c r="AF89" s="269" t="b">
        <v>1</v>
      </c>
      <c r="AH89" s="270">
        <v>46191.0</v>
      </c>
      <c r="AI89" s="273" t="s">
        <v>4744</v>
      </c>
      <c r="AJ89" s="273" t="s">
        <v>4745</v>
      </c>
      <c r="AK89" s="274" t="s">
        <v>44</v>
      </c>
      <c r="AL89" s="274" t="s">
        <v>2344</v>
      </c>
      <c r="AM89" s="61"/>
      <c r="AN89" s="298"/>
      <c r="AP89" s="401">
        <v>46191.0</v>
      </c>
      <c r="AQ89" s="109" t="s">
        <v>4746</v>
      </c>
      <c r="AR89" s="109" t="s">
        <v>4747</v>
      </c>
      <c r="AS89" s="58" t="s">
        <v>11</v>
      </c>
      <c r="AT89" s="58" t="s">
        <v>14</v>
      </c>
      <c r="AU89" s="61"/>
      <c r="AV89" s="298"/>
      <c r="AX89" s="270"/>
      <c r="AY89" s="109"/>
      <c r="AZ89" s="373"/>
      <c r="BA89" s="344"/>
      <c r="BB89" s="344"/>
      <c r="BC89" s="61"/>
      <c r="BD89" s="298"/>
      <c r="BF89" s="194"/>
      <c r="BG89" s="61"/>
      <c r="BH89" s="61"/>
      <c r="BI89" s="81"/>
      <c r="BJ89" s="81"/>
      <c r="BK89" s="61"/>
      <c r="BL89" s="298"/>
    </row>
    <row r="90" ht="22.5" customHeight="1">
      <c r="A90" s="368"/>
      <c r="B90" s="369"/>
      <c r="C90" s="326"/>
      <c r="D90" s="326"/>
      <c r="E90" s="370"/>
      <c r="F90" s="385"/>
      <c r="G90" s="326"/>
      <c r="H90" s="371"/>
      <c r="J90" s="519">
        <v>46181.0</v>
      </c>
      <c r="K90" s="520" t="s">
        <v>4748</v>
      </c>
      <c r="L90" s="520" t="s">
        <v>4749</v>
      </c>
      <c r="M90" s="521" t="s">
        <v>11</v>
      </c>
      <c r="N90" s="522" t="s">
        <v>28</v>
      </c>
      <c r="O90" s="520" t="s">
        <v>4126</v>
      </c>
      <c r="P90" s="523"/>
      <c r="R90" s="270">
        <v>46187.0</v>
      </c>
      <c r="S90" s="273" t="s">
        <v>4750</v>
      </c>
      <c r="T90" s="413" t="s">
        <v>4751</v>
      </c>
      <c r="U90" s="274" t="s">
        <v>22</v>
      </c>
      <c r="V90" s="58" t="s">
        <v>12</v>
      </c>
      <c r="W90" s="61"/>
      <c r="X90" s="269" t="b">
        <v>1</v>
      </c>
      <c r="Z90" s="270">
        <v>46185.0</v>
      </c>
      <c r="AA90" s="109" t="s">
        <v>4752</v>
      </c>
      <c r="AB90" s="109" t="s">
        <v>4753</v>
      </c>
      <c r="AC90" s="271" t="s">
        <v>11</v>
      </c>
      <c r="AD90" s="58" t="s">
        <v>20</v>
      </c>
      <c r="AE90" s="109"/>
      <c r="AF90" s="269" t="b">
        <v>1</v>
      </c>
      <c r="AH90" s="270">
        <v>46191.0</v>
      </c>
      <c r="AI90" s="312" t="s">
        <v>4754</v>
      </c>
      <c r="AJ90" s="373" t="s">
        <v>4755</v>
      </c>
      <c r="AK90" s="58" t="s">
        <v>10</v>
      </c>
      <c r="AL90" s="58" t="s">
        <v>2344</v>
      </c>
      <c r="AM90" s="61"/>
      <c r="AN90" s="298"/>
      <c r="AP90" s="194"/>
      <c r="AQ90" s="61"/>
      <c r="AR90" s="61"/>
      <c r="AS90" s="81"/>
      <c r="AT90" s="81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81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46181.0</v>
      </c>
      <c r="K91" s="294" t="s">
        <v>4756</v>
      </c>
      <c r="L91" s="294" t="s">
        <v>4757</v>
      </c>
      <c r="M91" s="409" t="s">
        <v>21</v>
      </c>
      <c r="N91" s="391" t="s">
        <v>2338</v>
      </c>
      <c r="O91" s="61"/>
      <c r="P91" s="269" t="b">
        <v>1</v>
      </c>
      <c r="R91" s="270">
        <v>46187.0</v>
      </c>
      <c r="S91" s="312" t="s">
        <v>4758</v>
      </c>
      <c r="T91" s="312" t="s">
        <v>4759</v>
      </c>
      <c r="U91" s="58" t="s">
        <v>22</v>
      </c>
      <c r="V91" s="58" t="s">
        <v>2344</v>
      </c>
      <c r="W91" s="61"/>
      <c r="X91" s="269" t="b">
        <v>1</v>
      </c>
      <c r="Z91" s="270">
        <v>46185.0</v>
      </c>
      <c r="AA91" s="109" t="s">
        <v>4760</v>
      </c>
      <c r="AB91" s="109" t="s">
        <v>4761</v>
      </c>
      <c r="AC91" s="58" t="s">
        <v>11</v>
      </c>
      <c r="AD91" s="58" t="s">
        <v>20</v>
      </c>
      <c r="AE91" s="61"/>
      <c r="AF91" s="269" t="b">
        <v>1</v>
      </c>
      <c r="AH91" s="270">
        <v>46191.0</v>
      </c>
      <c r="AI91" s="312" t="s">
        <v>4762</v>
      </c>
      <c r="AJ91" s="373" t="s">
        <v>4763</v>
      </c>
      <c r="AK91" s="58" t="s">
        <v>24</v>
      </c>
      <c r="AL91" s="58" t="s">
        <v>2344</v>
      </c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46181.0</v>
      </c>
      <c r="K92" s="394" t="s">
        <v>4764</v>
      </c>
      <c r="L92" s="273" t="s">
        <v>4765</v>
      </c>
      <c r="M92" s="395" t="s">
        <v>23</v>
      </c>
      <c r="N92" s="402" t="s">
        <v>2338</v>
      </c>
      <c r="O92" s="61"/>
      <c r="P92" s="269" t="b">
        <v>1</v>
      </c>
      <c r="R92" s="270">
        <v>46187.0</v>
      </c>
      <c r="S92" s="312" t="s">
        <v>4766</v>
      </c>
      <c r="T92" s="312" t="s">
        <v>4767</v>
      </c>
      <c r="U92" s="58" t="s">
        <v>22</v>
      </c>
      <c r="V92" s="58" t="s">
        <v>2344</v>
      </c>
      <c r="W92" s="61"/>
      <c r="X92" s="269" t="b">
        <v>1</v>
      </c>
      <c r="Z92" s="270">
        <v>46185.0</v>
      </c>
      <c r="AA92" s="109" t="s">
        <v>4768</v>
      </c>
      <c r="AB92" s="109" t="s">
        <v>4769</v>
      </c>
      <c r="AC92" s="58" t="s">
        <v>11</v>
      </c>
      <c r="AD92" s="58" t="s">
        <v>20</v>
      </c>
      <c r="AE92" s="61"/>
      <c r="AF92" s="269" t="b">
        <v>1</v>
      </c>
      <c r="AH92" s="270">
        <v>46191.0</v>
      </c>
      <c r="AI92" s="312" t="s">
        <v>4770</v>
      </c>
      <c r="AJ92" s="373" t="s">
        <v>4771</v>
      </c>
      <c r="AK92" s="58" t="s">
        <v>16</v>
      </c>
      <c r="AL92" s="58" t="s">
        <v>2344</v>
      </c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326"/>
      <c r="H93" s="371"/>
      <c r="J93" s="380">
        <v>46181.0</v>
      </c>
      <c r="K93" s="294" t="s">
        <v>4772</v>
      </c>
      <c r="L93" s="294" t="s">
        <v>4773</v>
      </c>
      <c r="M93" s="409" t="s">
        <v>15</v>
      </c>
      <c r="N93" s="391" t="s">
        <v>2338</v>
      </c>
      <c r="O93" s="61"/>
      <c r="P93" s="269" t="b">
        <v>1</v>
      </c>
      <c r="R93" s="270"/>
      <c r="S93" s="524"/>
      <c r="T93" s="109"/>
      <c r="U93" s="344"/>
      <c r="V93" s="58"/>
      <c r="W93" s="61"/>
      <c r="X93" s="298"/>
      <c r="Z93" s="270">
        <v>46185.0</v>
      </c>
      <c r="AA93" s="109" t="s">
        <v>4774</v>
      </c>
      <c r="AB93" s="109" t="s">
        <v>4775</v>
      </c>
      <c r="AC93" s="58" t="s">
        <v>11</v>
      </c>
      <c r="AD93" s="58" t="s">
        <v>20</v>
      </c>
      <c r="AE93" s="61"/>
      <c r="AF93" s="269" t="b">
        <v>1</v>
      </c>
      <c r="AH93" s="270">
        <v>46191.0</v>
      </c>
      <c r="AI93" s="312" t="s">
        <v>4776</v>
      </c>
      <c r="AJ93" s="373" t="s">
        <v>4777</v>
      </c>
      <c r="AK93" s="58" t="s">
        <v>44</v>
      </c>
      <c r="AL93" s="58" t="s">
        <v>2344</v>
      </c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>
        <v>46181.0</v>
      </c>
      <c r="K94" s="273" t="s">
        <v>4778</v>
      </c>
      <c r="L94" s="273" t="s">
        <v>4779</v>
      </c>
      <c r="M94" s="395" t="s">
        <v>30</v>
      </c>
      <c r="N94" s="431" t="s">
        <v>2338</v>
      </c>
      <c r="O94" s="61"/>
      <c r="P94" s="269" t="b">
        <v>1</v>
      </c>
      <c r="R94" s="270"/>
      <c r="S94" s="109"/>
      <c r="T94" s="109"/>
      <c r="U94" s="344"/>
      <c r="V94" s="58"/>
      <c r="W94" s="61"/>
      <c r="X94" s="298"/>
      <c r="Z94" s="270">
        <v>46185.0</v>
      </c>
      <c r="AA94" s="109" t="s">
        <v>4780</v>
      </c>
      <c r="AB94" s="109" t="s">
        <v>4781</v>
      </c>
      <c r="AC94" s="58" t="s">
        <v>11</v>
      </c>
      <c r="AD94" s="58" t="s">
        <v>20</v>
      </c>
      <c r="AE94" s="61"/>
      <c r="AF94" s="269" t="b">
        <v>1</v>
      </c>
      <c r="AH94" s="270">
        <v>46191.0</v>
      </c>
      <c r="AI94" s="312" t="s">
        <v>4782</v>
      </c>
      <c r="AJ94" s="312" t="s">
        <v>4783</v>
      </c>
      <c r="AK94" s="58" t="s">
        <v>19</v>
      </c>
      <c r="AL94" s="58" t="s">
        <v>2344</v>
      </c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4784</v>
      </c>
      <c r="L95" s="294" t="s">
        <v>4785</v>
      </c>
      <c r="M95" s="409" t="s">
        <v>18</v>
      </c>
      <c r="N95" s="391" t="s">
        <v>2338</v>
      </c>
      <c r="O95" s="61"/>
      <c r="P95" s="269" t="b">
        <v>1</v>
      </c>
      <c r="R95" s="270"/>
      <c r="S95" s="109"/>
      <c r="T95" s="109"/>
      <c r="U95" s="344"/>
      <c r="V95" s="58"/>
      <c r="W95" s="61"/>
      <c r="X95" s="298"/>
      <c r="Z95" s="270">
        <v>46185.0</v>
      </c>
      <c r="AA95" s="294" t="s">
        <v>4786</v>
      </c>
      <c r="AB95" s="294" t="s">
        <v>4787</v>
      </c>
      <c r="AC95" s="409" t="s">
        <v>18</v>
      </c>
      <c r="AD95" s="391" t="s">
        <v>2338</v>
      </c>
      <c r="AE95" s="61"/>
      <c r="AF95" s="269" t="b">
        <v>1</v>
      </c>
      <c r="AH95" s="270">
        <v>46191.0</v>
      </c>
      <c r="AI95" s="312" t="s">
        <v>4788</v>
      </c>
      <c r="AJ95" s="312" t="s">
        <v>4789</v>
      </c>
      <c r="AK95" s="58" t="s">
        <v>24</v>
      </c>
      <c r="AL95" s="58" t="s">
        <v>2347</v>
      </c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71"/>
      <c r="J96" s="382">
        <v>46181.0</v>
      </c>
      <c r="K96" s="273" t="s">
        <v>4790</v>
      </c>
      <c r="L96" s="273" t="s">
        <v>4791</v>
      </c>
      <c r="M96" s="395" t="s">
        <v>18</v>
      </c>
      <c r="N96" s="431" t="s">
        <v>2338</v>
      </c>
      <c r="O96" s="61"/>
      <c r="P96" s="269" t="b">
        <v>1</v>
      </c>
      <c r="R96" s="270"/>
      <c r="S96" s="109"/>
      <c r="T96" s="109"/>
      <c r="U96" s="344"/>
      <c r="V96" s="58"/>
      <c r="W96" s="61"/>
      <c r="X96" s="298"/>
      <c r="Z96" s="270">
        <v>46185.0</v>
      </c>
      <c r="AA96" s="273" t="s">
        <v>4792</v>
      </c>
      <c r="AB96" s="273" t="s">
        <v>4793</v>
      </c>
      <c r="AC96" s="395" t="s">
        <v>11</v>
      </c>
      <c r="AD96" s="431" t="s">
        <v>2338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195"/>
      <c r="H97" s="371"/>
      <c r="J97" s="380">
        <v>46181.0</v>
      </c>
      <c r="K97" s="294" t="s">
        <v>4794</v>
      </c>
      <c r="L97" s="294" t="s">
        <v>4795</v>
      </c>
      <c r="M97" s="409" t="s">
        <v>25</v>
      </c>
      <c r="N97" s="391" t="s">
        <v>2338</v>
      </c>
      <c r="O97" s="61"/>
      <c r="P97" s="269" t="b">
        <v>1</v>
      </c>
      <c r="R97" s="270"/>
      <c r="S97" s="61"/>
      <c r="T97" s="61"/>
      <c r="U97" s="81"/>
      <c r="V97" s="58"/>
      <c r="W97" s="61"/>
      <c r="X97" s="298"/>
      <c r="Z97" s="270">
        <v>46185.0</v>
      </c>
      <c r="AA97" s="294" t="s">
        <v>4796</v>
      </c>
      <c r="AB97" s="294" t="s">
        <v>4797</v>
      </c>
      <c r="AC97" s="409" t="s">
        <v>27</v>
      </c>
      <c r="AD97" s="391" t="s">
        <v>2338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61"/>
      <c r="T98" s="61"/>
      <c r="U98" s="81"/>
      <c r="V98" s="58"/>
      <c r="W98" s="61"/>
      <c r="X98" s="298"/>
      <c r="Z98" s="473">
        <v>46185.0</v>
      </c>
      <c r="AA98" s="498" t="s">
        <v>4798</v>
      </c>
      <c r="AB98" s="498" t="s">
        <v>4799</v>
      </c>
      <c r="AC98" s="466" t="s">
        <v>21</v>
      </c>
      <c r="AD98" s="466" t="s">
        <v>28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61"/>
      <c r="T99" s="61"/>
      <c r="U99" s="81"/>
      <c r="V99" s="58"/>
      <c r="W99" s="61"/>
      <c r="X99" s="298"/>
      <c r="Z99" s="401">
        <v>46186.0</v>
      </c>
      <c r="AA99" s="273" t="s">
        <v>4800</v>
      </c>
      <c r="AB99" s="273" t="s">
        <v>4801</v>
      </c>
      <c r="AC99" s="274" t="s">
        <v>30</v>
      </c>
      <c r="AD99" s="274" t="s">
        <v>2337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61"/>
      <c r="T100" s="61"/>
      <c r="U100" s="81"/>
      <c r="V100" s="58"/>
      <c r="W100" s="61"/>
      <c r="X100" s="298"/>
      <c r="Z100" s="403">
        <v>46186.0</v>
      </c>
      <c r="AA100" s="294" t="s">
        <v>4802</v>
      </c>
      <c r="AB100" s="294" t="s">
        <v>4803</v>
      </c>
      <c r="AC100" s="295" t="s">
        <v>30</v>
      </c>
      <c r="AD100" s="295" t="s">
        <v>2337</v>
      </c>
      <c r="AE100" s="109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297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401">
        <v>46186.0</v>
      </c>
      <c r="AA101" s="273" t="s">
        <v>4804</v>
      </c>
      <c r="AB101" s="273" t="s">
        <v>4805</v>
      </c>
      <c r="AC101" s="274" t="s">
        <v>30</v>
      </c>
      <c r="AD101" s="274" t="s">
        <v>2337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195"/>
      <c r="H102" s="371"/>
      <c r="J102" s="270"/>
      <c r="K102" s="109"/>
      <c r="L102" s="109"/>
      <c r="M102" s="58"/>
      <c r="N102" s="58"/>
      <c r="O102" s="109"/>
      <c r="P102" s="269"/>
      <c r="R102" s="194"/>
      <c r="S102" s="61"/>
      <c r="T102" s="61"/>
      <c r="U102" s="81"/>
      <c r="V102" s="81"/>
      <c r="W102" s="61"/>
      <c r="X102" s="298"/>
      <c r="Z102" s="403">
        <v>46186.0</v>
      </c>
      <c r="AA102" s="294" t="s">
        <v>4806</v>
      </c>
      <c r="AB102" s="294" t="s">
        <v>4807</v>
      </c>
      <c r="AC102" s="295" t="s">
        <v>30</v>
      </c>
      <c r="AD102" s="295" t="s">
        <v>2337</v>
      </c>
      <c r="AE102" s="109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195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4808</v>
      </c>
      <c r="AB103" s="273" t="s">
        <v>4809</v>
      </c>
      <c r="AC103" s="402" t="s">
        <v>30</v>
      </c>
      <c r="AD103" s="402" t="s">
        <v>2337</v>
      </c>
      <c r="AE103" s="109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195"/>
      <c r="H104" s="371"/>
      <c r="J104" s="369"/>
      <c r="K104" s="443"/>
      <c r="L104" s="326"/>
      <c r="M104" s="370"/>
      <c r="N104" s="370"/>
      <c r="O104" s="195"/>
      <c r="P104" s="371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4810</v>
      </c>
      <c r="AB104" s="294" t="s">
        <v>4811</v>
      </c>
      <c r="AC104" s="295" t="s">
        <v>30</v>
      </c>
      <c r="AD104" s="295" t="s">
        <v>2337</v>
      </c>
      <c r="AE104" s="61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369"/>
      <c r="K105" s="326"/>
      <c r="L105" s="326"/>
      <c r="M105" s="370"/>
      <c r="N105" s="370"/>
      <c r="O105" s="326"/>
      <c r="P105" s="386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4812</v>
      </c>
      <c r="AB105" s="273" t="s">
        <v>4813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326"/>
      <c r="H106" s="371"/>
      <c r="J106" s="369"/>
      <c r="K106" s="109"/>
      <c r="L106" s="109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4814</v>
      </c>
      <c r="AB106" s="294" t="s">
        <v>4815</v>
      </c>
      <c r="AC106" s="295" t="s">
        <v>11</v>
      </c>
      <c r="AD106" s="295" t="s">
        <v>2337</v>
      </c>
      <c r="AE106" s="61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326"/>
      <c r="H107" s="371"/>
      <c r="J107" s="270"/>
      <c r="K107" s="109"/>
      <c r="L107" s="109"/>
      <c r="M107" s="344"/>
      <c r="N107" s="344"/>
      <c r="O107" s="61"/>
      <c r="P107" s="298"/>
      <c r="R107" s="270"/>
      <c r="S107" s="109"/>
      <c r="T107" s="109"/>
      <c r="U107" s="58"/>
      <c r="V107" s="344"/>
      <c r="W107" s="61"/>
      <c r="X107" s="298"/>
      <c r="Z107" s="401">
        <v>46186.0</v>
      </c>
      <c r="AA107" s="273" t="s">
        <v>4816</v>
      </c>
      <c r="AB107" s="273" t="s">
        <v>4817</v>
      </c>
      <c r="AC107" s="274" t="s">
        <v>27</v>
      </c>
      <c r="AD107" s="274" t="s">
        <v>2337</v>
      </c>
      <c r="AE107" s="61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194"/>
      <c r="K108" s="61"/>
      <c r="L108" s="61"/>
      <c r="M108" s="81"/>
      <c r="N108" s="81"/>
      <c r="O108" s="61"/>
      <c r="P108" s="298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4818</v>
      </c>
      <c r="AB108" s="294" t="s">
        <v>4819</v>
      </c>
      <c r="AC108" s="295"/>
      <c r="AD108" s="295" t="s">
        <v>2337</v>
      </c>
      <c r="AE108" s="61"/>
      <c r="AF108" s="269" t="b">
        <v>0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194"/>
      <c r="K109" s="61"/>
      <c r="L109" s="61"/>
      <c r="M109" s="81"/>
      <c r="N109" s="81"/>
      <c r="O109" s="61"/>
      <c r="P109" s="298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4820</v>
      </c>
      <c r="AB109" s="273" t="s">
        <v>4821</v>
      </c>
      <c r="AC109" s="274" t="s">
        <v>27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195"/>
      <c r="H110" s="371"/>
      <c r="J110" s="194"/>
      <c r="K110" s="61"/>
      <c r="L110" s="61"/>
      <c r="M110" s="81"/>
      <c r="N110" s="81"/>
      <c r="O110" s="61"/>
      <c r="P110" s="298"/>
      <c r="R110" s="194"/>
      <c r="S110" s="61"/>
      <c r="T110" s="61"/>
      <c r="U110" s="81"/>
      <c r="V110" s="81"/>
      <c r="W110" s="61"/>
      <c r="X110" s="298"/>
      <c r="Z110" s="382">
        <v>46187.0</v>
      </c>
      <c r="AA110" s="515" t="s">
        <v>4822</v>
      </c>
      <c r="AB110" s="273" t="s">
        <v>4823</v>
      </c>
      <c r="AC110" s="383" t="s">
        <v>27</v>
      </c>
      <c r="AD110" s="410" t="s">
        <v>2338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195"/>
      <c r="H111" s="371"/>
      <c r="J111" s="194"/>
      <c r="K111" s="61"/>
      <c r="L111" s="61"/>
      <c r="M111" s="81"/>
      <c r="N111" s="81"/>
      <c r="O111" s="61"/>
      <c r="P111" s="298"/>
      <c r="R111" s="194"/>
      <c r="S111" s="61"/>
      <c r="T111" s="61"/>
      <c r="U111" s="81"/>
      <c r="V111" s="81"/>
      <c r="W111" s="61"/>
      <c r="X111" s="298"/>
      <c r="Z111" s="380">
        <v>46187.0</v>
      </c>
      <c r="AA111" s="294" t="s">
        <v>4824</v>
      </c>
      <c r="AB111" s="294" t="s">
        <v>4825</v>
      </c>
      <c r="AC111" s="381" t="s">
        <v>11</v>
      </c>
      <c r="AD111" s="295" t="s">
        <v>2338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380">
        <v>46187.0</v>
      </c>
      <c r="AA112" s="294" t="s">
        <v>4826</v>
      </c>
      <c r="AB112" s="294" t="s">
        <v>4827</v>
      </c>
      <c r="AC112" s="381" t="s">
        <v>30</v>
      </c>
      <c r="AD112" s="295" t="s">
        <v>2338</v>
      </c>
      <c r="AE112" s="61"/>
      <c r="AF112" s="269" t="b">
        <v>1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380">
        <v>46187.0</v>
      </c>
      <c r="AA113" s="273" t="s">
        <v>4828</v>
      </c>
      <c r="AB113" s="273" t="s">
        <v>4829</v>
      </c>
      <c r="AC113" s="383"/>
      <c r="AD113" s="293" t="s">
        <v>2338</v>
      </c>
      <c r="AE113" s="109" t="s">
        <v>982</v>
      </c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270"/>
      <c r="AA114" s="109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194"/>
      <c r="C115" s="61"/>
      <c r="D115" s="61"/>
      <c r="E115" s="81"/>
      <c r="F115" s="81"/>
      <c r="G115" s="61"/>
      <c r="H115" s="29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109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194"/>
      <c r="C116" s="61"/>
      <c r="D116" s="61"/>
      <c r="E116" s="81"/>
      <c r="F116" s="81"/>
      <c r="G116" s="61"/>
      <c r="H116" s="29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194"/>
      <c r="C117" s="61"/>
      <c r="D117" s="61"/>
      <c r="E117" s="81"/>
      <c r="F117" s="81"/>
      <c r="G117" s="61"/>
      <c r="H117" s="29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194"/>
      <c r="C118" s="61"/>
      <c r="D118" s="61"/>
      <c r="E118" s="81"/>
      <c r="F118" s="81"/>
      <c r="G118" s="61"/>
      <c r="H118" s="29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109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444"/>
      <c r="C122" s="195"/>
      <c r="D122" s="195"/>
      <c r="E122" s="199"/>
      <c r="F122" s="199"/>
      <c r="G122" s="195"/>
      <c r="H122" s="386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444"/>
      <c r="C123" s="195"/>
      <c r="D123" s="195"/>
      <c r="E123" s="199"/>
      <c r="F123" s="199"/>
      <c r="G123" s="195"/>
      <c r="H123" s="386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372"/>
      <c r="AI123" s="373"/>
      <c r="AJ123" s="373"/>
      <c r="AK123" s="445"/>
      <c r="AL123" s="445"/>
      <c r="AM123" s="375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444"/>
      <c r="C124" s="195"/>
      <c r="D124" s="195"/>
      <c r="E124" s="199"/>
      <c r="F124" s="199"/>
      <c r="G124" s="195"/>
      <c r="H124" s="386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194"/>
      <c r="AI124" s="61"/>
      <c r="AJ124" s="373"/>
      <c r="AK124" s="81"/>
      <c r="AL124" s="81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444"/>
      <c r="C125" s="195"/>
      <c r="D125" s="195"/>
      <c r="E125" s="199"/>
      <c r="F125" s="199"/>
      <c r="G125" s="195"/>
      <c r="H125" s="386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194"/>
      <c r="AI125" s="61"/>
      <c r="AJ125" s="373"/>
      <c r="AK125" s="81"/>
      <c r="AL125" s="81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194"/>
      <c r="AI126" s="61"/>
      <c r="AJ126" s="373"/>
      <c r="AK126" s="81"/>
      <c r="AL126" s="81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194"/>
      <c r="AI127" s="61"/>
      <c r="AJ127" s="373"/>
      <c r="AK127" s="81"/>
      <c r="AL127" s="81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446"/>
      <c r="BA128" s="344"/>
      <c r="BB128" s="344"/>
      <c r="BC128" s="109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109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109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61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194"/>
      <c r="AY173" s="61"/>
      <c r="AZ173" s="373"/>
      <c r="BA173" s="81"/>
      <c r="BB173" s="81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194"/>
      <c r="AY174" s="61"/>
      <c r="AZ174" s="373"/>
      <c r="BA174" s="81"/>
      <c r="BB174" s="81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194"/>
      <c r="AY175" s="61"/>
      <c r="AZ175" s="373"/>
      <c r="BA175" s="81"/>
      <c r="BB175" s="81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194"/>
      <c r="AY176" s="61"/>
      <c r="AZ176" s="373"/>
      <c r="BA176" s="81"/>
      <c r="BB176" s="81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69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69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69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69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69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69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69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69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315"/>
      <c r="AO238" s="258"/>
      <c r="AP238" s="346"/>
      <c r="AQ238" s="300"/>
      <c r="AR238" s="300"/>
      <c r="AS238" s="345"/>
      <c r="AT238" s="345"/>
      <c r="AU238" s="300"/>
      <c r="AV238" s="313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315"/>
      <c r="AO239" s="258"/>
      <c r="AP239" s="346"/>
      <c r="AQ239" s="300"/>
      <c r="AR239" s="300"/>
      <c r="AS239" s="345"/>
      <c r="AT239" s="345"/>
      <c r="AU239" s="300"/>
      <c r="AV239" s="313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315"/>
      <c r="AO240" s="258"/>
      <c r="AP240" s="346"/>
      <c r="AQ240" s="300"/>
      <c r="AR240" s="300"/>
      <c r="AS240" s="345"/>
      <c r="AT240" s="345"/>
      <c r="AU240" s="300"/>
      <c r="AV240" s="313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315"/>
      <c r="AO241" s="258"/>
      <c r="AP241" s="346"/>
      <c r="AQ241" s="300"/>
      <c r="AR241" s="300"/>
      <c r="AS241" s="345"/>
      <c r="AT241" s="345"/>
      <c r="AU241" s="300"/>
      <c r="AV241" s="313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90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90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90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90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90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90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90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90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51"/>
      <c r="AY978" s="351"/>
      <c r="AZ978" s="351"/>
      <c r="BA978" s="351"/>
      <c r="BB978" s="351"/>
      <c r="BC978" s="351"/>
      <c r="BD978" s="351"/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51"/>
      <c r="AY979" s="351"/>
      <c r="AZ979" s="351"/>
      <c r="BA979" s="351"/>
      <c r="BB979" s="351"/>
      <c r="BC979" s="351"/>
      <c r="BD979" s="351"/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51"/>
      <c r="AY980" s="351"/>
      <c r="AZ980" s="351"/>
      <c r="BA980" s="351"/>
      <c r="BB980" s="351"/>
      <c r="BC980" s="351"/>
      <c r="BD980" s="351"/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353"/>
      <c r="S994" s="213"/>
      <c r="T994" s="213"/>
      <c r="U994" s="354"/>
      <c r="V994" s="354"/>
      <c r="W994" s="213"/>
      <c r="X994" s="355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52"/>
      <c r="AQ994" s="352"/>
      <c r="AR994" s="352"/>
      <c r="AS994" s="352"/>
      <c r="AT994" s="352"/>
      <c r="AU994" s="352"/>
      <c r="AV994" s="352"/>
      <c r="AW994" s="258"/>
      <c r="BE994" s="258"/>
      <c r="BF994" s="352"/>
      <c r="BG994" s="352"/>
      <c r="BH994" s="352"/>
      <c r="BI994" s="352"/>
      <c r="BJ994" s="352"/>
      <c r="BK994" s="352"/>
      <c r="BL994" s="352"/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59"/>
      <c r="S995" s="59"/>
      <c r="T995" s="59"/>
      <c r="U995" s="59"/>
      <c r="V995" s="59"/>
      <c r="W995" s="59"/>
      <c r="X995" s="59"/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52"/>
      <c r="AQ995" s="352"/>
      <c r="AR995" s="352"/>
      <c r="AS995" s="352"/>
      <c r="AT995" s="352"/>
      <c r="AU995" s="352"/>
      <c r="AV995" s="352"/>
      <c r="AW995" s="258"/>
      <c r="BE995" s="258"/>
      <c r="BF995" s="352"/>
      <c r="BG995" s="352"/>
      <c r="BH995" s="352"/>
      <c r="BI995" s="352"/>
      <c r="BJ995" s="352"/>
      <c r="BK995" s="352"/>
      <c r="BL995" s="352"/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Y996" s="258"/>
      <c r="AH996" s="351"/>
      <c r="AI996" s="351"/>
      <c r="AJ996" s="351"/>
      <c r="AK996" s="351"/>
      <c r="AL996" s="351"/>
      <c r="AM996" s="351"/>
      <c r="AN996" s="351"/>
      <c r="AO996" s="258"/>
      <c r="AP996" s="352"/>
      <c r="AQ996" s="352"/>
      <c r="AR996" s="352"/>
      <c r="AS996" s="352"/>
      <c r="AT996" s="352"/>
      <c r="AU996" s="352"/>
      <c r="AV996" s="352"/>
      <c r="AW996" s="258"/>
      <c r="BE996" s="258"/>
      <c r="BF996" s="352"/>
      <c r="BG996" s="352"/>
      <c r="BH996" s="352"/>
      <c r="BI996" s="352"/>
      <c r="BJ996" s="352"/>
      <c r="BK996" s="352"/>
      <c r="BL996" s="352"/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Y997" s="258"/>
      <c r="AH997" s="351"/>
      <c r="AI997" s="351"/>
      <c r="AJ997" s="351"/>
      <c r="AK997" s="351"/>
      <c r="AL997" s="351"/>
      <c r="AM997" s="351"/>
      <c r="AN997" s="351"/>
      <c r="AO997" s="258"/>
      <c r="AP997" s="352"/>
      <c r="AQ997" s="352"/>
      <c r="AR997" s="352"/>
      <c r="AS997" s="352"/>
      <c r="AT997" s="352"/>
      <c r="AU997" s="352"/>
      <c r="AV997" s="352"/>
      <c r="AW997" s="258"/>
      <c r="BE997" s="258"/>
      <c r="BF997" s="352"/>
      <c r="BG997" s="352"/>
      <c r="BH997" s="352"/>
      <c r="BI997" s="352"/>
      <c r="BJ997" s="352"/>
      <c r="BK997" s="352"/>
      <c r="BL997" s="352"/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Y998" s="258"/>
      <c r="AH998" s="351"/>
      <c r="AI998" s="351"/>
      <c r="AJ998" s="351"/>
      <c r="AK998" s="351"/>
      <c r="AL998" s="351"/>
      <c r="AM998" s="351"/>
      <c r="AN998" s="351"/>
      <c r="AO998" s="258"/>
      <c r="AW998" s="258"/>
      <c r="BE998" s="258"/>
    </row>
    <row r="999" ht="22.5" customHeight="1">
      <c r="A999" s="368"/>
      <c r="B999" s="525"/>
      <c r="C999" s="526" t="s">
        <v>3164</v>
      </c>
      <c r="D999" s="109" t="s">
        <v>3165</v>
      </c>
      <c r="E999" s="527" t="s">
        <v>13</v>
      </c>
      <c r="F999" s="527" t="s">
        <v>2347</v>
      </c>
      <c r="G999" s="528"/>
      <c r="H999" s="52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AO999" s="258"/>
      <c r="AW999" s="258"/>
      <c r="BE999" s="258"/>
    </row>
    <row r="1000" ht="22.5" customHeight="1">
      <c r="A1000" s="368"/>
      <c r="B1000" s="525"/>
      <c r="C1000" s="109" t="s">
        <v>4830</v>
      </c>
      <c r="D1000" s="109" t="s">
        <v>4831</v>
      </c>
      <c r="E1000" s="527" t="s">
        <v>22</v>
      </c>
      <c r="F1000" s="527" t="s">
        <v>2347</v>
      </c>
      <c r="G1000" s="528"/>
      <c r="H1000" s="52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O1000" s="258"/>
      <c r="AW1000" s="258"/>
      <c r="BE1000" s="258"/>
    </row>
    <row r="1001" ht="22.5" customHeight="1">
      <c r="A1001" s="368"/>
      <c r="B1001" s="525"/>
      <c r="C1001" s="109" t="s">
        <v>4832</v>
      </c>
      <c r="D1001" s="109" t="s">
        <v>4833</v>
      </c>
      <c r="E1001" s="527" t="s">
        <v>22</v>
      </c>
      <c r="F1001" s="527" t="s">
        <v>2347</v>
      </c>
      <c r="G1001" s="528"/>
      <c r="H1001" s="52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O1001" s="258"/>
      <c r="AW1001" s="258"/>
      <c r="BE1001" s="258"/>
    </row>
    <row r="1002" ht="22.5" customHeight="1">
      <c r="A1002" s="368"/>
      <c r="B1002" s="525"/>
      <c r="C1002" s="109" t="s">
        <v>4834</v>
      </c>
      <c r="D1002" s="109" t="s">
        <v>4835</v>
      </c>
      <c r="E1002" s="527" t="s">
        <v>22</v>
      </c>
      <c r="F1002" s="527" t="s">
        <v>2347</v>
      </c>
      <c r="G1002" s="528"/>
      <c r="H1002" s="52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O1002" s="258"/>
      <c r="AW1002" s="258"/>
      <c r="BE1002" s="258"/>
    </row>
    <row r="1003" ht="22.5" customHeight="1">
      <c r="A1003" s="368"/>
      <c r="B1003" s="525"/>
      <c r="C1003" s="109"/>
      <c r="D1003" s="109"/>
      <c r="E1003" s="527"/>
      <c r="F1003" s="527"/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/>
      <c r="D1004" s="109"/>
      <c r="E1004" s="527"/>
      <c r="F1004" s="527"/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4:K105">
    <cfRule type="expression" dxfId="12" priority="3">
      <formula>COUNTIF(C:C, K104)&gt;1</formula>
    </cfRule>
  </conditionalFormatting>
  <conditionalFormatting sqref="L104:L105">
    <cfRule type="expression" dxfId="12" priority="4">
      <formula>COUNTIF(D:D, L104)&gt;1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79">
    <cfRule type="expression" dxfId="12" priority="7">
      <formula>COUNTIF(#REF!, D23)&gt;1</formula>
    </cfRule>
  </conditionalFormatting>
  <conditionalFormatting sqref="D23:D79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3">
    <cfRule type="expression" dxfId="12" priority="11">
      <formula>COUNTIF(AY:AY, AI123)&gt;1</formula>
    </cfRule>
  </conditionalFormatting>
  <conditionalFormatting sqref="C86">
    <cfRule type="expression" dxfId="12" priority="12">
      <formula>COUNTIF(S:S, C86)&gt;1</formula>
    </cfRule>
  </conditionalFormatting>
  <conditionalFormatting sqref="D86">
    <cfRule type="expression" dxfId="12" priority="13">
      <formula>COUNTIF(T:T, D86)&gt;1</formula>
    </cfRule>
  </conditionalFormatting>
  <conditionalFormatting sqref="K1 K23:K53 K55:K103 K106:K1009">
    <cfRule type="expression" dxfId="12" priority="14">
      <formula>COUNTIF(K:K, K1)&gt;1</formula>
    </cfRule>
  </conditionalFormatting>
  <conditionalFormatting sqref="L1 L23:L53 L55:L103 L106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0:C85 C87:C120 C122:C1009">
    <cfRule type="expression" dxfId="12" priority="20">
      <formula>COUNTIF(C:C, C1)&gt;1</formula>
    </cfRule>
  </conditionalFormatting>
  <conditionalFormatting sqref="D1 T2:T7 AJ2:AJ358 AZ2:AZ364 AS11 D80:D85 D87:D120 D122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5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3 AT2:AT993">
      <formula1>"Luis,Jesus,Clara,Noel,Daniela,Mariadelaida,Eduardo,Edvaldo,Alexis,Francisco,Enrique,Rafael,Aegis"</formula1>
    </dataValidation>
    <dataValidation allowBlank="1" showDropDown="1" sqref="AY2:AZ977 BC2:BC977 BG2:BH993 BK2:BK993 AQ2:AR993 AU2:AU993 S2:T994 W2:W994 AA2:AB995 AE2:AE995 AI2:AJ995 AM2:AM995 C2:D1004 G2:G1004 K2:L1009 O2:O1009"/>
    <dataValidation type="list" allowBlank="1" sqref="BI2:BI993 AS2:AS993 AC2:AC995 M2:M1009">
      <formula1>"Argentina,Colombia,Ecuador,Chile,Paraguay,Uruguay,Peru,Bolivia"</formula1>
    </dataValidation>
    <dataValidation type="list" allowBlank="1" sqref="U2:U994">
      <formula1>"Mexico,Costa Rica,Panama,Belize,Dominican Republic,Nicaragua,El Salvador,Guatemala,Honduras,Aegis"</formula1>
    </dataValidation>
    <dataValidation type="list" allowBlank="1" sqref="F2:F1004">
      <formula1>"Luis,Jesus,Clara,Noel,Daniela,Mariadelaida,Eduardo,Alexis,Diana,Enrique,Rafael,Francisco,Antonella,Maria Celeste"</formula1>
    </dataValidation>
    <dataValidation type="list" allowBlank="1" sqref="AL2:AL995">
      <formula1>"Luis,Jesus,Clara,Noel,Daniela,Mariadelaida,Eduardo,Alexis,Diana,Francisco,Enrique,Rafael,Aegis,Maria Celeste"</formula1>
    </dataValidation>
    <dataValidation type="list" allowBlank="1" sqref="BA2:BA977 AK2:AK995 E2:E1004">
      <formula1>"Mexico,Costa Rica,Panama,Belize,Dominican Republic,Nicaragua,El Salvador,Guatemala,Honduras"</formula1>
    </dataValidation>
    <dataValidation type="list" allowBlank="1" sqref="V2:V994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77 BF2:BF993 AP2:AP993 R2:R994 Z2:Z995 AH2:AH995 B2:B1004 J2:J1009">
      <formula1>OR(NOT(ISERROR(DATEVALUE(B2))), AND(ISNUMBER(B2), LEFT(CELL("format", B2))="D"))</formula1>
    </dataValidation>
    <dataValidation type="list" allowBlank="1" sqref="BB2:BB977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