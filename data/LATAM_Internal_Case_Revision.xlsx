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tc={653eceae-557b-453a-baf4-94c50a7a6fc7}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653eceae-557b-453a-baf4-94c50a7a6fc7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<sst xmlns="http://schemas.openxmlformats.org/spreadsheetml/2006/main" count="8668" uniqueCount="3866">
  <si>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</si>
  <si>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</si>
  <si>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</si>
  <si>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</si>
  <si>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</si>
  <si>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</si>
  <si>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</si>
  <si>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</si>
  <si>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</si>
  <si>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</si>
  <si>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</si>
  <si>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</si>
  <si>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</si>
  <si>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</si>
  <si>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</si>
  <si>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</si>
  <si>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</si>
  <si>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</si>
  <si>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</si>
  <si>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</si>
  <si>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</si>
  <si>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</si>
  <si>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</si>
  <si>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</si>
  <si>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</si>
  <si>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</si>
  <si>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</si>
  <si>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</si>
  <si>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</si>
  <si>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</si>
  <si>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</si>
  <si>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</si>
  <si>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</si>
  <si>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</si>
  <si>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</si>
  <si>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</si>
  <si>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</si>
  <si>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</si>
  <si>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</si>
  <si>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</si>
  <si>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</si>
  <si>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</si>
  <si>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</si>
  <si>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</si>
  <si>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</si>
  <si>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</si>
  <si>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</si>
  <si>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</si>
  <si>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</si>
  <si>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</si>
  <si>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</si>
  <si>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</si>
  <si>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</si>
  <si>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</si>
  <si>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</si>
  <si>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</si>
  <si>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</si>
  <si>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</si>
  <si>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</si>
  <si>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</si>
  <si>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</si>
  <si>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</si>
  <si>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</si>
  <si>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</si>
  <si>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</si>
  <si>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</si>
  <si>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</si>
  <si>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</si>
  <si>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</si>
  <si>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</si>
  <si>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</si>
  <si>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</si>
  <si>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</si>
  <si>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</si>
  <si>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</si>
  <si>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</si>
  <si>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</si>
  <si>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</si>
  <si>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</si>
  <si>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</si>
  <si>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</si>
  <si>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</si>
  <si>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</si>
  <si>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</si>
  <si>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</si>
  <si>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</si>
  <si>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</si>
  <si>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</si>
  <si>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</si>
  <si>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</si>
  <si>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</si>
  <si>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</si>
  <si>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</si>
  <si>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</si>
  <si>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</si>
  <si>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</si>
  <si>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</si>
  <si>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</si>
  <si>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</si>
  <si>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</si>
  <si>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</si>
  <si>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</si>
  <si>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</si>
  <si>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</si>
  <si>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</si>
  <si>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</si>
  <si>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</si>
  <si>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</si>
  <si>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</si>
  <si>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</si>
  <si>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</si>
  <si>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</si>
  <si>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</si>
  <si>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</si>
  <si>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</si>
  <si>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</si>
  <si>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</si>
  <si>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</si>
  <si>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</si>
  <si>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</si>
  <si>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</si>
  <si>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</si>
  <si>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</si>
  <si>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</si>
  <si>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</si>
  <si>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</si>
  <si>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</si>
  <si>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</si>
  <si>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</si>
  <si>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</si>
  <si>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</si>
  <si>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</si>
  <si>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</si>
  <si>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</si>
  <si>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</si>
  <si>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</si>
  <si>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</si>
  <si>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</si>
  <si>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</si>
  <si>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</si>
  <si>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</si>
  <si>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</si>
  <si>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</si>
  <si>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</si>
  <si>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</si>
  <si>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</si>
  <si>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</si>
  <si>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</si>
  <si>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</si>
  <si>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</si>
  <si>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</si>
  <si>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</si>
  <si>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</si>
  <si>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</si>
  <si>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</si>
  <si>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</si>
  <si>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</si>
  <si>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</si>
  <si>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</si>
  <si>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</si>
  <si>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</si>
  <si>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</si>
  <si>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</si>
  <si>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</si>
  <si>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</si>
  <si>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</si>
  <si>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</si>
  <si>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</si>
  <si>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</si>
  <si>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</si>
  <si>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</si>
  <si>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</si>
  <si>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</si>
  <si>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</si>
  <si>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</si>
  <si>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</si>
  <si>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</si>
  <si>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</si>
  <si>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</si>
  <si>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</si>
  <si>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</si>
  <si>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</si>
  <si>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</si>
  <si>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</si>
  <si>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</si>
  <si>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</si>
  <si>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</si>
  <si>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</si>
  <si>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</si>
  <si>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</si>
  <si>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</si>
  <si>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</si>
  <si>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</si>
  <si>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</si>
  <si>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</si>
  <si>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</si>
  <si>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</si>
  <si>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</si>
  <si>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</si>
  <si>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</si>
  <si>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</si>
  <si>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</si>
  <si>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</si>
  <si>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</si>
  <si>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</si>
  <si>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</si>
  <si>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</si>
  <si>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</si>
  <si>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</si>
  <si>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</si>
  <si>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</si>
  <si>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</si>
  <si>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</si>
  <si>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</si>
  <si>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</si>
  <si>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</si>
  <si>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</si>
  <si>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</si>
  <si>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</si>
  <si>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</si>
  <si>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</si>
  <si>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</si>
  <si>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</si>
  <si>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</si>
  <si>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</si>
  <si>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</si>
  <si>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</si>
  <si>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</si>
  <si>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</si>
  <si>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</si>
  <si>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</si>
  <si>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</si>
  <si>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</si>
  <si>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</si>
  <si>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</si>
  <si>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</si>
  <si>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</si>
  <si>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</si>
  <si>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</si>
  <si>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</si>
  <si>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</si>
  <si>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</si>
  <si>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</si>
  <si>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</si>
  <si>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</si>
  <si>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</si>
  <si>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</si>
  <si>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</si>
  <si>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</si>
  <si>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</si>
  <si>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</si>
  <si>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</si>
  <si>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</si>
  <si>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</si>
  <si>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</si>
  <si>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</si>
  <si>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</si>
  <si>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</si>
  <si>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</si>
  <si>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</si>
  <si>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</si>
  <si>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</si>
  <si>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</si>
  <si>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</si>
  <si>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</si>
  <si>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</si>
  <si>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</si>
  <si>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</si>
  <si>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</si>
  <si>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</si>
  <si>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</si>
  <si>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</si>
  <si>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</si>
  <si>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</si>
  <si>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</si>
  <si>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</si>
  <si>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</si>
  <si>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</si>
  <si>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</si>
  <si>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</si>
  <si>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</si>
  <si>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</si>
  <si>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</si>
  <si>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</si>
  <si>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</si>
  <si>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</si>
  <si>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</si>
  <si>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</si>
  <si>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</si>
  <si>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</si>
  <si>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</si>
  <si>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</si>
  <si>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</si>
  <si>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</si>
  <si>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</si>
  <si>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</si>
  <si>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</si>
  <si>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</si>
  <si>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</si>
  <si>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</si>
  <si>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</si>
  <si>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</si>
  <si>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</si>
  <si>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</si>
  <si>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</si>
  <si>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</si>
  <si>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</si>
  <si>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</si>
  <si>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</si>
  <si>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</si>
  <si>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</si>
  <si>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</si>
  <si>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</si>
  <si>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</si>
  <si>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</si>
  <si>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</si>
  <si>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</si>
  <si>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</si>
  <si>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</si>
  <si>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</si>
  <si>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</si>
  <si>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</si>
  <si>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</si>
  <si>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</si>
  <si>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</si>
  <si>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</si>
  <si>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</si>
  <si>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</si>
  <si>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</si>
  <si>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</si>
  <si>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</si>
  <si>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</si>
  <si>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</si>
  <si>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</si>
  <si>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</si>
  <si>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</si>
  <si>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</si>
  <si>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</si>
  <si>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</si>
  <si>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</si>
  <si>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</si>
  <si>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</si>
  <si>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</si>
  <si>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</si>
  <si>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</si>
  <si>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</si>
  <si>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</si>
  <si>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</si>
  <si>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</si>
  <si>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</si>
  <si>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</si>
  <si>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</si>
  <si>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</si>
  <si>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</si>
  <si>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</si>
  <si>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</si>
  <si>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</si>
  <si>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</si>
  <si>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</si>
  <si>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</si>
  <si>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</si>
  <si>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</si>
  <si>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</si>
  <si>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</si>
  <si>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</si>
  <si>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</si>
  <si>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</si>
  <si>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</si>
  <si>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</si>
  <si>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</si>
  <si>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</si>
  <si>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</si>
  <si>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</si>
  <si>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</si>
  <si>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</si>
  <si>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</si>
  <si>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</si>
  <si>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</si>
  <si>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</si>
  <si>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</si>
  <si>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</si>
  <si>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</si>
  <si>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</si>
  <si>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</si>
  <si>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</si>
  <si>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</si>
  <si>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</si>
  <si>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</si>
  <si>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</si>
  <si>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</si>
  <si>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</si>
  <si>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</si>
  <si>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</si>
  <si>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</si>
  <si>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</si>
  <si>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</si>
  <si>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</si>
  <si>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</si>
  <si>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</si>
  <si>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</si>
  <si>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</si>
  <si>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</si>
  <si>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</si>
  <si>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</si>
  <si>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</si>
  <si>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</si>
  <si>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</si>
  <si>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</si>
  <si>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</si>
  <si>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</si>
  <si>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</si>
  <si>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</si>
  <si>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</si>
  <si>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</si>
  <si>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</si>
  <si>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</si>
  <si>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</si>
  <si>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</si>
  <si>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</si>
  <si>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</si>
  <si>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</si>
  <si>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</si>
  <si>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</si>
  <si>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</si>
  <si>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</si>
  <si>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</si>
  <si>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</si>
  <si>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</si>
  <si>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</si>
  <si>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</si>
  <si>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</si>
  <si>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</si>
  <si>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</si>
  <si>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</si>
  <si>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</si>
  <si>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</si>
  <si>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</si>
  <si>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</si>
  <si>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</si>
  <si>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</si>
  <si>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</si>
  <si>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</si>
  <si>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</si>
  <si>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</si>
  <si>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</si>
  <si>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</si>
  <si>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</si>
  <si>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</si>
  <si>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</si>
  <si>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</si>
  <si>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</si>
  <si>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</si>
  <si>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</si>
  <si>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</si>
  <si>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</si>
  <si>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</si>
  <si>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</si>
  <si>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</si>
  <si>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</si>
  <si>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</si>
  <si>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</si>
  <si>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</si>
  <si>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</si>
  <si>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</si>
  <si>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</si>
  <si>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</si>
  <si>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</si>
  <si>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</si>
  <si>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</si>
  <si>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</si>
  <si>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</si>
  <si>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</si>
  <si>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</si>
  <si>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</si>
  <si>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</si>
  <si>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</si>
  <si>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</si>
  <si>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</si>
  <si>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</si>
  <si>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</si>
  <si>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</si>
  <si>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</si>
  <si>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</si>
  <si>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</si>
  <si>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</si>
  <si>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</si>
  <si>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</si>
  <si>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</si>
  <si>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</si>
  <si>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</si>
  <si>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</si>
  <si>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</si>
  <si>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</si>
  <si>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</si>
  <si>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</si>
  <si>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</si>
  <si>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</si>
  <si>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</si>
  <si>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</si>
  <si>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</si>
  <si>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</si>
  <si>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</si>
  <si>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</si>
  <si>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</si>
  <si>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</si>
  <si>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</si>
  <si>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</si>
  <si>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</si>
  <si>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</si>
  <si>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</si>
  <si>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</si>
  <si>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</si>
  <si>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</si>
  <si>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</si>
  <si>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</si>
  <si>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</si>
  <si>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</si>
  <si>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</si>
  <si>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</si>
  <si>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</si>
  <si>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</si>
  <si>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</si>
  <si>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</si>
  <si>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</si>
  <si>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</si>
  <si>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</si>
  <si>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</si>
  <si>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</si>
  <si>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</si>
  <si>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</si>
  <si>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</si>
  <si>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</si>
  <si>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</si>
  <si>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</si>
  <si>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</si>
  <si>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</si>
  <si>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</si>
  <si>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</si>
  <si>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</si>
  <si>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</si>
  <si>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</si>
  <si>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</si>
  <si>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</si>
  <si>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</si>
  <si>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</si>
  <si>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</si>
  <si>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</si>
  <si>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</si>
  <si>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</si>
  <si>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</si>
  <si>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</si>
  <si>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</si>
  <si>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</si>
  <si>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</si>
  <si>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</si>
  <si>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</si>
  <si>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</si>
  <si>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</si>
  <si>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</si>
  <si>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</si>
  <si>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</si>
  <si>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</si>
  <si>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</si>
  <si>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</si>
  <si>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</si>
  <si>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</si>
  <si>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</si>
  <si>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</si>
  <si>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</si>
  <si>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</si>
  <si>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</si>
  <si>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</si>
  <si>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</si>
  <si>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</si>
  <si>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</si>
  <si>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</si>
  <si>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</si>
  <si>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</si>
  <si>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</si>
  <si>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</si>
  <si>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</si>
  <si>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</si>
  <si>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</si>
  <si>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</si>
  <si>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</si>
  <si>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</si>
  <si>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</si>
  <si>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</si>
  <si>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</si>
  <si>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</si>
  <si>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</si>
  <si>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</si>
  <si>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</si>
  <si>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</si>
  <si>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</si>
  <si>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</si>
  <si>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</si>
  <si>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</si>
  <si>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</si>
  <si>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</si>
  <si>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</si>
  <si>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</si>
  <si>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</si>
  <si>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</si>
  <si>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</si>
  <si>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</si>
  <si>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</si>
  <si>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</si>
  <si>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</si>
  <si>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</si>
  <si>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</si>
  <si>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</si>
  <si>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</si>
  <si>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</si>
  <si>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</si>
  <si>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</si>
  <si>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</si>
  <si>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</si>
  <si>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</si>
  <si>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</si>
  <si>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</si>
  <si>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</si>
  <si>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</si>
  <si>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</si>
  <si>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</si>
  <si>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</si>
  <si>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</si>
  <si>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</si>
  <si>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</si>
  <si>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</si>
  <si>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</si>
  <si>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</si>
  <si>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</si>
  <si>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</si>
  <si>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</si>
  <si>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</si>
  <si>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</si>
  <si>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</si>
  <si>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</si>
  <si>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</si>
  <si>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</si>
  <si>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</si>
  <si>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</si>
  <si>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</si>
  <si>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</si>
  <si>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</si>
  <si>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</si>
  <si>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</si>
  <si>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</si>
  <si>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</si>
  <si>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</si>
  <si>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</si>
  <si>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</si>
  <si>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</si>
  <si>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</si>
  <si>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</si>
  <si>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</si>
  <si>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</si>
  <si>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</si>
  <si>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</si>
  <si>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</si>
  <si>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</si>
  <si>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</si>
  <si>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</si>
  <si>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</si>
  <si>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</si>
  <si>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</si>
  <si>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</si>
  <si>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</si>
  <si>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</si>
  <si>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</si>
  <si>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</si>
  <si>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</si>
  <si>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</si>
  <si>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</si>
  <si>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</si>
  <si>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</si>
  <si>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</si>
  <si>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</si>
  <si>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</si>
  <si>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</si>
  <si>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</si>
  <si>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</si>
  <si>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</si>
  <si>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</si>
  <si>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</si>
  <si>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</si>
  <si>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</si>
  <si>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</si>
  <si>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</si>
  <si>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</si>
  <si>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</si>
  <si>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</si>
  <si>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</si>
  <si>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</si>
  <si>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</si>
  <si>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</si>
  <si>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</si>
  <si>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</si>
  <si>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</si>
  <si>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</si>
  <si>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</si>
  <si>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</si>
  <si>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</si>
  <si>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</si>
  <si>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</si>
  <si>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</si>
  <si>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</si>
  <si>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</si>
  <si>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</si>
  <si>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</si>
  <si>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</si>
  <si>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</si>
  <si>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</si>
  <si>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</si>
  <si>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</si>
  <si>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</si>
  <si>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</si>
  <si>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</si>
  <si>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</si>
  <si>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</si>
  <si>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</si>
  <si>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</si>
  <si>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</si>
  <si>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</si>
  <si>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</si>
  <si>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</si>
  <si>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</si>
  <si>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</si>
  <si>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</si>
  <si>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</si>
  <si>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</si>
  <si>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</si>
  <si>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</si>
  <si>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</si>
  <si>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</si>
  <si>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</si>
  <si>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</si>
  <si>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</si>
  <si>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</si>
  <si>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</si>
  <si>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</si>
  <si>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</si>
  <si>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</si>
  <si>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</si>
  <si>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</si>
  <si>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</si>
  <si>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</si>
  <si>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</si>
  <si>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</si>
  <si>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</si>
  <si>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</si>
  <si>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</si>
  <si>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</si>
  <si>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</si>
  <si>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</si>
  <si>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</si>
  <si>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</si>
  <si>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</si>
  <si>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</si>
  <si>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</si>
  <si>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</si>
  <si>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</si>
  <si>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</si>
  <si>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</si>
  <si>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</si>
  <si>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</si>
  <si>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</si>
  <si>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</si>
  <si>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</si>
  <si>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</si>
  <si>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</si>
  <si>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</si>
  <si>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</si>
  <si>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</si>
  <si>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</si>
  <si>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</si>
  <si>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</si>
  <si>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</si>
  <si>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</si>
  <si>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</si>
  <si>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</si>
  <si>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</si>
  <si>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</si>
  <si>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</si>
  <si>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</si>
  <si>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</si>
  <si>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</si>
  <si>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</si>
  <si>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</si>
  <si>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</si>
  <si>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</si>
  <si>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</si>
  <si>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</si>
  <si>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</si>
  <si>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</si>
  <si>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</si>
  <si>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</si>
  <si>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</si>
  <si>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</si>
  <si>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</si>
  <si>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</si>
  <si>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</si>
  <si>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</si>
  <si>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</si>
  <si>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</si>
  <si>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</si>
  <si>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</si>
  <si>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</si>
  <si>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</si>
  <si>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</si>
  <si>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</si>
  <si>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</si>
  <si>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</si>
  <si>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</si>
  <si>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</si>
  <si>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</si>
  <si>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</si>
  <si>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</si>
  <si>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</si>
  <si>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</si>
  <si>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</si>
  <si>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</si>
  <si>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</si>
  <si>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</si>
  <si>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</si>
  <si>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</si>
  <si>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</si>
  <si>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</si>
  <si>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</si>
  <si>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</si>
  <si>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</si>
  <si>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</si>
  <si>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</si>
  <si>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</si>
  <si>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</si>
  <si>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</si>
  <si>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</si>
  <si>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</si>
  <si>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</si>
  <si>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</si>
  <si>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</si>
  <si>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</si>
  <si>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</si>
  <si>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</si>
  <si>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</si>
  <si>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</si>
  <si>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</si>
  <si>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</si>
  <si>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</si>
  <si>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</si>
  <si>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</si>
  <si>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</si>
  <si>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</si>
  <si>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</si>
  <si>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</si>
  <si>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</si>
  <si>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</si>
  <si>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</si>
  <si>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</si>
  <si>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</si>
  <si>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</si>
  <si>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</si>
  <si>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</si>
  <si>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</si>
  <si>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</si>
  <si>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</si>
  <si>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</si>
  <si>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</si>
  <si>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</si>
  <si>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</si>
  <si>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</si>
  <si>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</si>
  <si>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</si>
  <si>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</si>
  <si>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</si>
  <si>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</si>
  <si>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</si>
  <si>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</si>
  <si>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</si>
  <si>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</si>
  <si>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</si>
  <si>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</si>
  <si>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</si>
  <si>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</si>
  <si>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</si>
  <si>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</si>
  <si>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</si>
  <si>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</si>
  <si>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</si>
  <si>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</si>
  <si>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</si>
  <si>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</si>
  <si>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</si>
  <si>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</si>
  <si>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</si>
  <si>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</si>
  <si>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</si>
  <si>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</si>
  <si>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</si>
  <si>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</si>
  <si>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</si>
  <si>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</si>
  <si>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</si>
  <si>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</si>
  <si>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</si>
  <si>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</si>
  <si>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</si>
  <si>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</si>
  <si>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</si>
  <si>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</si>
  <si>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</si>
  <si>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</si>
  <si>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</si>
  <si>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</si>
  <si>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</si>
  <si>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</si>
  <si>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</si>
  <si>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</si>
  <si>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</si>
  <si>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</si>
  <si>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</si>
  <si>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</si>
  <si>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</si>
  <si>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</si>
  <si>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</si>
  <si>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</si>
  <si>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</si>
  <si>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</si>
  <si>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</si>
  <si>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</si>
  <si>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</si>
  <si>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</si>
  <si>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</si>
  <si>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</si>
  <si>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</si>
  <si>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</si>
  <si>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</si>
  <si>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</si>
  <si>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</si>
  <si>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</si>
  <si>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</si>
  <si>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</si>
  <si>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</si>
  <si>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</si>
  <si>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</si>
  <si>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</si>
  <si>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</si>
  <si>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</si>
  <si>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</si>
  <si>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</si>
  <si>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</si>
  <si>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</si>
  <si>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</si>
  <si>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</si>
  <si>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</si>
  <si>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</si>
  <si>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</si>
  <si>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</si>
  <si>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</si>
  <si>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</si>
  <si>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</si>
  <si>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</si>
  <si>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</si>
  <si>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</si>
  <si>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</si>
  <si>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</si>
  <si>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</si>
  <si>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</si>
  <si>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</si>
  <si>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</si>
  <si>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</si>
  <si>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</si>
  <si>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</si>
  <si>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</si>
  <si>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</si>
  <si>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</si>
  <si>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</si>
  <si>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</si>
  <si>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</si>
  <si>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</si>
  <si>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</si>
  <si>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</si>
  <si>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</si>
  <si>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</si>
  <si>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</si>
  <si>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</si>
  <si>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</si>
  <si>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</si>
  <si>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</si>
  <si>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</si>
  <si>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</si>
  <si>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</si>
  <si>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</si>
  <si>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</si>
  <si>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</si>
  <si>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</si>
  <si>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</si>
  <si>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</si>
  <si>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</si>
  <si>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</si>
  <si>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</si>
  <si>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</si>
  <si>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</si>
  <si>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</si>
  <si>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</si>
  <si>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</si>
  <si>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</si>
  <si>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</si>
  <si>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</si>
  <si>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</si>
  <si>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</si>
  <si>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</si>
  <si>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</si>
  <si>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</si>
  <si>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</si>
  <si>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</si>
  <si>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</si>
  <si>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</si>
  <si>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</si>
  <si>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</si>
  <si>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</si>
  <si>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</si>
  <si>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</si>
  <si>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</si>
  <si>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</si>
  <si>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</si>
  <si>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</si>
  <si>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</si>
  <si>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</si>
  <si>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</si>
  <si>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</si>
  <si>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</si>
  <si>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</si>
  <si>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</si>
  <si>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</si>
  <si>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</si>
  <si>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</si>
  <si>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</si>
  <si>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</si>
  <si>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</si>
  <si>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</si>
  <si>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</si>
  <si>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</si>
  <si>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</si>
  <si>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</si>
  <si>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</si>
  <si>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</si>
  <si>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</si>
  <si>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</si>
  <si>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</si>
  <si>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</si>
  <si>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</si>
  <si>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</si>
  <si>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</si>
  <si>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</si>
  <si>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</si>
  <si>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</si>
  <si>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</si>
  <si>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</si>
  <si>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</si>
  <si>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</si>
  <si>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</si>
  <si>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</si>
  <si>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</si>
  <si>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</si>
  <si>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</si>
  <si>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</si>
  <si>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</si>
  <si>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</si>
  <si>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</si>
  <si>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</si>
  <si>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</si>
  <si>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</si>
  <si>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</si>
  <si>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</si>
  <si>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</si>
  <si>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</si>
  <si>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</si>
  <si>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</si>
  <si>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</si>
  <si>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</si>
  <si>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</si>
  <si>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</si>
  <si>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</si>
  <si>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</si>
  <si>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</si>
  <si>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</si>
  <si>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</si>
  <si>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</si>
  <si>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</si>
  <si>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</si>
  <si>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</si>
  <si>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</si>
  <si>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</si>
  <si>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</si>
  <si>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</si>
  <si>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</si>
  <si>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</si>
  <si>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</si>
  <si>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</si>
  <si>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</si>
  <si>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</si>
  <si>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</si>
  <si>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</si>
  <si>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</si>
  <si>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</si>
  <si>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</si>
  <si>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</si>
  <si>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</si>
  <si>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</si>
  <si>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</si>
  <si>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</si>
  <si>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</si>
  <si>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</si>
  <si>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</si>
  <si>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</si>
  <si>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</si>
  <si>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</si>
  <si>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</si>
  <si>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</si>
  <si>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</si>
  <si>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</si>
  <si>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</si>
  <si>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</si>
  <si>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</si>
  <si>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</si>
  <si>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</si>
  <si>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</si>
  <si>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</si>
  <si>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</si>
  <si>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</si>
  <si>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</si>
  <si>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</si>
  <si>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</si>
  <si>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</si>
  <si>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</si>
  <si>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</si>
  <si>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</si>
  <si>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</si>
  <si>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</si>
  <si>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</si>
  <si>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</si>
  <si>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</si>
  <si>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</si>
  <si>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</si>
  <si>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</si>
  <si>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</si>
  <si>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</si>
  <si>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</si>
  <si>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</si>
  <si>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</si>
  <si>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</si>
  <si>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</si>
  <si>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</si>
  <si>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</si>
  <si>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</si>
  <si>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</si>
  <si>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</si>
  <si>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</si>
  <si>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</si>
  <si>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</si>
  <si>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</si>
  <si>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</si>
  <si>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</si>
  <si>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</si>
  <si>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</si>
  <si>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</si>
  <si>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</si>
  <si>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</si>
  <si>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</si>
  <si>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</si>
  <si>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</si>
  <si>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</si>
  <si>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</si>
  <si>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</si>
  <si>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</si>
  <si>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</si>
  <si>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</si>
  <si>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</si>
  <si>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</si>
  <si>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</si>
  <si>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</si>
  <si>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</si>
  <si>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</si>
  <si>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</si>
  <si>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</si>
  <si>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</si>
  <si>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</si>
  <si>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</si>
  <si>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</si>
  <si>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</si>
  <si>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</si>
  <si>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</si>
  <si>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</si>
  <si>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</si>
  <si>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</si>
  <si>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</si>
  <si>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</si>
  <si>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</si>
  <si>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</si>
  <si>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</si>
  <si>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</si>
  <si>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</si>
  <si>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</si>
  <si>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</si>
  <si>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</si>
  <si>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</si>
  <si>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</si>
  <si>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</si>
  <si>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</si>
  <si>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</si>
  <si>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</si>
  <si>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</si>
  <si>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</si>
  <si>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</si>
  <si>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</si>
  <si>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</si>
  <si>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</si>
  <si>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</si>
  <si>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</si>
  <si>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</si>
  <si>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</si>
  <si>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</si>
  <si>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</si>
  <si>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</si>
  <si>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</si>
  <si>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</si>
  <si>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</si>
  <si>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</si>
  <si>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</si>
  <si>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</si>
  <si>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</si>
  <si>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</si>
  <si>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</si>
  <si>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</si>
  <si>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</si>
  <si>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</si>
  <si>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</si>
  <si>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</si>
  <si>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</si>
  <si>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</si>
  <si>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</si>
  <si>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</si>
  <si>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</si>
  <si>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</si>
  <si>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</si>
  <si>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</si>
  <si>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</si>
  <si>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</si>
  <si>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</si>
  <si>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</si>
  <si>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</si>
  <si>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</si>
  <si>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</si>
  <si>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</si>
  <si>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</si>
  <si>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</si>
  <si>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</si>
  <si>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</si>
  <si>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</si>
  <si>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</si>
  <si>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</si>
  <si>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</si>
  <si>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</si>
  <si>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</si>
  <si>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</si>
  <si>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</si>
  <si>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</si>
  <si>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</si>
  <si>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</si>
  <si>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</si>
  <si>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</si>
  <si>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</si>
  <si>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</si>
  <si>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</si>
  <si>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</si>
  <si>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</si>
  <si>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</si>
  <si>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</si>
  <si>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</si>
  <si>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</si>
  <si>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</si>
  <si>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</si>
  <si>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</si>
  <si>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</si>
  <si>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</si>
  <si>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</si>
  <si>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</si>
  <si>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</si>
  <si>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</si>
  <si>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</si>
  <si>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</si>
  <si>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</si>
  <si>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</si>
  <si>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</si>
  <si>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</si>
  <si>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</si>
  <si>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</si>
  <si>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</si>
  <si>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</si>
  <si>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</si>
  <si>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</si>
  <si>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</si>
  <si>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</si>
  <si>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</si>
  <si>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</si>
  <si>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</si>
  <si>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</si>
  <si>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</si>
  <si>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</si>
  <si>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</si>
  <si>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</si>
  <si>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</si>
  <si>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</si>
  <si>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</si>
  <si>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</si>
  <si>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</si>
  <si>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</si>
  <si>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</si>
  <si>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</si>
  <si>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</si>
  <si>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</si>
  <si>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</si>
  <si>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</si>
  <si>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</si>
  <si>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</si>
  <si>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</si>
  <si>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</si>
  <si>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</si>
  <si>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</si>
  <si>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</si>
  <si>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</si>
  <si>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</si>
  <si>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</si>
  <si>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</si>
  <si>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</si>
  <si>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</si>
  <si>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</si>
  <si>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</si>
  <si>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</si>
  <si>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</si>
  <si>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</si>
  <si>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</si>
  <si>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</si>
  <si>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</si>
  <si>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</si>
  <si>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</si>
  <si>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</si>
  <si>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</si>
  <si>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</si>
  <si>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</si>
  <si>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</si>
  <si>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</si>
  <si>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</si>
  <si>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</si>
  <si>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</si>
  <si>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</si>
  <si>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</si>
  <si>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</si>
  <si>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</si>
  <si>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</si>
  <si>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</si>
  <si>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</si>
  <si>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</si>
  <si>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</si>
  <si>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</si>
  <si>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</si>
  <si>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</si>
  <si>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</si>
  <si>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</si>
  <si>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</si>
  <si>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</si>
  <si>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</si>
  <si>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</si>
  <si>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</si>
  <si>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</si>
  <si>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</si>
  <si>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</si>
  <si>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</si>
  <si>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</si>
  <si>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</si>
  <si>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</si>
  <si>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</si>
  <si>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</si>
  <si>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</si>
  <si>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</si>
  <si>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</si>
  <si>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</si>
  <si>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</si>
  <si>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</si>
  <si>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</si>
  <si>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</si>
  <si>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</si>
  <si>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</si>
  <si>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</si>
  <si>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</si>
  <si>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</si>
  <si>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</si>
  <si>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</si>
  <si>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</si>
  <si>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</si>
  <si>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</si>
  <si>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</si>
  <si>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</si>
  <si>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</si>
  <si>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</si>
  <si>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</si>
  <si>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</si>
  <si>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</si>
  <si>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</si>
  <si>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</si>
  <si>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</si>
  <si>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</si>
  <si>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</si>
  <si>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</si>
  <si>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</si>
  <si>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</si>
  <si>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</si>
  <si>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</si>
  <si>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</si>
  <si>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</si>
  <si>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</si>
  <si>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</si>
  <si>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</si>
  <si>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</si>
  <si>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</si>
  <si>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</si>
  <si>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</si>
  <si>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</si>
  <si>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</si>
  <si>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</si>
  <si>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</si>
  <si>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</si>
  <si>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</si>
  <si>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</si>
  <si>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</si>
  <si>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</si>
  <si>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</si>
  <si>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</si>
  <si>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</si>
  <si>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</si>
  <si>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</si>
  <si>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</si>
  <si>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</si>
  <si>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</si>
  <si>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</si>
  <si>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</si>
  <si>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</si>
  <si>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</si>
  <si>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</si>
  <si>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</si>
  <si>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</si>
  <si>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</si>
  <si>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</si>
  <si>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</si>
  <si>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</si>
  <si>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</si>
  <si>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</si>
  <si>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</si>
  <si>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</si>
  <si>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</si>
  <si>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</si>
  <si>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</si>
  <si>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</si>
  <si>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</si>
  <si>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</si>
  <si>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</si>
  <si>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</si>
  <si>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</si>
  <si>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</si>
  <si>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</si>
  <si>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</si>
  <si>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</si>
  <si>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</si>
  <si>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</si>
  <si>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</si>
  <si>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</si>
  <si>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</si>
  <si>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</si>
  <si>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</si>
  <si>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</si>
  <si>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</si>
  <si>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</si>
  <si>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</si>
  <si>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</si>
  <si>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</si>
  <si>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</si>
  <si>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</si>
  <si>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</si>
  <si>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</si>
  <si>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</si>
  <si>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</si>
  <si>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</si>
  <si>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</si>
  <si>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</si>
  <si>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</si>
  <si>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</si>
  <si>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</si>
  <si>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</si>
  <si>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</si>
  <si>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</si>
  <si>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</si>
  <si>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</si>
  <si>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</si>
  <si>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</si>
  <si>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</si>
  <si>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</si>
  <si>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</si>
  <si>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</si>
  <si>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</si>
  <si>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</si>
  <si>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</si>
  <si>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</si>
  <si>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</si>
  <si>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</si>
  <si>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</si>
  <si>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</si>
  <si>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</si>
  <si>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</si>
  <si>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</si>
  <si>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</si>
  <si>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</si>
  <si>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</si>
  <si>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</si>
  <si>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</si>
  <si>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</si>
  <si>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</si>
  <si>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</si>
  <si>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</si>
  <si>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</si>
  <si>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</si>
  <si>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</si>
  <si>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</si>
  <si>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</si>
  <si>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</si>
  <si>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</si>
  <si>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</si>
  <si>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</si>
  <si>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</si>
  <si>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</si>
  <si>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</si>
  <si>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</si>
  <si>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</si>
  <si>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</si>
  <si>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</si>
  <si>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</si>
  <si>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</si>
  <si>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</si>
  <si>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</si>
  <si>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</si>
  <si>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</si>
  <si>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</si>
  <si>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</si>
  <si>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</si>
  <si>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</si>
  <si>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</si>
  <si>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</si>
  <si>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</si>
  <si>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</si>
  <si>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</si>
  <si>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</si>
  <si>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</si>
  <si>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</si>
  <si>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</si>
  <si>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</si>
  <si>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</si>
  <si>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</si>
  <si>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</si>
  <si>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</si>
  <si>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</si>
  <si>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</si>
  <si>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</si>
  <si>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</si>
  <si>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</si>
  <si>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</si>
  <si>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</si>
  <si>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</si>
  <si>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</si>
  <si>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</si>
  <si>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</si>
  <si>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</si>
  <si>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</si>
  <si>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</si>
  <si>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</si>
  <si>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</si>
  <si>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</si>
  <si>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</si>
  <si>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</si>
  <si>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</si>
  <si>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</si>
  <si>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</si>
  <si>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</si>
  <si>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</si>
  <si>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</si>
  <si>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</si>
  <si>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</si>
  <si>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</si>
  <si>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</si>
  <si>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</si>
  <si>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</si>
  <si>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</si>
  <si>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</si>
  <si>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</si>
  <si>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</si>
  <si>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</si>
  <si>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</si>
  <si>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</si>
  <si>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</si>
  <si>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</si>
  <si>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</si>
  <si>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</si>
  <si>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</si>
  <si>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</si>
  <si>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</si>
  <si>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</si>
  <si>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</si>
  <si>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</si>
  <si>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</si>
  <si>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</si>
  <si>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</si>
  <si>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</si>
  <si>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</si>
  <si>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</si>
  <si>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</si>
  <si>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</si>
  <si>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</si>
  <si>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</si>
  <si>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</si>
  <si>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</si>
  <si>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</si>
  <si>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</si>
  <si>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</si>
  <si>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</si>
  <si>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</si>
  <si>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</si>
  <si>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</si>
  <si>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</si>
  <si>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</si>
  <si>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</si>
  <si>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</si>
  <si>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</si>
  <si>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</si>
  <si>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</si>
  <si>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</si>
  <si>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</si>
  <si>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</si>
  <si>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</si>
  <si>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</si>
  <si>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</si>
  <si>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</si>
  <si>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</si>
  <si>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</si>
  <si>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</si>
  <si>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</si>
  <si>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</si>
  <si>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</si>
  <si>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</si>
  <si>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</si>
  <si>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</si>
  <si>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</si>
  <si>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</si>
  <si>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</si>
  <si>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</si>
  <si>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</si>
  <si>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</si>
  <si>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</si>
  <si>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</si>
  <si>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</si>
  <si>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</si>
  <si>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</si>
  <si>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</si>
  <si>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</si>
  <si>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</si>
  <si>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</si>
  <si>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</si>
  <si>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</si>
  <si>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</si>
  <si>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</si>
  <si>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</si>
  <si>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</si>
  <si>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</si>
  <si>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</si>
  <si>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</si>
  <si>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</si>
  <si>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</si>
  <si>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</si>
  <si>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</si>
  <si>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</si>
  <si>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</si>
  <si>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</si>
  <si>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</si>
  <si>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</si>
  <si>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</si>
  <si>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</si>
  <si>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</si>
  <si>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</si>
  <si>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</si>
  <si>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</si>
  <si>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</si>
  <si>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</si>
  <si>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</si>
  <si>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</si>
  <si>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</si>
  <si>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</si>
  <si>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</si>
  <si>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</si>
  <si>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</si>
  <si>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</si>
  <si>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</si>
  <si>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</si>
  <si>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</si>
  <si>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</si>
  <si>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</si>
  <si>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</si>
  <si>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</si>
  <si>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</si>
  <si>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</si>
  <si>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</si>
  <si>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</si>
  <si>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</si>
  <si>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</si>
  <si>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</si>
  <si>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</si>
  <si>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</si>
  <si>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</si>
  <si>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</si>
  <si>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</si>
  <si>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</si>
  <si>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</si>
  <si>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</si>
  <si>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</si>
  <si>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</si>
  <si>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</si>
  <si>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</si>
  <si>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</si>
  <si>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</si>
  <si>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</si>
  <si>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</si>
  <si>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</si>
  <si>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</si>
  <si>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</si>
  <si>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</si>
  <si>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</si>
  <si>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</si>
  <si>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</si>
  <si>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</si>
  <si>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</si>
  <si>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</si>
  <si>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</si>
  <si>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</si>
  <si>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</si>
  <si>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</si>
  <si>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</si>
  <si>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</si>
  <si>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</si>
  <si>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</si>
  <si>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</si>
  <si>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</si>
  <si>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</si>
  <si>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</si>
  <si>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</si>
  <si>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</si>
  <si>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</si>
  <si>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</si>
  <si>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</si>
  <si>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</si>
  <si>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</si>
  <si>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</si>
  <si>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</si>
  <si>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</si>
  <si>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</si>
  <si>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</si>
  <si>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</si>
  <si>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</si>
  <si>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</si>
  <si>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</si>
  <si>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</si>
  <si>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</si>
  <si>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</si>
  <si>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</si>
  <si>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</si>
  <si>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</si>
  <si>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</si>
  <si>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</si>
  <si>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</si>
  <si>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</si>
  <si>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</si>
  <si>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</si>
  <si>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</si>
  <si>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</si>
  <si>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</si>
  <si>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</si>
  <si>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</si>
  <si>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</si>
  <si>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</si>
  <si>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</si>
  <si>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</si>
  <si>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</si>
  <si>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</si>
  <si>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</si>
  <si>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</si>
  <si>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</si>
  <si>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</si>
  <si>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</si>
  <si>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</si>
  <si>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</si>
  <si>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</si>
  <si>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</si>
  <si>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</si>
  <si>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</si>
  <si>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</si>
  <si>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</si>
  <si>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</si>
  <si>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</si>
  <si>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</si>
  <si>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</si>
  <si>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</si>
  <si>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</si>
  <si>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</si>
  <si>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</si>
  <si>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</si>
  <si>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</si>
  <si>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</si>
  <si>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</si>
  <si>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</si>
  <si>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</si>
  <si>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</si>
  <si>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</si>
  <si>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</si>
  <si>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</si>
  <si>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</si>
  <si>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</si>
  <si>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</si>
  <si>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</si>
  <si>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</si>
  <si>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</si>
  <si>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</si>
  <si>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</si>
  <si>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</si>
  <si>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</si>
  <si>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</si>
  <si>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</si>
  <si>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</si>
  <si>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</si>
  <si>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</si>
  <si>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</si>
  <si>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</si>
  <si>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</si>
  <si>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</si>
  <si>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</si>
  <si>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</si>
  <si>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</si>
  <si>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</si>
  <si>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</si>
  <si>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</si>
  <si>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</si>
  <si>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</si>
  <si>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</si>
  <si>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</si>
  <si>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</si>
  <si>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</si>
  <si>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</si>
  <si>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</si>
  <si>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</si>
  <si>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</si>
  <si>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</si>
  <si>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</si>
  <si>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</si>
  <si>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</si>
  <si>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</si>
  <si>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</si>
  <si>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</si>
  <si>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</si>
  <si>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</si>
  <si>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</si>
  <si>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</si>
  <si>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</si>
  <si>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</si>
  <si>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</si>
  <si>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</si>
  <si>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</si>
  <si>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</si>
  <si>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</si>
  <si>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</si>
  <si>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</si>
  <si>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</si>
  <si>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</si>
  <si>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</si>
  <si>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</si>
  <si>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</si>
  <si>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</si>
  <si>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</si>
  <si>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</si>
  <si>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</si>
  <si>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</si>
  <si>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</si>
  <si>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</si>
  <si>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</si>
  <si>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</si>
  <si>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</si>
  <si>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</si>
  <si>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</si>
  <si>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</si>
  <si>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</si>
  <si>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</si>
  <si>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</si>
  <si>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</si>
  <si>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</si>
  <si>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</si>
  <si>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</si>
  <si>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</si>
  <si>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</si>
  <si>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</si>
  <si>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</si>
  <si>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</si>
  <si>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</si>
  <si>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</si>
  <si>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</si>
  <si>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</si>
  <si>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</si>
  <si>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</si>
  <si>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</si>
  <si>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</si>
  <si>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</si>
  <si>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</si>
  <si>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</si>
  <si>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</si>
  <si>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</si>
  <si>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</si>
  <si>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</si>
  <si>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</si>
  <si>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</si>
  <si>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</si>
  <si>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</si>
  <si>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</si>
  <si>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</si>
  <si>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</si>
  <si>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</si>
  <si>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</si>
  <si>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</si>
  <si>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</si>
  <si>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</si>
  <si>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</si>
  <si>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</si>
  <si>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</si>
  <si>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</si>
  <si>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</si>
  <si>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</si>
  <si>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</si>
  <si>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</si>
  <si>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</si>
  <si>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</si>
  <si>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</si>
  <si>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</si>
  <si>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</si>
  <si>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</si>
  <si>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</si>
  <si>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</si>
  <si>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</si>
  <si>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</si>
  <si>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</si>
  <si>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</si>
  <si>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</si>
  <si>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</si>
  <si>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</si>
  <si>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</si>
  <si>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</si>
  <si>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</si>
  <si>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</si>
  <si>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</si>
  <si>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</si>
  <si>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</si>
  <si>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</si>
  <si>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</si>
  <si>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</si>
  <si>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</si>
  <si>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</si>
  <si>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</si>
  <si>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</si>
  <si>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</si>
  <si>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</si>
  <si>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</si>
  <si>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</si>
  <si>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</si>
  <si>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</si>
  <si>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</si>
  <si>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</si>
  <si>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</si>
  <si>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</si>
  <si>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</si>
  <si>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</si>
  <si>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</si>
  <si>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</si>
  <si>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</si>
  <si>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</si>
  <si>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</si>
  <si>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</si>
  <si>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</si>
  <si>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</si>
  <si>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</si>
  <si>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</si>
  <si>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</si>
  <si>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</si>
  <si>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</si>
  <si>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</si>
  <si>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</si>
  <si>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</si>
  <si>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</si>
  <si>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</si>
  <si>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</si>
  <si>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</si>
  <si>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</si>
  <si>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</si>
  <si>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</si>
  <si>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</si>
  <si>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</si>
  <si>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</si>
  <si>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</si>
  <si>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</si>
  <si>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</si>
  <si>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</si>
  <si>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</si>
  <si>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</si>
  <si>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</si>
  <si>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</si>
  <si>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</si>
  <si>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</si>
  <si>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</si>
  <si>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</si>
  <si>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</si>
  <si>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</si>
  <si>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</si>
  <si>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</si>
  <si>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</si>
  <si>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</si>
  <si>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</si>
  <si>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</si>
  <si>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</si>
  <si>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</si>
  <si>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</si>
  <si>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</si>
  <si>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</si>
  <si>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</si>
  <si>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</si>
  <si>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</si>
  <si>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</si>
  <si>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</si>
  <si>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</si>
  <si>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</si>
  <si>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</si>
  <si>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</si>
  <si>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</si>
  <si>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</si>
  <si>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</si>
  <si>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</si>
  <si>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</si>
  <si>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</si>
  <si>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</si>
  <si>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</si>
  <si>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</si>
  <si>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</si>
  <si>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</si>
  <si>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</si>
  <si>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</si>
  <si>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</si>
  <si>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</si>
  <si>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</si>
  <si>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</si>
  <si>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</si>
  <si>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</si>
  <si>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</si>
  <si>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</si>
  <si>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</si>
  <si>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</si>
  <si>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</si>
  <si>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</si>
  <si>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</si>
  <si>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</si>
  <si>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</si>
  <si>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</si>
  <si>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</si>
  <si>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</si>
  <si>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</si>
  <si>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</si>
  <si>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</si>
  <si>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</si>
  <si>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</si>
  <si>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</si>
  <si>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</si>
  <si>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</si>
  <si>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</si>
  <si>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</si>
  <si>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</si>
  <si>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</si>
  <si>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</si>
  <si>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</si>
  <si>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</si>
  <si>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</si>
  <si>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</si>
  <si>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</si>
  <si>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</si>
  <si>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</si>
  <si>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</si>
  <si>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</si>
  <si>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</si>
  <si>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</si>
  <si>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</si>
  <si>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</si>
  <si>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</si>
  <si>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</si>
  <si>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</si>
  <si>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</si>
  <si>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</si>
  <si>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</si>
  <si>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</si>
  <si>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</si>
  <si>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</si>
  <si>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</si>
  <si>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</si>
  <si>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</si>
  <si>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</si>
  <si>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</si>
  <si>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</si>
  <si>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</si>
  <si>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</si>
  <si>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</si>
  <si>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</si>
  <si>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</si>
  <si>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</si>
  <si>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</si>
  <si>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</si>
  <si>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</si>
  <si>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</si>
  <si>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</si>
  <si>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</si>
  <si>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</si>
  <si>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</si>
  <si>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</si>
  <si>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</si>
  <si>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</si>
  <si>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</si>
  <si>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</si>
  <si>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</si>
  <si>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</si>
  <si>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</si>
  <si>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</si>
  <si>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</si>
  <si>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</si>
  <si>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</si>
  <si>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</si>
  <si>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</si>
  <si>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</si>
  <si>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</si>
  <si>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</si>
  <si>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</si>
  <si>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</si>
  <si>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</si>
  <si>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</si>
  <si>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</si>
  <si>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</si>
  <si>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</si>
  <si>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</si>
  <si>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</si>
  <si>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</si>
  <si>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</si>
  <si>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</si>
  <si>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</si>
  <si>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</si>
  <si>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</si>
  <si>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</si>
  <si>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</si>
  <si>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</si>
  <si>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</si>
  <si>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</si>
  <si>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</si>
  <si>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</si>
  <si>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</si>
  <si>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</si>
  <si>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</si>
  <si>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</si>
  <si>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</si>
  <si>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</si>
  <si>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</si>
  <si>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</si>
  <si>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</si>
  <si>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</si>
  <si>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</si>
  <si>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</si>
  <si>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</si>
  <si>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</si>
  <si>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</si>
  <si>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</si>
  <si>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</si>
  <si>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</si>
  <si>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</si>
  <si>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</si>
  <si>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</si>
  <si>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</si>
  <si>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</si>
  <si>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</si>
  <si>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</si>
  <si>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</si>
  <si>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</si>
  <si>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</si>
  <si>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</si>
  <si>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</si>
  <si>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</si>
  <si>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</si>
  <si>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</si>
  <si>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</si>
  <si>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</si>
  <si>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</si>
  <si>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</si>
  <si>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</si>
  <si>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</si>
  <si>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</si>
  <si>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</si>
  <si>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</si>
  <si>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</si>
  <si>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</si>
  <si>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</si>
  <si>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</si>
  <si>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</si>
  <si>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</si>
  <si>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</si>
  <si>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</si>
  <si>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</si>
  <si>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</si>
  <si>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</si>
  <si>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</si>
  <si>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</si>
  <si>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</si>
  <si>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</si>
  <si>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</si>
  <si>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</si>
  <si>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</si>
  <si>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</si>
  <si>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</si>
  <si>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</si>
  <si>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</si>
  <si>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</si>
  <si>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</si>
  <si>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</si>
  <si>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</si>
  <si>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</si>
  <si>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</si>
  <si>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</si>
  <si>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</si>
  <si>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</si>
  <si>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</si>
  <si>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</si>
  <si>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</si>
  <si>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</si>
  <si>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</si>
  <si>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</si>
  <si>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</si>
  <si>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</si>
  <si>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</si>
  <si>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</si>
  <si>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</si>
  <si>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</si>
  <si>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</si>
  <si>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</si>
  <si>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</si>
  <si>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</si>
  <si>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</si>
  <si>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</si>
  <si>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</si>
  <si>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</si>
  <si>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</si>
  <si>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</si>
  <si>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</si>
  <si>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</si>
  <si>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</si>
  <si>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</si>
  <si>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</si>
  <si>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</si>
  <si>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</si>
  <si>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</si>
  <si>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</si>
  <si>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</si>
  <si>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</si>
  <si>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</si>
  <si>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</si>
  <si>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</si>
  <si>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</si>
  <si>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</si>
  <si>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</si>
  <si>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</si>
  <si>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</si>
  <si>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</si>
  <si>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</si>
  <si>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</si>
  <si>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</si>
  <si>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</si>
  <si>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</si>
  <si>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</si>
  <si>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</si>
  <si>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</si>
  <si>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</si>
  <si>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</si>
  <si>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</si>
  <si>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</si>
  <si>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</si>
  <si>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</si>
  <si>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</si>
  <si>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</si>
  <si>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</si>
  <si>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</si>
  <si>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</si>
  <si>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</si>
  <si>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</si>
  <si>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</si>
  <si>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</si>
  <si>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</si>
  <si>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</si>
  <si>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</si>
  <si>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</si>
  <si>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</si>
  <si>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</si>
  <si>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</si>
  <si>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</si>
  <si>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</si>
  <si>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</si>
  <si>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</si>
  <si>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</si>
  <si>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</si>
  <si>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</si>
  <si>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</si>
  <si>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</si>
  <si>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</si>
  <si>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</si>
  <si>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</si>
  <si>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</si>
  <si>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</si>
  <si>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</si>
  <si>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</si>
  <si>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</si>
  <si>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</si>
  <si>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</si>
  <si>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</si>
  <si>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</si>
  <si>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</si>
  <si>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</si>
  <si>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</si>
  <si>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</si>
  <si>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</si>
  <si>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</si>
  <si>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</si>
  <si>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</si>
  <si>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</si>
  <si>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</si>
  <si>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</si>
  <si>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</si>
  <si>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</si>
  <si>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</si>
  <si>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</si>
  <si>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</si>
  <si>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</si>
  <si>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</si>
  <si>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</si>
  <si>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</si>
  <si>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</si>
  <si>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</si>
  <si>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</si>
  <si>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</si>
  <si>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</si>
  <si>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</si>
  <si>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</si>
  <si>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</si>
  <si>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</si>
  <si>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</si>
  <si>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</si>
  <si>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</si>
  <si>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</si>
  <si>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</si>
  <si>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</si>
  <si>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</si>
  <si>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</si>
  <si>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</si>
  <si>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</si>
  <si>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</si>
  <si>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</si>
  <si>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</si>
  <si>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</si>
  <si>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</si>
  <si>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</si>
  <si>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</si>
  <si>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</si>
  <si>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</si>
  <si>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</si>
  <si>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</si>
  <si>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</si>
  <si>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</si>
  <si>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</si>
  <si>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</si>
  <si>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</si>
  <si>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</si>
  <si>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</si>
  <si>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</si>
  <si>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</si>
  <si>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</si>
  <si>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</si>
  <si>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</si>
  <si>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</si>
  <si>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</si>
  <si>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</si>
  <si>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</si>
  <si>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</si>
  <si>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</si>
  <si>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</si>
  <si>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</si>
  <si>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</si>
  <si>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</si>
  <si>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</si>
  <si>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</si>
  <si>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</si>
  <si>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</si>
  <si>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</si>
  <si>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</si>
  <si>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</si>
  <si>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</si>
  <si>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</si>
  <si>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</si>
  <si>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</si>
  <si>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</si>
  <si>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</si>
  <si>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</si>
  <si>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</si>
  <si>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</si>
  <si>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</si>
  <si>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</si>
  <si>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</si>
  <si>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</si>
  <si>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</si>
  <si>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</si>
  <si>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</si>
  <si>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</si>
  <si>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</si>
  <si>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</si>
  <si>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</si>
  <si>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</si>
  <si>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</si>
  <si>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</si>
  <si>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</si>
  <si>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</si>
  <si>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</si>
  <si>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</si>
  <si>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</si>
  <si>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</si>
  <si>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</si>
  <si>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</si>
  <si>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</si>
  <si>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</si>
  <si>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</si>
  <si>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</si>
  <si>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</si>
  <si>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</si>
  <si>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</si>
  <si>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</si>
  <si>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</si>
  <si>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</si>
  <si>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</si>
  <si>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</si>
  <si>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</si>
  <si>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</si>
  <si>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</si>
  <si>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</si>
  <si>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</si>
  <si>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</si>
  <si>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</si>
  <si>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</si>
  <si>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</si>
  <si>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</si>
  <si>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</si>
  <si>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</si>
  <si>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</si>
  <si>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</si>
  <si>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</si>
  <si>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</si>
  <si>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</si>
  <si>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</si>
  <si>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</si>
  <si>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</si>
  <si>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</si>
  <si>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</si>
  <si>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</si>
  <si>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</si>
  <si>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</si>
  <si>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</si>
  <si>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</si>
  <si>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</si>
  <si>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</si>
  <si>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</si>
  <si>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</si>
  <si>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</si>
  <si>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</si>
  <si>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</si>
  <si>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</si>
  <si>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</si>
  <si>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</si>
  <si>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</si>
  <si>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</si>
  <si>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</si>
  <si>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</si>
  <si>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</si>
  <si>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</si>
  <si>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</si>
  <si>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</si>
  <si>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</si>
  <si>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</si>
  <si>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</si>
  <si>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</si>
  <si>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</si>
  <si>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</si>
  <si>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</si>
  <si>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</si>
  <si>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</si>
  <si>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</si>
  <si>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</si>
  <si>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</si>
  <si>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</si>
  <si>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</si>
  <si>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</si>
  <si>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</si>
  <si>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</si>
  <si>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</si>
  <si>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</si>
  <si>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</si>
  <si>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</si>
  <si>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</si>
  <si>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</si>
  <si>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</si>
  <si>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</si>
  <si>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</si>
  <si>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</si>
  <si>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</si>
  <si>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</si>
  <si>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</si>
  <si>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</si>
  <si>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</si>
  <si>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</si>
  <si>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</si>
  <si>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</si>
  <si>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</si>
  <si>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</si>
  <si>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</si>
  <si>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</si>
  <si>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</si>
  <si>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</si>
  <si>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</si>
  <si>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</si>
  <si>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</si>
  <si>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</si>
  <si>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</si>
  <si>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</si>
  <si>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</si>
  <si>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</si>
  <si>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</si>
  <si>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</si>
  <si>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</si>
  <si>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</si>
  <si>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</si>
  <si>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</si>
  <si>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</si>
  <si>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</si>
  <si>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</si>
  <si>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</si>
  <si>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</si>
  <si>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</si>
  <si>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</si>
  <si>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</si>
  <si>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</si>
  <si>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</si>
  <si>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</si>
  <si>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</si>
  <si>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</si>
  <si>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</si>
  <si>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</si>
  <si>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</si>
  <si>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</si>
  <si>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</si>
  <si>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</si>
  <si>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</si>
  <si>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</si>
  <si>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</si>
  <si>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</si>
  <si>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</si>
  <si>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</si>
  <si>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</si>
  <si>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</si>
  <si>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</si>
  <si>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</si>
  <si>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</si>
  <si>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</si>
  <si>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</si>
  <si>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</si>
  <si>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</si>
  <si>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</si>
  <si>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</si>
  <si>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</si>
  <si>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</si>
  <si>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</si>
  <si>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</si>
  <si>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</si>
  <si>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</si>
  <si>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</si>
  <si>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</si>
  <si>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</si>
  <si>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</si>
  <si>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</si>
  <si>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</si>
  <si>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</si>
  <si>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</si>
  <si>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</si>
  <si>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</si>
  <si>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</si>
  <si>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</si>
  <si>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</si>
  <si>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</si>
  <si>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</si>
  <si>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</si>
  <si>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</si>
  <si>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</si>
  <si>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</si>
  <si>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</si>
  <si>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</si>
  <si>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</si>
  <si>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</si>
  <si>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</si>
  <si>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</si>
  <si>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</si>
  <si>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</si>
  <si>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</si>
  <si>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</si>
  <si>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</si>
  <si>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</si>
  <si>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</si>
  <si>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</si>
  <si>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</si>
  <si>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</si>
  <si>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</si>
  <si>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</si>
  <si>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</si>
  <si>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</si>
  <si>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</si>
  <si>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</si>
  <si>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</si>
  <si>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</si>
  <si>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</si>
  <si>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</si>
  <si>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</si>
  <si>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</si>
  <si>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</si>
  <si>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</si>
  <si>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</si>
  <si>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</si>
  <si>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</si>
  <si>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</si>
  <si>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</si>
  <si>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</si>
  <si>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</si>
  <si>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</si>
  <si>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</si>
  <si>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</si>
  <si>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</si>
  <si>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</si>
  <si>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</si>
  <si>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</si>
  <si>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</si>
  <si>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</si>
  <si>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</si>
  <si>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</si>
  <si>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</si>
  <si>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</si>
  <si>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</si>
  <si>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</si>
  <si>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</si>
  <si>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</si>
  <si>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</si>
  <si>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</si>
  <si>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</si>
  <si>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</si>
  <si>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</si>
  <si>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</si>
  <si>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</si>
  <si>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</si>
  <si>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</si>
  <si>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</si>
  <si>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</si>
  <si>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</si>
  <si>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</si>
  <si>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</si>
  <si>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</si>
  <si>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</si>
  <si>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</si>
  <si>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</si>
  <si>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</si>
  <si>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</si>
  <si>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</si>
  <si>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</si>
  <si>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</si>
  <si>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</si>
  <si>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</si>
  <si>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</si>
  <si>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</si>
  <si>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</si>
  <si>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</si>
  <si>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</si>
  <si>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</si>
  <si>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</si>
  <si>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</si>
  <si>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</si>
  <si>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</si>
  <si>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</si>
  <si>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</si>
  <si>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</si>
  <si>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</si>
  <si>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</si>
  <si>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</si>
  <si>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</si>
  <si>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</si>
  <si>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</si>
  <si>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</si>
  <si>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</si>
  <si>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</si>
  <si>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</si>
  <si>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</si>
  <si>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</si>
  <si>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</si>
  <si>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</si>
  <si>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</si>
  <si>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</si>
  <si>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</si>
  <si>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</si>
  <si>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</si>
  <si>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</si>
  <si>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</si>
  <si>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</si>
  <si>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</si>
  <si>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</si>
  <si>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</si>
  <si>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</si>
  <si>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</si>
  <si>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</si>
  <si>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</si>
  <si>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</si>
  <si>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</si>
  <si>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</si>
  <si>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</si>
  <si>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</si>
  <si>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</si>
  <si>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</si>
  <si>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</si>
  <si>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</si>
  <si>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</si>
  <si>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</si>
  <si>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</si>
  <si>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</si>
  <si>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</si>
  <si>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</si>
  <si>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</si>
  <si>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</si>
  <si>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</si>
  <si>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</si>
  <si>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</si>
  <si>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</si>
  <si>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</si>
  <si>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</si>
  <si>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</si>
  <si>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</si>
  <si>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</si>
  <si>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</si>
  <si>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</si>
  <si>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</si>
  <si>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</si>
  <si>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</si>
  <si>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</si>
  <si>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</si>
  <si>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</si>
  <si>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</si>
  <si>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</si>
  <si>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</si>
  <si>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</si>
  <si>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</si>
  <si>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</si>
  <si>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</si>
  <si>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</si>
  <si>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</si>
  <si>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</si>
  <si>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</si>
  <si>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</si>
  <si>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</si>
  <si>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</si>
  <si>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</si>
  <si>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</si>
  <si>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</si>
  <si>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</si>
  <si>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</si>
  <si>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</si>
  <si>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</si>
  <si>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</si>
  <si>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</si>
  <si>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</si>
  <si>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</si>
  <si>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</si>
  <si>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</si>
  <si>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</si>
  <si>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</si>
  <si>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</si>
  <si>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</si>
  <si>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</si>
  <si>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</si>
  <si>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</si>
  <si>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</si>
  <si>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</si>
  <si>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</si>
  <si>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</si>
  <si>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</si>
  <si>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</si>
  <si>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</si>
  <si>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</si>
  <si>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</si>
  <si>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</si>
  <si>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</si>
  <si>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</si>
  <si>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</si>
  <si>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</si>
  <si>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</si>
  <si>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</si>
  <si>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</si>
  <si>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</si>
  <si>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</si>
  <si>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</si>
  <si>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</si>
  <si>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</si>
  <si>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</si>
  <si>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</si>
  <si>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</si>
  <si>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</si>
  <si>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</si>
  <si>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</si>
  <si>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</si>
  <si>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</si>
  <si>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</si>
  <si>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</si>
  <si>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</si>
  <si>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</si>
  <si>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</si>
  <si>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</si>
  <si>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</si>
  <si>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</si>
  <si>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</si>
  <si>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</si>
  <si>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</si>
  <si>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</si>
  <si>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</si>
  <si>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</si>
  <si>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</si>
  <si>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</si>
  <si>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</si>
  <si>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</si>
  <si>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</si>
  <si>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</si>
  <si>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</si>
  <si>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</si>
  <si>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</si>
  <si>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</si>
  <si>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</si>
  <si>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</si>
  <si>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</si>
  <si>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</si>
  <si>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</si>
  <si>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</si>
  <si>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</si>
  <si>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</si>
  <si>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</si>
  <si>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</si>
  <si>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</si>
  <si>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</si>
  <si>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</si>
  <si>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</si>
  <si>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</si>
  <si>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</si>
  <si>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</si>
  <si>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</si>
  <si>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</si>
  <si>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</si>
  <si>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</si>
  <si>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</si>
  <si>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</si>
  <si>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</si>
  <si>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</si>
  <si>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</si>
  <si>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</si>
  <si>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</si>
  <si>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</si>
  <si>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</si>
  <si>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</si>
  <si>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</si>
  <si>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</si>
  <si>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</si>
  <si>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</si>
  <si>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</si>
  <si>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</si>
  <si>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</si>
  <si>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</si>
  <si>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</si>
  <si>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</si>
  <si>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</si>
  <si>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</si>
  <si>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</si>
  <si>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</si>
  <si>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</si>
  <si>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</si>
  <si>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</si>
  <si>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</si>
  <si>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</si>
  <si>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</si>
  <si>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</si>
  <si>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</si>
  <si>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</si>
  <si>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</si>
  <si>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</si>
  <si>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</si>
  <si>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</si>
  <si>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</si>
  <si>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</si>
  <si>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</si>
  <si>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</si>
  <si>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</si>
  <si>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</si>
  <si>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</si>
  <si>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</si>
  <si>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</si>
  <si>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</si>
  <si>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</si>
  <si>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</si>
  <si>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</si>
  <si>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</si>
  <si>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</si>
  <si>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</si>
  <si>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</si>
  <si>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</si>
  <si>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</si>
  <si>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</si>
  <si>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</si>
  <si>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</si>
  <si>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</si>
  <si>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</si>
  <si>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</si>
  <si>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</si>
  <si>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</si>
  <si>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</si>
  <si>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</si>
  <si>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</si>
  <si>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</si>
  <si>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</si>
  <si>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</si>
  <si>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</si>
  <si>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</si>
  <si>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</si>
  <si>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</si>
  <si>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</si>
  <si>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</si>
  <si>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</si>
  <si>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</si>
  <si>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</si>
  <si>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</si>
  <si>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</si>
  <si>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</si>
  <si>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</si>
  <si>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</si>
  <si>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</si>
  <si>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</si>
  <si>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</si>
  <si>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</si>
  <si>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</si>
  <si>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</si>
  <si>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</si>
  <si>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</si>
  <si>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</si>
  <si>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</si>
  <si>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</si>
  <si>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</si>
  <si>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</si>
  <si>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</si>
  <si>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</si>
  <si>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</si>
  <si>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</si>
  <si>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</si>
  <si>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</si>
  <si>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</si>
  <si>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</si>
  <si>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</si>
  <si>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</si>
  <si>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</si>
  <si>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</si>
  <si>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</si>
  <si>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</si>
  <si>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</si>
  <si>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</si>
  <si>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</si>
  <si>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</si>
  <si>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</si>
  <si>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</si>
  <si>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</si>
  <si>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</si>
  <si>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</si>
  <si>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</si>
  <si>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</si>
  <si>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</si>
  <si>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</si>
  <si>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</si>
  <si>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</si>
  <si>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</si>
  <si>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</si>
  <si>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</si>
  <si>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</si>
  <si>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</si>
  <si>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</si>
  <si>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</si>
  <si>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</si>
  <si>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</si>
  <si>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</si>
  <si>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</si>
  <si>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</si>
  <si>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</si>
  <si>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</si>
  <si>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</si>
  <si>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</si>
  <si>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</si>
  <si>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</si>
  <si>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</si>
  <si>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</si>
  <si>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</si>
  <si>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</si>
  <si>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</si>
  <si>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</si>
  <si>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</si>
  <si>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</si>
  <si>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</si>
  <si>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</si>
  <si>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</si>
  <si>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</si>
  <si>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</si>
  <si>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</si>
  <si>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</si>
  <si>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</si>
  <si>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</si>
  <si>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</si>
  <si>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</si>
  <si>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</si>
  <si>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</si>
  <si>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</si>
  <si>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</si>
  <si>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</si>
  <si>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</si>
  <si>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</si>
  <si>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</si>
  <si>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</si>
  <si>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</si>
  <si>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</si>
  <si>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</si>
  <si>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</si>
  <si>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</si>
  <si>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</si>
  <si>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</si>
  <si>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</si>
  <si>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</si>
  <si>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</si>
  <si>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</si>
  <si>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</si>
  <si>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</si>
  <si>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</si>
  <si>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</si>
  <si>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</si>
  <si>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</si>
  <si>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</si>
  <si>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</si>
  <si>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</si>
  <si>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</si>
  <si>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</si>
  <si>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</si>
  <si>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</si>
  <si>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</si>
  <si>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</si>
  <si>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</si>
  <si>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</si>
  <si>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</si>
  <si>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</si>
  <si>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</si>
  <si>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</si>
  <si>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</si>
  <si>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</si>
  <si>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</si>
  <si>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</si>
  <si>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</si>
  <si>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</si>
  <si>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</si>
  <si>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</si>
  <si>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</si>
  <si>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</si>
  <si>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</si>
  <si>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</si>
  <si>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</si>
  <si>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</si>
  <si>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</si>
  <si>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</si>
  <si>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</si>
  <si>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</si>
  <si>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</si>
  <si>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</si>
  <si>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</si>
  <si>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</si>
  <si>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</si>
  <si>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</si>
  <si>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</si>
  <si>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</si>
  <si>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</si>
  <si>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</si>
  <si>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</si>
  <si>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</si>
  <si>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</si>
  <si>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</si>
  <si>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</si>
  <si>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</si>
  <si>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</si>
  <si>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</si>
  <si>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</si>
  <si>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</si>
  <si>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</si>
  <si>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</si>
  <si>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</si>
  <si>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</si>
  <si>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</si>
  <si>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</si>
  <si>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</si>
  <si>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</si>
  <si>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</si>
  <si>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</si>
  <si>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</si>
  <si>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</si>
  <si>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</si>
  <si>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</si>
  <si>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</si>
  <si>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</si>
  <si>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</si>
  <si>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</si>
  <si>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</si>
  <si>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</si>
  <si>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</si>
  <si>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</si>
  <si>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</si>
  <si>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</si>
  <si>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</si>
  <si>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</si>
  <si>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</si>
  <si>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</si>
  <si>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</si>
  <si>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</si>
  <si>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</si>
  <si>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</si>
  <si>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</si>
  <si>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</si>
  <si>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</si>
  <si>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</si>
  <si>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</si>
  <si>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</si>
  <si>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</si>
  <si>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</si>
  <si>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</si>
  <si>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</si>
  <si>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</si>
  <si>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</si>
  <si>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</si>
  <si>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</si>
  <si>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</si>
  <si>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</si>
  <si>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</si>
  <si>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</si>
  <si>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</si>
  <si>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</si>
  <si>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</si>
  <si>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</si>
  <si>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</si>
  <si>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</si>
  <si>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</si>
  <si>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</si>
  <si>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</si>
  <si>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</si>
  <si>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</si>
  <si>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</si>
  <si>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</si>
  <si>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</si>
  <si>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</si>
  <si>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</si>
  <si>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</si>
  <si>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</si>
  <si>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</si>
  <si>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</si>
  <si>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</si>
  <si>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</si>
  <si>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</si>
  <si>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</si>
  <si>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</si>
  <si>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</si>
  <si>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</si>
  <si>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</si>
  <si>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</si>
  <si>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</si>
  <si>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</si>
  <si>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</si>
  <si>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</si>
  <si>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</si>
  <si>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</si>
  <si>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</si>
  <si>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</si>
  <si>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</si>
  <si>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</si>
  <si>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</si>
  <si>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</si>
  <si>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</si>
  <si>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</si>
  <si>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</si>
  <si>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</si>
  <si>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</si>
  <si>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</si>
  <si>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</si>
  <si>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</si>
  <si>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</si>
  <si>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</si>
  <si>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</si>
  <si>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</si>
  <si>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</si>
  <si>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</si>
  <si>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</si>
  <si>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</si>
  <si>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</si>
  <si>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</si>
  <si>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</si>
  <si>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</si>
  <si>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</si>
  <si>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</si>
  <si>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</si>
  <si>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</si>
  <si>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</si>
  <si>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</si>
  <si>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</si>
  <si>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</si>
  <si>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</si>
  <si>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</si>
  <si>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</si>
  <si>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</si>
  <si>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</si>
  <si>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</si>
  <si>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</si>
  <si>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</si>
  <si>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</si>
  <si>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</si>
  <si>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</si>
  <si>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</si>
  <si>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</si>
  <si>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</si>
  <si>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</si>
  <si>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</si>
  <si>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</si>
  <si>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</si>
  <si>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</si>
  <si>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</si>
  <si>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</si>
  <si>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</si>
  <si>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</si>
  <si>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</si>
  <si>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</si>
  <si>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</si>
  <si>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</si>
  <si>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</si>
  <si>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</si>
  <si>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</si>
  <si>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</si>
  <si>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</si>
  <si>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</si>
  <si>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</si>
  <si>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</si>
  <si>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</si>
  <si>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</si>
  <si>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</si>
  <si>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</si>
  <si>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</si>
  <si>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</si>
  <si>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</si>
  <si>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</si>
  <si>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</si>
  <si>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</si>
  <si>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</si>
  <si>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</si>
  <si>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</si>
  <si>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</si>
  <si>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</si>
  <si>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</si>
  <si>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</si>
  <si>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</si>
  <si>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</si>
  <si>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</si>
  <si>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</si>
  <si>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</si>
  <si>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</si>
  <si>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</si>
  <si>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</si>
  <si>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</si>
  <si>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</si>
  <si>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</si>
  <si>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</si>
  <si>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</si>
  <si>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</si>
  <si>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</si>
  <si>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</si>
  <si>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</si>
  <si>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</si>
  <si>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</si>
  <si>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</si>
  <si>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</si>
  <si>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</si>
  <si>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</si>
  <si>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</si>
  <si>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</si>
  <si>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</si>
  <si>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</si>
  <si>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</si>
  <si>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</si>
  <si>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</si>
  <si>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</si>
  <si>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</si>
  <si>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</si>
  <si>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</si>
  <si>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</si>
  <si>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</si>
  <si>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</si>
  <si>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</si>
  <si>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</si>
  <si>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</si>
  <si>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</si>
  <si>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</si>
  <si>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</si>
  <si>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</si>
  <si>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</si>
  <si>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</si>
  <si>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</si>
  <si>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</si>
  <si>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</si>
  <si>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</si>
  <si>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</si>
  <si>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</si>
  <si>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</si>
  <si>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</si>
  <si>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</si>
  <si>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</si>
  <si>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</si>
  <si>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</si>
  <si>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</si>
  <si>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</si>
  <si>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</si>
  <si>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</si>
  <si>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</si>
  <si>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</si>
  <si>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</si>
  <si>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</si>
  <si>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</si>
  <si>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</si>
  <si>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</si>
  <si>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</si>
  <si>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</si>
  <si>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</si>
  <si>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</si>
  <si>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</si>
  <si>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</si>
  <si>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</si>
  <si>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</si>
  <si>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</si>
  <si>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</si>
  <si>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</si>
  <si>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</si>
  <si>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</si>
  <si>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</si>
  <si>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</si>
  <si>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</si>
  <si>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</si>
  <si>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</si>
  <si>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</si>
  <si>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</si>
  <si>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</si>
  <si>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</si>
  <si>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</si>
  <si>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</si>
  <si>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</si>
  <si>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</si>
  <si>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</si>
  <si>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</si>
  <si>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</si>
  <si>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</si>
  <si>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</si>
  <si>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</si>
  <si>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</si>
  <si>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</si>
  <si>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</si>
  <si>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</si>
  <si>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</si>
  <si>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</si>
  <si>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</si>
  <si>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</si>
  <si>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</si>
  <si>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</si>
  <si>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</si>
  <si>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</si>
  <si>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</si>
  <si>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</si>
  <si>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</si>
  <si>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</si>
  <si>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</si>
  <si>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</si>
  <si>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</si>
  <si>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</si>
  <si>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</si>
  <si>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</si>
  <si>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</si>
  <si>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</si>
  <si>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</si>
  <si>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</si>
  <si>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</si>
  <si>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</si>
  <si>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</si>
  <si>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</si>
  <si>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</si>
  <si>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</si>
  <si>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</si>
  <si>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</si>
  <si>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</si>
  <si>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</si>
  <si>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</si>
  <si>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</si>
  <si>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</si>
  <si>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</si>
  <si>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</si>
  <si>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</si>
  <si>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</si>
  <si>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</si>
  <si>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</si>
  <si>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</si>
  <si>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</si>
  <si>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</si>
  <si>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</si>
  <si>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</si>
  <si>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</si>
  <si>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</si>
  <si>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</si>
  <si>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</si>
  <si>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</si>
  <si>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</si>
  <si>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</si>
  <si>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</si>
  <si>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</si>
  <si>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</si>
  <si>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</si>
  <si>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</si>
  <si>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</si>
  <si>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</si>
  <si>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</si>
  <si>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</si>
  <si>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</si>
  <si>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</si>
  <si>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</si>
  <si>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</si>
  <si>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</si>
  <si>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</si>
  <si>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</si>
  <si>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</si>
  <si>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</si>
  <si>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</si>
  <si>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</si>
  <si>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</si>
  <si>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</si>
  <si>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</si>
  <si>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</si>
  <si>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</si>
  <si>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</si>
  <si>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</si>
  <si>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</si>
  <si>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</si>
  <si>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</si>
  <si>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</si>
  <si>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</si>
  <si>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</si>
  <si>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</si>
  <si>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</si>
  <si>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</si>
  <si>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</si>
  <si>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</si>
  <si>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</si>
  <si>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</si>
  <si>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</si>
  <si>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</si>
  <si>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</si>
  <si>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</si>
  <si>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</si>
  <si>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</si>
  <si>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</si>
  <si>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</si>
  <si>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</si>
  <si>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</si>
  <si>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</si>
  <si>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</si>
  <si>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</si>
  <si>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</si>
  <si>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</si>
  <si>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</si>
  <si>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</si>
  <si>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</si>
  <si>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</si>
  <si>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</si>
  <si>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</si>
  <si>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</si>
  <si>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</si>
  <si>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</si>
  <si>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</si>
  <si>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</si>
  <si>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</si>
  <si>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</si>
  <si>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</si>
  <si>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</si>
  <si>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</si>
  <si>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</si>
  <si>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</si>
  <si>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</si>
  <si>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</si>
  <si>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</si>
  <si>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</si>
  <si>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</si>
  <si>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</si>
  <si>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</si>
  <si>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</si>
  <si>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</si>
  <si>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</si>
  <si>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</si>
  <si>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</si>
  <si>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</si>
  <si>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</si>
  <si>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</si>
  <si>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</si>
  <si>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</si>
  <si>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</si>
  <si>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</si>
  <si>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</si>
  <si>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</si>
  <si>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</si>
  <si>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</si>
  <si>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</si>
  <si>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</si>
  <si>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</si>
  <si>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</si>
  <si>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</si>
  <si>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</si>
  <si>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</si>
  <si>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</si>
  <si>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</si>
  <si>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</si>
  <si>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</si>
  <si>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</si>
  <si>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</si>
  <si>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</si>
  <si>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</si>
  <si>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</si>
  <si>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</si>
  <si>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</si>
  <si>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</si>
  <si>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</si>
  <si>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</si>
  <si>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</si>
  <si>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</si>
  <si>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</si>
  <si>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</si>
  <si>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</si>
  <si>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</si>
  <si>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</si>
  <si>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</si>
  <si>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</si>
  <si>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</si>
  <si>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</si>
  <si>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</si>
  <si>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</si>
  <si>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</si>
  <si>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</si>
  <si>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</si>
  <si>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</si>
  <si>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</si>
  <si>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</si>
  <si>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</si>
  <si>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</si>
  <si>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</si>
  <si>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</si>
  <si>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</si>
  <si>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</si>
  <si>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</si>
  <si>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</si>
  <si>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</si>
  <si>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</si>
  <si>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</si>
  <si>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</si>
  <si>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</si>
  <si>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</si>
  <si>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</si>
  <si>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</si>
  <si>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</si>
  <si>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</si>
  <si>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</si>
  <si>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</si>
  <si>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</si>
  <si>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</si>
  <si>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</si>
  <si>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</si>
  <si>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</si>
  <si>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</si>
  <si>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</si>
  <si>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</si>
  <si>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</si>
  <si>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</si>
  <si>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</si>
  <si>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</si>
  <si>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</si>
  <si>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</si>
  <si>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</si>
  <si>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</si>
  <si>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</si>
  <si>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</si>
  <si>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</si>
  <si>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</si>
  <si>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</si>
  <si>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</si>
  <si>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</si>
  <si>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</si>
  <si>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</si>
  <si>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</si>
  <si>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</si>
  <si>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</si>
  <si>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</si>
  <si>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</si>
  <si>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</si>
  <si>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</si>
  <si>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</si>
  <si>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</si>
  <si>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</si>
  <si>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</si>
  <si>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</si>
  <si>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</si>
  <si>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</si>
  <si>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</si>
  <si>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</si>
  <si>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</si>
  <si>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</si>
  <si>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</si>
  <si>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</si>
  <si>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</si>
  <si>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</si>
  <si>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</si>
  <si>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</si>
  <si>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</si>
  <si>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</si>
  <si>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</si>
  <si>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</si>
  <si>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</si>
  <si>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</si>
  <si>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</si>
  <si>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</si>
  <si>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</si>
  <si>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</si>
  <si>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</si>
  <si>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</si>
  <si>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</si>
  <si>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</si>
  <si>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</si>
  <si>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</si>
  <si>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</si>
  <si>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</si>
  <si>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</si>
  <si>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</si>
  <si>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</si>
  <si>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</si>
  <si>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</si>
  <si>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</si>
  <si>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</si>
  <si>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</si>
  <si>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</si>
  <si>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</si>
  <si>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</si>
  <si>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</si>
  <si>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</si>
  <si>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</si>
  <si>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</si>
  <si>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</si>
  <si>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</si>
  <si>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</si>
  <si>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</si>
  <si>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</si>
  <si>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</si>
  <si>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</si>
  <si>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</si>
  <si>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</si>
  <si>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</si>
  <si>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</si>
  <si>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</si>
  <si>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</si>
  <si>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</si>
  <si>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</si>
  <si>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</si>
  <si>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</si>
  <si>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</si>
  <si>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</si>
  <si>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</si>
  <si>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</si>
  <si>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</si>
  <si>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</si>
  <si>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</si>
  <si>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</si>
  <si>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</si>
  <si>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</si>
  <si>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</si>
  <si>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</si>
  <si>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</si>
  <si>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</si>
  <si>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</si>
  <si>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</si>
  <si>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</si>
  <si>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</si>
  <si>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</si>
  <si>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</si>
  <si>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</si>
  <si>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</si>
  <si>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</si>
  <si>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</si>
  <si>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</si>
  <si>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</si>
  <si>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</si>
  <si>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</si>
  <si>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</si>
  <si>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</si>
  <si>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</si>
  <si>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</si>
  <si>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</si>
  <si>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</si>
  <si>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</si>
  <si>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</si>
  <si>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</si>
  <si>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</si>
  <si>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</si>
  <si>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</si>
  <si>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</si>
  <si>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</si>
  <si>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</si>
  <si>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</si>
  <si>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</si>
  <si>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</si>
  <si>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</si>
  <si>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</si>
  <si>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</si>
  <si>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</si>
  <si>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</si>
  <si>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</si>
  <si>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</si>
  <si>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</si>
  <si>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</si>
  <si>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</si>
  <si>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</si>
  <si>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</si>
  <si>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</si>
  <si>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</si>
  <si>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</si>
  <si>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</si>
  <si>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</si>
  <si>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</si>
  <si>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</si>
  <si>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</si>
  <si>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</si>
  <si>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</si>
  <si>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</si>
  <si>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</si>
  <si>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</si>
  <si>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</si>
  <si>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</si>
  <si>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</si>
  <si>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</si>
  <si>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</si>
  <si>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</si>
  <si>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</si>
  <si>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</si>
  <si>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</si>
  <si>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</si>
  <si>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</si>
  <si>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</si>
  <si>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</si>
  <si>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</si>
  <si>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</si>
  <si>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</si>
  <si>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</si>
  <si>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</si>
  <si>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</si>
  <si>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</si>
  <si>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</si>
  <si>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>1347373#1</t>
  </si>
  <si>
    <t>Bioquimica.cl</t>
  </si>
  <si>
    <t>2392382#1</t>
  </si>
  <si>
    <t>Cobitat</t>
  </si>
  <si>
    <t>3867287#1</t>
  </si>
  <si>
    <t>Gomez Roco</t>
  </si>
  <si>
    <t>1329080#1</t>
  </si>
  <si>
    <t>EXO S.A. - Soluciones Tecnológicas</t>
  </si>
  <si>
    <t>2394114#1</t>
  </si>
  <si>
    <t>Carpeal</t>
  </si>
  <si>
    <t>4543458#1</t>
  </si>
  <si>
    <t>Cospb</t>
  </si>
  <si>
    <t>4590983#1</t>
  </si>
  <si>
    <t>Filabe</t>
  </si>
  <si>
    <t>3876430#1</t>
  </si>
  <si>
    <t>Santateresita</t>
  </si>
  <si>
    <t>2446700#3</t>
  </si>
  <si>
    <t>C.E.P. Santa Maria De Brena E.I.R.L.</t>
  </si>
  <si>
    <t>1264047#1</t>
  </si>
  <si>
    <t>Frigerio Nelson Horacio</t>
  </si>
  <si>
    <t>1843590#1</t>
  </si>
  <si>
    <t>Andariega SRL</t>
  </si>
  <si>
    <t>1629451#1</t>
  </si>
  <si>
    <t>ISCOT Services</t>
  </si>
  <si>
    <t>2308890#1</t>
  </si>
  <si>
    <t>Bestchem</t>
  </si>
  <si>
    <t>902412#1</t>
  </si>
  <si>
    <t>Alubrysl</t>
  </si>
  <si>
    <t>1101658#1</t>
  </si>
  <si>
    <t>Plastigas Mar del Plata SA</t>
  </si>
  <si>
    <t>2143072#1</t>
  </si>
  <si>
    <t>suministro de obras</t>
  </si>
  <si>
    <t>942879#1</t>
  </si>
  <si>
    <t>MoRPH Argentina</t>
  </si>
  <si>
    <t>1746171#1</t>
  </si>
  <si>
    <t>ARS Technologies</t>
  </si>
  <si>
    <t>1209330#1</t>
  </si>
  <si>
    <t>Construcmaderas</t>
  </si>
  <si>
    <t>1143647#1</t>
  </si>
  <si>
    <t>Huge</t>
  </si>
  <si>
    <t>752966#2</t>
  </si>
  <si>
    <t>Intenisa</t>
  </si>
  <si>
    <t>3048020#1</t>
  </si>
  <si>
    <t>Ola</t>
  </si>
  <si>
    <t>1548843#1</t>
  </si>
  <si>
    <t>Blau</t>
  </si>
  <si>
    <t>1748428#2</t>
  </si>
  <si>
    <t>todoloquebusco</t>
  </si>
  <si>
    <t>1591630#1</t>
  </si>
  <si>
    <t>Uniples S.A.</t>
  </si>
  <si>
    <t>533004#3</t>
  </si>
  <si>
    <t>Redcol S.A.</t>
  </si>
  <si>
    <t>1023639#1</t>
  </si>
  <si>
    <t>Ecuavisa</t>
  </si>
  <si>
    <t>1414832#1</t>
  </si>
  <si>
    <t>Apeec</t>
  </si>
  <si>
    <t>1477809#1</t>
  </si>
  <si>
    <t>Sinergiagrupo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</si>
</sst>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0" fillId="0" fontId="46" numFmtId="49" xfId="0" applyAlignment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7706ac31-7992-4151-8cad-94fb983aa3de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2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m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m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</sharedItems>
    </cacheField>
    <cacheField name="Investigator" numFmtId="0">
      <sharedItems containsBlank="1">
        <s v="Francisco"/>
        <s v="Maria Celeste"/>
        <s v="Noel"/>
        <s v="Antonella"/>
        <s v="Clar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m/>
      </sharedItems>
    </cacheField>
    <cacheField name="Country" numFmtId="0">
      <sharedItems containsBlank="1">
        <s v="Paraguay"/>
        <s v="Chile"/>
        <s v="Colombia"/>
        <s v="Argentina"/>
        <s v="Bolivia"/>
        <s v="Peru"/>
        <s v="Ecuador"/>
        <m/>
      </sharedItems>
    </cacheField>
    <cacheField name="Investigator" numFmtId="0">
      <sharedItems containsBlank="1">
        <s v="Mariadelaida"/>
        <s v="Rafael"/>
        <s v="Enrique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t="default"/>
      </items>
    </pivotField>
    <pivotField name="Country" axis="axisRow" dataField="1" compact="0" outline="0" multipleItemSelectionAllowed="1" showAll="0" sortType="ascending">
      <items>
        <item x="7"/>
        <item x="3"/>
        <item x="4"/>
        <item x="1"/>
        <item x="2"/>
        <item x="6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2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7706ac31-7992-4151-8cad-94fb983aa3de}" id="{653eceae-557b-453a-baf4-94c50a7a6fc7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16</v>
      </c>
      <c r="F19" s="246">
        <f t="shared" ref="F19:F21" si="1">C19-E19</f>
        <v>14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22</v>
      </c>
      <c r="L19" s="33">
        <f t="shared" ref="L19:L23" si="2">I19-K19</f>
        <v>-17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3</v>
      </c>
      <c r="F20" s="246">
        <f t="shared" si="1"/>
        <v>12</v>
      </c>
      <c r="G20" s="10"/>
      <c r="H20" s="22" t="s">
        <v>18</v>
      </c>
      <c r="I20" s="36">
        <v>10.0</v>
      </c>
      <c r="J20" s="10"/>
      <c r="K20" s="33">
        <f>SUMIF($K$4:$K$17, H20,$L$4:$L$17)</f>
        <v>5</v>
      </c>
      <c r="L20" s="33">
        <f t="shared" si="2"/>
        <v>5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12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13</v>
      </c>
      <c r="L21" s="33">
        <f t="shared" si="2"/>
        <v>7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18</v>
      </c>
      <c r="L22" s="33">
        <f t="shared" si="2"/>
        <v>-3</v>
      </c>
    </row>
    <row r="23" outlineLevel="1">
      <c r="D23" s="10"/>
      <c r="E23" s="37" t="s">
        <v>41</v>
      </c>
      <c r="F23" s="38">
        <f>SUM(F19:F21)</f>
        <v>29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5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 t="s">
        <v>21</v>
      </c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 t="s">
        <v>27</v>
      </c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 t="s">
        <v>27</v>
      </c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/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/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/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/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/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/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/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/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/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 t="s">
        <v>19</v>
      </c>
      <c r="F17" s="274" t="s">
        <v>2344</v>
      </c>
      <c r="G17" s="61"/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/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/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/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/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/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/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/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/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/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/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/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/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/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/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/>
      <c r="J33" s="382">
        <v>46175.0</v>
      </c>
      <c r="K33" s="273" t="s">
        <v>3798</v>
      </c>
      <c r="L33" s="273" t="s">
        <v>3799</v>
      </c>
      <c r="M33" s="398" t="s">
        <v>23</v>
      </c>
      <c r="N33" s="431" t="s">
        <v>2338</v>
      </c>
      <c r="O33" s="61"/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/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/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/>
      <c r="J35" s="382">
        <v>46175.0</v>
      </c>
      <c r="K35" s="273" t="s">
        <v>3806</v>
      </c>
      <c r="L35" s="273" t="s">
        <v>3807</v>
      </c>
      <c r="M35" s="398" t="s">
        <v>21</v>
      </c>
      <c r="N35" s="431" t="s">
        <v>2338</v>
      </c>
      <c r="O35" s="61"/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/>
      <c r="C36" s="109"/>
      <c r="D36" s="373"/>
      <c r="E36" s="58"/>
      <c r="F36" s="344"/>
      <c r="G36" s="61"/>
      <c r="H36" s="269"/>
      <c r="J36" s="380">
        <v>46175.0</v>
      </c>
      <c r="K36" s="294" t="s">
        <v>3808</v>
      </c>
      <c r="L36" s="294" t="s">
        <v>3809</v>
      </c>
      <c r="M36" s="396" t="s">
        <v>18</v>
      </c>
      <c r="N36" s="391" t="s">
        <v>2338</v>
      </c>
      <c r="O36" s="61"/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/>
      <c r="C37" s="109"/>
      <c r="D37" s="373"/>
      <c r="E37" s="58"/>
      <c r="F37" s="344"/>
      <c r="G37" s="109"/>
      <c r="H37" s="269"/>
      <c r="J37" s="270">
        <v>46175.0</v>
      </c>
      <c r="K37" s="109" t="s">
        <v>3810</v>
      </c>
      <c r="L37" s="109" t="s">
        <v>3811</v>
      </c>
      <c r="M37" s="58" t="s">
        <v>11</v>
      </c>
      <c r="N37" s="58" t="s">
        <v>20</v>
      </c>
      <c r="O37" s="61"/>
      <c r="P37" s="269"/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/>
      <c r="C38" s="109"/>
      <c r="D38" s="373"/>
      <c r="E38" s="58"/>
      <c r="F38" s="344"/>
      <c r="G38" s="61"/>
      <c r="H38" s="269"/>
      <c r="J38" s="270">
        <v>46175.0</v>
      </c>
      <c r="K38" s="109" t="s">
        <v>3812</v>
      </c>
      <c r="L38" s="109" t="s">
        <v>3813</v>
      </c>
      <c r="M38" s="58" t="s">
        <v>11</v>
      </c>
      <c r="N38" s="58" t="s">
        <v>20</v>
      </c>
      <c r="O38" s="61"/>
      <c r="P38" s="269"/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/>
      <c r="C39" s="109"/>
      <c r="D39" s="373"/>
      <c r="E39" s="58"/>
      <c r="F39" s="344"/>
      <c r="G39" s="61"/>
      <c r="H39" s="269"/>
      <c r="J39" s="270">
        <v>46175.0</v>
      </c>
      <c r="K39" s="109" t="s">
        <v>3814</v>
      </c>
      <c r="L39" s="109" t="s">
        <v>3815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/>
      <c r="C40" s="109"/>
      <c r="D40" s="373"/>
      <c r="E40" s="58"/>
      <c r="F40" s="344"/>
      <c r="G40" s="109"/>
      <c r="H40" s="269"/>
      <c r="J40" s="270">
        <v>46175.0</v>
      </c>
      <c r="K40" s="109" t="s">
        <v>3816</v>
      </c>
      <c r="L40" s="109" t="s">
        <v>3817</v>
      </c>
      <c r="M40" s="58" t="s">
        <v>11</v>
      </c>
      <c r="N40" s="58" t="s">
        <v>20</v>
      </c>
      <c r="O40" s="61"/>
      <c r="P40" s="269"/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/>
      <c r="C41" s="109"/>
      <c r="D41" s="373"/>
      <c r="E41" s="58"/>
      <c r="F41" s="344"/>
      <c r="G41" s="61"/>
      <c r="H41" s="269"/>
      <c r="J41" s="270">
        <v>46175.0</v>
      </c>
      <c r="K41" s="109" t="s">
        <v>3818</v>
      </c>
      <c r="L41" s="109" t="s">
        <v>3819</v>
      </c>
      <c r="M41" s="58" t="s">
        <v>11</v>
      </c>
      <c r="N41" s="58" t="s">
        <v>20</v>
      </c>
      <c r="O41" s="61"/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/>
      <c r="C42" s="109"/>
      <c r="D42" s="373"/>
      <c r="E42" s="58"/>
      <c r="F42" s="344"/>
      <c r="G42" s="109"/>
      <c r="H42" s="269"/>
      <c r="J42" s="270">
        <v>46175.0</v>
      </c>
      <c r="K42" s="109" t="s">
        <v>3820</v>
      </c>
      <c r="L42" s="109" t="s">
        <v>3821</v>
      </c>
      <c r="M42" s="58" t="s">
        <v>11</v>
      </c>
      <c r="N42" s="58" t="s">
        <v>20</v>
      </c>
      <c r="O42" s="61"/>
      <c r="P42" s="269"/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/>
      <c r="C43" s="109"/>
      <c r="D43" s="373"/>
      <c r="E43" s="58"/>
      <c r="F43" s="344"/>
      <c r="G43" s="61"/>
      <c r="H43" s="269"/>
      <c r="J43" s="270">
        <v>46175.0</v>
      </c>
      <c r="K43" s="109" t="s">
        <v>3822</v>
      </c>
      <c r="L43" s="109" t="s">
        <v>3823</v>
      </c>
      <c r="M43" s="58" t="s">
        <v>23</v>
      </c>
      <c r="N43" s="58" t="s">
        <v>20</v>
      </c>
      <c r="O43" s="61"/>
      <c r="P43" s="269"/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/>
      <c r="C44" s="109"/>
      <c r="D44" s="373"/>
      <c r="E44" s="58"/>
      <c r="F44" s="344"/>
      <c r="G44" s="61"/>
      <c r="H44" s="269"/>
      <c r="J44" s="270">
        <v>46175.0</v>
      </c>
      <c r="K44" s="109" t="s">
        <v>3824</v>
      </c>
      <c r="L44" s="109" t="s">
        <v>3825</v>
      </c>
      <c r="M44" s="58" t="s">
        <v>23</v>
      </c>
      <c r="N44" s="58" t="s">
        <v>20</v>
      </c>
      <c r="O44" s="61"/>
      <c r="P44" s="269"/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/>
      <c r="C45" s="109"/>
      <c r="D45" s="373"/>
      <c r="E45" s="58"/>
      <c r="F45" s="344"/>
      <c r="G45" s="109"/>
      <c r="H45" s="269"/>
      <c r="J45" s="270">
        <v>46175.0</v>
      </c>
      <c r="K45" s="109" t="s">
        <v>3826</v>
      </c>
      <c r="L45" s="109" t="s">
        <v>3827</v>
      </c>
      <c r="M45" s="58" t="s">
        <v>11</v>
      </c>
      <c r="N45" s="58" t="s">
        <v>20</v>
      </c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/>
      <c r="C46" s="109"/>
      <c r="D46" s="373"/>
      <c r="E46" s="58"/>
      <c r="F46" s="344"/>
      <c r="G46" s="61"/>
      <c r="H46" s="269"/>
      <c r="J46" s="270">
        <v>46176.0</v>
      </c>
      <c r="K46" s="109" t="s">
        <v>3828</v>
      </c>
      <c r="L46" s="109" t="s">
        <v>3829</v>
      </c>
      <c r="M46" s="58" t="s">
        <v>11</v>
      </c>
      <c r="N46" s="58" t="s">
        <v>20</v>
      </c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/>
      <c r="C47" s="109"/>
      <c r="D47" s="373"/>
      <c r="E47" s="58"/>
      <c r="F47" s="344"/>
      <c r="G47" s="61"/>
      <c r="H47" s="269"/>
      <c r="J47" s="270">
        <v>46176.0</v>
      </c>
      <c r="K47" s="109" t="s">
        <v>3830</v>
      </c>
      <c r="L47" s="109" t="s">
        <v>3831</v>
      </c>
      <c r="M47" s="58" t="s">
        <v>11</v>
      </c>
      <c r="N47" s="58" t="s">
        <v>20</v>
      </c>
      <c r="O47" s="61"/>
      <c r="P47" s="269"/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/>
      <c r="C48" s="109"/>
      <c r="D48" s="373"/>
      <c r="E48" s="58"/>
      <c r="F48" s="344"/>
      <c r="G48" s="109"/>
      <c r="H48" s="269"/>
      <c r="J48" s="270">
        <v>46176.0</v>
      </c>
      <c r="K48" s="109" t="s">
        <v>3832</v>
      </c>
      <c r="L48" s="109" t="s">
        <v>3833</v>
      </c>
      <c r="M48" s="58" t="s">
        <v>11</v>
      </c>
      <c r="N48" s="58" t="s">
        <v>20</v>
      </c>
      <c r="O48" s="61"/>
      <c r="P48" s="269"/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/>
      <c r="C49" s="109"/>
      <c r="D49" s="373"/>
      <c r="E49" s="58"/>
      <c r="F49" s="344"/>
      <c r="G49" s="61"/>
      <c r="H49" s="269"/>
      <c r="J49" s="270">
        <v>46176.0</v>
      </c>
      <c r="K49" s="109" t="s">
        <v>3834</v>
      </c>
      <c r="L49" s="109" t="s">
        <v>3835</v>
      </c>
      <c r="M49" s="58" t="s">
        <v>11</v>
      </c>
      <c r="N49" s="58" t="s">
        <v>20</v>
      </c>
      <c r="O49" s="61"/>
      <c r="P49" s="269"/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2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344"/>
      <c r="G50" s="61"/>
      <c r="H50" s="269"/>
      <c r="J50" s="270">
        <v>46176.0</v>
      </c>
      <c r="K50" s="109" t="s">
        <v>3836</v>
      </c>
      <c r="L50" s="109" t="s">
        <v>3837</v>
      </c>
      <c r="M50" s="58" t="s">
        <v>11</v>
      </c>
      <c r="N50" s="58" t="s">
        <v>20</v>
      </c>
      <c r="O50" s="61"/>
      <c r="P50" s="269"/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3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344"/>
      <c r="G51" s="61"/>
      <c r="H51" s="269"/>
      <c r="J51" s="270">
        <v>46176.0</v>
      </c>
      <c r="K51" s="109" t="s">
        <v>3838</v>
      </c>
      <c r="L51" s="109" t="s">
        <v>3839</v>
      </c>
      <c r="M51" s="58" t="s">
        <v>11</v>
      </c>
      <c r="N51" s="58" t="s">
        <v>20</v>
      </c>
      <c r="O51" s="61"/>
      <c r="P51" s="269"/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2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344"/>
      <c r="G52" s="109"/>
      <c r="H52" s="298"/>
      <c r="J52" s="270">
        <v>46176.0</v>
      </c>
      <c r="K52" s="109" t="s">
        <v>3840</v>
      </c>
      <c r="L52" s="109" t="s">
        <v>3841</v>
      </c>
      <c r="M52" s="58" t="s">
        <v>11</v>
      </c>
      <c r="N52" s="58" t="s">
        <v>20</v>
      </c>
      <c r="O52" s="61"/>
      <c r="P52" s="269"/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3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344"/>
      <c r="G53" s="61"/>
      <c r="H53" s="269"/>
      <c r="J53" s="270">
        <v>46176.0</v>
      </c>
      <c r="K53" s="109" t="s">
        <v>3842</v>
      </c>
      <c r="L53" s="109" t="s">
        <v>3843</v>
      </c>
      <c r="M53" s="58" t="s">
        <v>11</v>
      </c>
      <c r="N53" s="58" t="s">
        <v>20</v>
      </c>
      <c r="O53" s="61"/>
      <c r="P53" s="269"/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2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344"/>
      <c r="G54" s="61"/>
      <c r="H54" s="269"/>
      <c r="J54" s="403">
        <v>46176.0</v>
      </c>
      <c r="K54" s="294" t="s">
        <v>3844</v>
      </c>
      <c r="L54" s="294" t="s">
        <v>3845</v>
      </c>
      <c r="M54" s="391" t="s">
        <v>30</v>
      </c>
      <c r="N54" s="391" t="s">
        <v>2337</v>
      </c>
      <c r="O54" s="109"/>
      <c r="P54" s="269"/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4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344"/>
      <c r="G55" s="61"/>
      <c r="H55" s="269"/>
      <c r="J55" s="401">
        <v>46176.0</v>
      </c>
      <c r="K55" s="273" t="s">
        <v>3846</v>
      </c>
      <c r="L55" s="273" t="s">
        <v>3847</v>
      </c>
      <c r="M55" s="402" t="s">
        <v>21</v>
      </c>
      <c r="N55" s="402" t="s">
        <v>2337</v>
      </c>
      <c r="O55" s="61"/>
      <c r="P55" s="269"/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344"/>
      <c r="G56" s="61"/>
      <c r="H56" s="269"/>
      <c r="J56" s="403">
        <v>46176.0</v>
      </c>
      <c r="K56" s="294" t="s">
        <v>3848</v>
      </c>
      <c r="L56" s="294" t="s">
        <v>3849</v>
      </c>
      <c r="M56" s="391" t="s">
        <v>27</v>
      </c>
      <c r="N56" s="391" t="s">
        <v>2337</v>
      </c>
      <c r="O56" s="61"/>
      <c r="P56" s="269"/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344"/>
      <c r="G57" s="61"/>
      <c r="H57" s="269"/>
      <c r="J57" s="401">
        <v>46176.0</v>
      </c>
      <c r="K57" s="273" t="s">
        <v>3850</v>
      </c>
      <c r="L57" s="273" t="s">
        <v>3851</v>
      </c>
      <c r="M57" s="402" t="s">
        <v>30</v>
      </c>
      <c r="N57" s="402" t="s">
        <v>2337</v>
      </c>
      <c r="O57" s="61"/>
      <c r="P57" s="269"/>
      <c r="R57" s="270"/>
      <c r="S57" s="384"/>
      <c r="T57" s="109"/>
      <c r="U57" s="344"/>
      <c r="V57" s="58"/>
      <c r="W57" s="494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344"/>
      <c r="G58" s="61"/>
      <c r="H58" s="269"/>
      <c r="J58" s="403">
        <v>46176.0</v>
      </c>
      <c r="K58" s="294" t="s">
        <v>3852</v>
      </c>
      <c r="L58" s="294" t="s">
        <v>3853</v>
      </c>
      <c r="M58" s="391" t="s">
        <v>15</v>
      </c>
      <c r="N58" s="391" t="s">
        <v>2337</v>
      </c>
      <c r="O58" s="61"/>
      <c r="P58" s="269"/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344"/>
      <c r="G59" s="61"/>
      <c r="H59" s="269"/>
      <c r="J59" s="380">
        <v>46176.0</v>
      </c>
      <c r="K59" s="294" t="s">
        <v>3854</v>
      </c>
      <c r="L59" s="294" t="s">
        <v>3855</v>
      </c>
      <c r="M59" s="396" t="s">
        <v>23</v>
      </c>
      <c r="N59" s="391" t="s">
        <v>2338</v>
      </c>
      <c r="O59" s="61"/>
      <c r="P59" s="269"/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344"/>
      <c r="G60" s="61"/>
      <c r="H60" s="269"/>
      <c r="J60" s="382">
        <v>46176.0</v>
      </c>
      <c r="K60" s="273" t="s">
        <v>3856</v>
      </c>
      <c r="L60" s="273" t="s">
        <v>3857</v>
      </c>
      <c r="M60" s="398" t="s">
        <v>27</v>
      </c>
      <c r="N60" s="431" t="s">
        <v>2338</v>
      </c>
      <c r="O60" s="61"/>
      <c r="P60" s="269"/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344"/>
      <c r="G61" s="61"/>
      <c r="H61" s="269"/>
      <c r="J61" s="380">
        <v>46176.0</v>
      </c>
      <c r="K61" s="294" t="s">
        <v>3858</v>
      </c>
      <c r="L61" s="294" t="s">
        <v>3859</v>
      </c>
      <c r="M61" s="396" t="s">
        <v>18</v>
      </c>
      <c r="N61" s="391" t="s">
        <v>2338</v>
      </c>
      <c r="O61" s="61"/>
      <c r="P61" s="269"/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382">
        <v>46176.0</v>
      </c>
      <c r="K62" s="273" t="s">
        <v>3860</v>
      </c>
      <c r="L62" s="273" t="s">
        <v>3861</v>
      </c>
      <c r="M62" s="398" t="s">
        <v>30</v>
      </c>
      <c r="N62" s="431" t="s">
        <v>2338</v>
      </c>
      <c r="O62" s="61"/>
      <c r="P62" s="269"/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380">
        <v>46176.0</v>
      </c>
      <c r="K63" s="294" t="s">
        <v>3862</v>
      </c>
      <c r="L63" s="294" t="s">
        <v>3863</v>
      </c>
      <c r="M63" s="441" t="s">
        <v>30</v>
      </c>
      <c r="N63" s="295" t="s">
        <v>2338</v>
      </c>
      <c r="O63" s="61"/>
      <c r="P63" s="298"/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382">
        <v>46176.0</v>
      </c>
      <c r="K64" s="273" t="s">
        <v>3864</v>
      </c>
      <c r="L64" s="273" t="s">
        <v>3865</v>
      </c>
      <c r="M64" s="398" t="s">
        <v>27</v>
      </c>
      <c r="N64" s="431" t="s">
        <v>2338</v>
      </c>
      <c r="O64" s="61"/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/>
      <c r="K65" s="384"/>
      <c r="L65" s="109"/>
      <c r="M65" s="58"/>
      <c r="N65" s="58"/>
      <c r="O65" s="61"/>
      <c r="P65" s="269"/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/>
      <c r="K66" s="384"/>
      <c r="L66" s="109"/>
      <c r="M66" s="58"/>
      <c r="N66" s="58"/>
      <c r="O66" s="61"/>
      <c r="P66" s="269"/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/>
      <c r="K67" s="109"/>
      <c r="L67" s="109"/>
      <c r="M67" s="58"/>
      <c r="N67" s="58"/>
      <c r="O67" s="61"/>
      <c r="P67" s="269"/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/>
      <c r="K68" s="109"/>
      <c r="L68" s="109"/>
      <c r="M68" s="58"/>
      <c r="N68" s="58"/>
      <c r="O68" s="109"/>
      <c r="P68" s="269"/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/>
      <c r="K69" s="109"/>
      <c r="L69" s="109"/>
      <c r="M69" s="58"/>
      <c r="N69" s="58"/>
      <c r="O69" s="61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/>
      <c r="K70" s="109"/>
      <c r="L70" s="109"/>
      <c r="M70" s="58"/>
      <c r="N70" s="58"/>
      <c r="O70" s="61"/>
      <c r="P70" s="269"/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/>
      <c r="K71" s="109"/>
      <c r="L71" s="109"/>
      <c r="M71" s="58"/>
      <c r="N71" s="58"/>
      <c r="O71" s="109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/>
      <c r="K72" s="109"/>
      <c r="L72" s="109"/>
      <c r="M72" s="58"/>
      <c r="N72" s="58"/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/>
      <c r="K73" s="109"/>
      <c r="L73" s="109"/>
      <c r="M73" s="58"/>
      <c r="N73" s="58"/>
      <c r="O73" s="61"/>
      <c r="P73" s="269"/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270"/>
      <c r="K74" s="109"/>
      <c r="L74" s="109"/>
      <c r="M74" s="58"/>
      <c r="N74" s="58"/>
      <c r="O74" s="109"/>
      <c r="P74" s="298"/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270"/>
      <c r="K75" s="109"/>
      <c r="L75" s="495"/>
      <c r="M75" s="58"/>
      <c r="N75" s="58"/>
      <c r="O75" s="61"/>
      <c r="P75" s="269"/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270"/>
      <c r="K76" s="109"/>
      <c r="L76" s="109"/>
      <c r="M76" s="58"/>
      <c r="N76" s="58"/>
      <c r="O76" s="61"/>
      <c r="P76" s="269"/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270"/>
      <c r="K77" s="109"/>
      <c r="L77" s="109"/>
      <c r="M77" s="58"/>
      <c r="N77" s="58"/>
      <c r="O77" s="61"/>
      <c r="P77" s="269"/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270"/>
      <c r="K78" s="109"/>
      <c r="L78" s="109"/>
      <c r="M78" s="58"/>
      <c r="N78" s="58"/>
      <c r="O78" s="61"/>
      <c r="P78" s="269"/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270"/>
      <c r="K79" s="109"/>
      <c r="L79" s="109"/>
      <c r="M79" s="58"/>
      <c r="N79" s="58"/>
      <c r="O79" s="61"/>
      <c r="P79" s="269"/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270"/>
      <c r="K80" s="109"/>
      <c r="L80" s="109"/>
      <c r="M80" s="58"/>
      <c r="N80" s="58"/>
      <c r="O80" s="61"/>
      <c r="P80" s="269"/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96"/>
      <c r="AA83" s="485"/>
      <c r="AB83" s="485"/>
      <c r="AC83" s="497"/>
      <c r="AD83" s="498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/>
      <c r="K85" s="109"/>
      <c r="L85" s="109"/>
      <c r="M85" s="58"/>
      <c r="N85" s="58"/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270"/>
      <c r="K87" s="109"/>
      <c r="L87" s="109"/>
      <c r="M87" s="58"/>
      <c r="N87" s="58"/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270"/>
      <c r="K92" s="109"/>
      <c r="L92" s="439"/>
      <c r="M92" s="271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270"/>
      <c r="K93" s="109"/>
      <c r="L93" s="440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270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0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447"/>
      <c r="C1003" s="447"/>
      <c r="D1003" s="447"/>
      <c r="E1003" s="447"/>
      <c r="F1003" s="447"/>
      <c r="G1003" s="447"/>
      <c r="H1003" s="447"/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09">
    <cfRule type="expression" dxfId="12" priority="14">
      <formula>COUNTIF(K:K, K1)&gt;1</formula>
    </cfRule>
  </conditionalFormatting>
  <conditionalFormatting sqref="L1 L23:L53 L55:L107 L110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4:C89 C91:C124 C126:C1009">
    <cfRule type="expression" dxfId="12" priority="20">
      <formula>COUNTIF(C:C, C1)&gt;1</formula>
    </cfRule>
  </conditionalFormatting>
  <conditionalFormatting sqref="D1 T2:T7 AJ2:AJ362 AZ2:AZ368 AS11 D84:D89 D91:D124 D126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2 G2:G1002 K2:L1009 O2:O1009"/>
    <dataValidation type="list" allowBlank="1" sqref="BI2:BI997 AS2:AS997 AC2:AC999 M2:M1009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2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2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2 J2:J1009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