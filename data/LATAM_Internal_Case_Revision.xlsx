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tc={db96d383-dc00-439e-a8b4-a087047ef2b9}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b96d383-dc00-439e-a8b4-a087047ef2b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<sst xmlns="http://schemas.openxmlformats.org/spreadsheetml/2006/main" count="11684" uniqueCount="5356">
  <si>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</si>
  <si>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</si>
  <si>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</si>
  <si>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</si>
  <si>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</si>
  <si>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</si>
  <si>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</si>
  <si>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</si>
  <si>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</si>
  <si>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</si>
  <si>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</si>
  <si>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</si>
  <si>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</si>
  <si>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</si>
  <si>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</si>
  <si>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</si>
  <si>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</si>
  <si>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</si>
  <si>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</si>
  <si>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</si>
  <si>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</si>
  <si>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</si>
  <si>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</si>
  <si>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</si>
  <si>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</si>
  <si>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</si>
  <si>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</si>
  <si>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</si>
  <si>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</si>
  <si>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</si>
  <si>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</si>
  <si>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</si>
  <si>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</si>
  <si>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</si>
  <si>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</si>
  <si>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</si>
  <si>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</si>
  <si>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</si>
  <si>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</si>
  <si>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</si>
  <si>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</si>
  <si>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</si>
  <si>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</si>
  <si>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</si>
  <si>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</si>
  <si>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</si>
  <si>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</si>
  <si>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</si>
  <si>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</si>
  <si>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</si>
  <si>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</si>
  <si>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</si>
  <si>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</si>
  <si>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</si>
  <si>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</si>
  <si>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</si>
  <si>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</si>
  <si>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</si>
  <si>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</si>
  <si>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</si>
  <si>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</si>
  <si>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</si>
  <si>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</si>
  <si>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</si>
  <si>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</si>
  <si>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</si>
  <si>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</si>
  <si>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</si>
  <si>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</si>
  <si>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</si>
  <si>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</si>
  <si>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</si>
  <si>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</si>
  <si>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</si>
  <si>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</si>
  <si>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</si>
  <si>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</si>
  <si>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</si>
  <si>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</si>
  <si>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</si>
  <si>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</si>
  <si>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</si>
  <si>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</si>
  <si>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</si>
  <si>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</si>
  <si>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</si>
  <si>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</si>
  <si>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</si>
  <si>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</si>
  <si>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</si>
  <si>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</si>
  <si>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</si>
  <si>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</si>
  <si>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</si>
  <si>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</si>
  <si>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</si>
  <si>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</si>
  <si>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</si>
  <si>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</si>
  <si>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</si>
  <si>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</si>
  <si>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</si>
  <si>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</si>
  <si>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</si>
  <si>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</si>
  <si>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</si>
  <si>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</si>
  <si>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</si>
  <si>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</si>
  <si>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</si>
  <si>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</si>
  <si>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</si>
  <si>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</si>
  <si>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</si>
  <si>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</si>
  <si>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</si>
  <si>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</si>
  <si>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</si>
  <si>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</si>
  <si>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</si>
  <si>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</si>
  <si>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</si>
  <si>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</si>
  <si>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</si>
  <si>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</si>
  <si>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</si>
  <si>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</si>
  <si>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</si>
  <si>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</si>
  <si>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</si>
  <si>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</si>
  <si>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</si>
  <si>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</si>
  <si>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</si>
  <si>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</si>
  <si>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</si>
  <si>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</si>
  <si>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</si>
  <si>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</si>
  <si>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</si>
  <si>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</si>
  <si>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</si>
  <si>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</si>
  <si>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</si>
  <si>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</si>
  <si>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</si>
  <si>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</si>
  <si>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</si>
  <si>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</si>
  <si>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</si>
  <si>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</si>
  <si>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</si>
  <si>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</si>
  <si>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</si>
  <si>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</si>
  <si>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</si>
  <si>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</si>
  <si>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</si>
  <si>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</si>
  <si>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</si>
  <si>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</si>
  <si>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</si>
  <si>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</si>
  <si>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</si>
  <si>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</si>
  <si>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</si>
  <si>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</si>
  <si>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</si>
  <si>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</si>
  <si>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</si>
  <si>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</si>
  <si>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</si>
  <si>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</si>
  <si>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</si>
  <si>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</si>
  <si>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</si>
  <si>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</si>
  <si>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</si>
  <si>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</si>
  <si>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</si>
  <si>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</si>
  <si>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</si>
  <si>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</si>
  <si>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</si>
  <si>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</si>
  <si>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</si>
  <si>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</si>
  <si>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</si>
  <si>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</si>
  <si>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</si>
  <si>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</si>
  <si>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</si>
  <si>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</si>
  <si>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</si>
  <si>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</si>
  <si>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</si>
  <si>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</si>
  <si>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</si>
  <si>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</si>
  <si>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</si>
  <si>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</si>
  <si>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</si>
  <si>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</si>
  <si>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</si>
  <si>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</si>
  <si>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</si>
  <si>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</si>
  <si>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</si>
  <si>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</si>
  <si>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</si>
  <si>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</si>
  <si>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</si>
  <si>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</si>
  <si>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</si>
  <si>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</si>
  <si>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</si>
  <si>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</si>
  <si>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</si>
  <si>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</si>
  <si>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</si>
  <si>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</si>
  <si>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</si>
  <si>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</si>
  <si>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</si>
  <si>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</si>
  <si>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</si>
  <si>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</si>
  <si>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</si>
  <si>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</si>
  <si>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</si>
  <si>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</si>
  <si>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</si>
  <si>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</si>
  <si>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</si>
  <si>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</si>
  <si>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</si>
  <si>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</si>
  <si>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</si>
  <si>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</si>
  <si>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</si>
  <si>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</si>
  <si>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</si>
  <si>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</si>
  <si>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</si>
  <si>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</si>
  <si>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</si>
  <si>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</si>
  <si>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</si>
  <si>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</si>
  <si>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</si>
  <si>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</si>
  <si>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</si>
  <si>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</si>
  <si>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</si>
  <si>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</si>
  <si>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</si>
  <si>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</si>
  <si>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</si>
  <si>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</si>
  <si>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</si>
  <si>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</si>
  <si>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</si>
  <si>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</si>
  <si>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</si>
  <si>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</si>
  <si>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</si>
  <si>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</si>
  <si>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</si>
  <si>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</si>
  <si>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</si>
  <si>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</si>
  <si>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</si>
  <si>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</si>
  <si>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</si>
  <si>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</si>
  <si>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</si>
  <si>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</si>
  <si>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</si>
  <si>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</si>
  <si>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</si>
  <si>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</si>
  <si>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</si>
  <si>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</si>
  <si>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</si>
  <si>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</si>
  <si>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</si>
  <si>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</si>
  <si>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</si>
  <si>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</si>
  <si>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</si>
  <si>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</si>
  <si>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</si>
  <si>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</si>
  <si>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</si>
  <si>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</si>
  <si>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</si>
  <si>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</si>
  <si>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</si>
  <si>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</si>
  <si>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</si>
  <si>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</si>
  <si>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</si>
  <si>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</si>
  <si>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</si>
  <si>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</si>
  <si>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</si>
  <si>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</si>
  <si>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</si>
  <si>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</si>
  <si>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</si>
  <si>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</si>
  <si>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</si>
  <si>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</si>
  <si>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</si>
  <si>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</si>
  <si>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</si>
  <si>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</si>
  <si>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</si>
  <si>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</si>
  <si>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</si>
  <si>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</si>
  <si>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</si>
  <si>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</si>
  <si>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</si>
  <si>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</si>
  <si>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</si>
  <si>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</si>
  <si>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</si>
  <si>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</si>
  <si>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</si>
  <si>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</si>
  <si>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</si>
  <si>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</si>
  <si>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</si>
  <si>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</si>
  <si>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</si>
  <si>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</si>
  <si>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</si>
  <si>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</si>
  <si>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</si>
  <si>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</si>
  <si>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</si>
  <si>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</si>
  <si>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</si>
  <si>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</si>
  <si>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</si>
  <si>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</si>
  <si>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</si>
  <si>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</si>
  <si>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</si>
  <si>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</si>
  <si>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</si>
  <si>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</si>
  <si>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</si>
  <si>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</si>
  <si>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</si>
  <si>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</si>
  <si>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</si>
  <si>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</si>
  <si>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</si>
  <si>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</si>
  <si>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</si>
  <si>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</si>
  <si>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</si>
  <si>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</si>
  <si>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</si>
  <si>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</si>
  <si>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</si>
  <si>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</si>
  <si>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</si>
  <si>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</si>
  <si>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</si>
  <si>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</si>
  <si>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</si>
  <si>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</si>
  <si>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</si>
  <si>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</si>
  <si>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</si>
  <si>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</si>
  <si>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</si>
  <si>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</si>
  <si>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</si>
  <si>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</si>
  <si>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</si>
  <si>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</si>
  <si>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</si>
  <si>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</si>
  <si>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</si>
  <si>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</si>
  <si>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</si>
  <si>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</si>
  <si>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</si>
  <si>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</si>
  <si>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</si>
  <si>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</si>
  <si>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</si>
  <si>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</si>
  <si>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</si>
  <si>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</si>
  <si>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</si>
  <si>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</si>
  <si>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</si>
  <si>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</si>
  <si>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</si>
  <si>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</si>
  <si>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</si>
  <si>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</si>
  <si>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</si>
  <si>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</si>
  <si>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</si>
  <si>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</si>
  <si>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</si>
  <si>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</si>
  <si>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</si>
  <si>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</si>
  <si>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</si>
  <si>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</si>
  <si>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</si>
  <si>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</si>
  <si>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</si>
  <si>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</si>
  <si>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</si>
  <si>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</si>
  <si>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</si>
  <si>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</si>
  <si>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</si>
  <si>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</si>
  <si>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</si>
  <si>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</si>
  <si>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</si>
  <si>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</si>
  <si>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</si>
  <si>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</si>
  <si>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</si>
  <si>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</si>
  <si>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</si>
  <si>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</si>
  <si>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</si>
  <si>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</si>
  <si>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</si>
  <si>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</si>
  <si>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</si>
  <si>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</si>
  <si>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</si>
  <si>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</si>
  <si>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</si>
  <si>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</si>
  <si>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</si>
  <si>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</si>
  <si>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</si>
  <si>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</si>
  <si>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</si>
  <si>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</si>
  <si>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</si>
  <si>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</si>
  <si>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</si>
  <si>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</si>
  <si>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</si>
  <si>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</si>
  <si>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</si>
  <si>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</si>
  <si>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</si>
  <si>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</si>
  <si>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</si>
  <si>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</si>
  <si>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</si>
  <si>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</si>
  <si>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</si>
  <si>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</si>
  <si>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</si>
  <si>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</si>
  <si>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</si>
  <si>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</si>
  <si>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</si>
  <si>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</si>
  <si>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</si>
  <si>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</si>
  <si>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</si>
  <si>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</si>
  <si>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</si>
  <si>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</si>
  <si>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</si>
  <si>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</si>
  <si>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</si>
  <si>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</si>
  <si>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</si>
  <si>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</si>
  <si>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</si>
  <si>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</si>
  <si>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</si>
  <si>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</si>
  <si>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</si>
  <si>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</si>
  <si>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</si>
  <si>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</si>
  <si>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</si>
  <si>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</si>
  <si>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</si>
  <si>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</si>
  <si>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</si>
  <si>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</si>
  <si>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</si>
  <si>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</si>
  <si>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</si>
  <si>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</si>
  <si>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</si>
  <si>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</si>
  <si>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</si>
  <si>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</si>
  <si>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</si>
  <si>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</si>
  <si>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</si>
  <si>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</si>
  <si>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</si>
  <si>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</si>
  <si>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</si>
  <si>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</si>
  <si>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</si>
  <si>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</si>
  <si>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</si>
  <si>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</si>
  <si>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</si>
  <si>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</si>
  <si>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</si>
  <si>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</si>
  <si>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</si>
  <si>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</si>
  <si>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</si>
  <si>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</si>
  <si>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</si>
  <si>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</si>
  <si>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</si>
  <si>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</si>
  <si>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</si>
  <si>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</si>
  <si>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</si>
  <si>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</si>
  <si>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</si>
  <si>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</si>
  <si>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</si>
  <si>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</si>
  <si>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</si>
  <si>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</si>
  <si>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</si>
  <si>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</si>
  <si>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</si>
  <si>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</si>
  <si>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</si>
  <si>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</si>
  <si>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</si>
  <si>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</si>
  <si>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</si>
  <si>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</si>
  <si>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</si>
  <si>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</si>
  <si>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</si>
  <si>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</si>
  <si>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</si>
  <si>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</si>
  <si>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</si>
  <si>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</si>
  <si>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</si>
  <si>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</si>
  <si>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</si>
  <si>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</si>
  <si>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</si>
  <si>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</si>
  <si>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</si>
  <si>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</si>
  <si>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</si>
  <si>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</si>
  <si>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</si>
  <si>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</si>
  <si>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</si>
  <si>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</si>
  <si>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</si>
  <si>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</si>
  <si>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</si>
  <si>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</si>
  <si>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</si>
  <si>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</si>
  <si>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</si>
  <si>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</si>
  <si>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</si>
  <si>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</si>
  <si>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</si>
  <si>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</si>
  <si>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</si>
  <si>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</si>
  <si>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</si>
  <si>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</si>
  <si>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</si>
  <si>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</si>
  <si>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</si>
  <si>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</si>
  <si>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</si>
  <si>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</si>
  <si>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</si>
  <si>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</si>
  <si>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</si>
  <si>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</si>
  <si>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</si>
  <si>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</si>
  <si>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</si>
  <si>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</si>
  <si>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</si>
  <si>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</si>
  <si>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</si>
  <si>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</si>
  <si>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</si>
  <si>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</si>
  <si>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</si>
  <si>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</si>
  <si>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</si>
  <si>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</si>
  <si>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</si>
  <si>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</si>
  <si>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</si>
  <si>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</si>
  <si>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</si>
  <si>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</si>
  <si>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</si>
  <si>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</si>
  <si>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</si>
  <si>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</si>
  <si>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</si>
  <si>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</si>
  <si>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</si>
  <si>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</si>
  <si>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</si>
  <si>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</si>
  <si>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</si>
  <si>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</si>
  <si>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</si>
  <si>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</si>
  <si>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</si>
  <si>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</si>
  <si>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</si>
  <si>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</si>
  <si>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</si>
  <si>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</si>
  <si>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</si>
  <si>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</si>
  <si>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</si>
  <si>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</si>
  <si>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</si>
  <si>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</si>
  <si>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</si>
  <si>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</si>
  <si>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</si>
  <si>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</si>
  <si>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</si>
  <si>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</si>
  <si>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</si>
  <si>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</si>
  <si>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</si>
  <si>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</si>
  <si>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</si>
  <si>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</si>
  <si>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</si>
  <si>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</si>
  <si>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</si>
  <si>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</si>
  <si>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</si>
  <si>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</si>
  <si>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</si>
  <si>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</si>
  <si>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</si>
  <si>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</si>
  <si>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</si>
  <si>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</si>
  <si>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</si>
  <si>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</si>
  <si>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</si>
  <si>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</si>
  <si>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</si>
  <si>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</si>
  <si>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</si>
  <si>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</si>
  <si>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</si>
  <si>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</si>
  <si>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</si>
  <si>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</si>
  <si>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</si>
  <si>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</si>
  <si>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</si>
  <si>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</si>
  <si>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</si>
  <si>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</si>
  <si>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</si>
  <si>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</si>
  <si>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</si>
  <si>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</si>
  <si>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</si>
  <si>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</si>
  <si>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</si>
  <si>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</si>
  <si>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</si>
  <si>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</si>
  <si>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</si>
  <si>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</si>
  <si>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</si>
  <si>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</si>
  <si>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</si>
  <si>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</si>
  <si>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</si>
  <si>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</si>
  <si>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</si>
  <si>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</si>
  <si>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</si>
  <si>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</si>
  <si>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</si>
  <si>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</si>
  <si>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</si>
  <si>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</si>
  <si>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</si>
  <si>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</si>
  <si>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</si>
  <si>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</si>
  <si>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</si>
  <si>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</si>
  <si>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</si>
  <si>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</si>
  <si>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</si>
  <si>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</si>
  <si>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</si>
  <si>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</si>
  <si>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</si>
  <si>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</si>
  <si>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</si>
  <si>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</si>
  <si>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</si>
  <si>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</si>
  <si>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</si>
  <si>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</si>
  <si>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</si>
  <si>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</si>
  <si>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</si>
  <si>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</si>
  <si>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</si>
  <si>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</si>
  <si>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</si>
  <si>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</si>
  <si>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</si>
  <si>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</si>
  <si>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</si>
  <si>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</si>
  <si>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</si>
  <si>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</si>
  <si>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</si>
  <si>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</si>
  <si>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</si>
  <si>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</si>
  <si>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</si>
  <si>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</si>
  <si>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</si>
  <si>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</si>
  <si>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</si>
  <si>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</si>
  <si>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</si>
  <si>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</si>
  <si>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</si>
  <si>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</si>
  <si>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</si>
  <si>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</si>
  <si>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</si>
  <si>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</si>
  <si>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</si>
  <si>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</si>
  <si>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</si>
  <si>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</si>
  <si>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</si>
  <si>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</si>
  <si>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</si>
  <si>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</si>
  <si>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</si>
  <si>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</si>
  <si>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</si>
  <si>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</si>
  <si>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</si>
  <si>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</si>
  <si>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</si>
  <si>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</si>
  <si>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</si>
  <si>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</si>
  <si>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</si>
  <si>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</si>
  <si>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</si>
  <si>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</si>
  <si>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</si>
  <si>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</si>
  <si>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</si>
  <si>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</si>
  <si>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</si>
  <si>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</si>
  <si>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</si>
  <si>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</si>
  <si>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</si>
  <si>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</si>
  <si>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</si>
  <si>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</si>
  <si>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</si>
  <si>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</si>
  <si>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</si>
  <si>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</si>
  <si>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</si>
  <si>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</si>
  <si>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</si>
  <si>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</si>
  <si>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</si>
  <si>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</si>
  <si>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</si>
  <si>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</si>
  <si>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</si>
  <si>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</si>
  <si>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</si>
  <si>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</si>
  <si>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</si>
  <si>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</si>
  <si>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</si>
  <si>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</si>
  <si>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</si>
  <si>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</si>
  <si>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</si>
  <si>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</si>
  <si>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</si>
  <si>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</si>
  <si>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</si>
  <si>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</si>
  <si>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</si>
  <si>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</si>
  <si>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</si>
  <si>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</si>
  <si>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</si>
  <si>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</si>
  <si>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</si>
  <si>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</si>
  <si>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</si>
  <si>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</si>
  <si>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</si>
  <si>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</si>
  <si>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</si>
  <si>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</si>
  <si>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</si>
  <si>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</si>
  <si>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</si>
  <si>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</si>
  <si>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</si>
  <si>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</si>
  <si>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</si>
  <si>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</si>
  <si>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</si>
  <si>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</si>
  <si>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</si>
  <si>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</si>
  <si>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</si>
  <si>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</si>
  <si>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</si>
  <si>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</si>
  <si>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</si>
  <si>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</si>
  <si>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</si>
  <si>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</si>
  <si>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</si>
  <si>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</si>
  <si>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</si>
  <si>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</si>
  <si>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</si>
  <si>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</si>
  <si>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</si>
  <si>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</si>
  <si>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</si>
  <si>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</si>
  <si>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</si>
  <si>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</si>
  <si>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</si>
  <si>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</si>
  <si>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</si>
  <si>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</si>
  <si>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</si>
  <si>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</si>
  <si>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</si>
  <si>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</si>
  <si>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</si>
  <si>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</si>
  <si>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</si>
  <si>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</si>
  <si>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</si>
  <si>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</si>
  <si>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</si>
  <si>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</si>
  <si>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</si>
  <si>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</si>
  <si>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</si>
  <si>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</si>
  <si>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</si>
  <si>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</si>
  <si>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</si>
  <si>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</si>
  <si>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</si>
  <si>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</si>
  <si>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</si>
  <si>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</si>
  <si>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</si>
  <si>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</si>
  <si>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</si>
  <si>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</si>
  <si>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</si>
  <si>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</si>
  <si>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</si>
  <si>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</si>
  <si>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</si>
  <si>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</si>
  <si>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</si>
  <si>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</si>
  <si>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</si>
  <si>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</si>
  <si>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</si>
  <si>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</si>
  <si>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</si>
  <si>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</si>
  <si>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</si>
  <si>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</si>
  <si>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</si>
  <si>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</si>
  <si>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</si>
  <si>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</si>
  <si>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</si>
  <si>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</si>
  <si>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</si>
  <si>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</si>
  <si>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</si>
  <si>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</si>
  <si>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</si>
  <si>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</si>
  <si>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</si>
  <si>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</si>
  <si>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</si>
  <si>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</si>
  <si>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</si>
  <si>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</si>
  <si>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</si>
  <si>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</si>
  <si>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</si>
  <si>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</si>
  <si>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</si>
  <si>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</si>
  <si>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</si>
  <si>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</si>
  <si>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</si>
  <si>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</si>
  <si>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</si>
  <si>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</si>
  <si>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</si>
  <si>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</si>
  <si>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</si>
  <si>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</si>
  <si>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</si>
  <si>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</si>
  <si>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</si>
  <si>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</si>
  <si>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</si>
  <si>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</si>
  <si>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</si>
  <si>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</si>
  <si>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</si>
  <si>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</si>
  <si>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</si>
  <si>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</si>
  <si>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</si>
  <si>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</si>
  <si>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</si>
  <si>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</si>
  <si>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</si>
  <si>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</si>
  <si>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</si>
  <si>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</si>
  <si>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</si>
  <si>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</si>
  <si>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</si>
  <si>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</si>
  <si>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</si>
  <si>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</si>
  <si>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</si>
  <si>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</si>
  <si>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</si>
  <si>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</si>
  <si>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</si>
  <si>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</si>
  <si>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</si>
  <si>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</si>
  <si>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</si>
  <si>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</si>
  <si>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</si>
  <si>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</si>
  <si>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</si>
  <si>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</si>
  <si>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</si>
  <si>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</si>
  <si>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</si>
  <si>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</si>
  <si>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</si>
  <si>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</si>
  <si>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</si>
  <si>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</si>
  <si>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</si>
  <si>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</si>
  <si>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</si>
  <si>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</si>
  <si>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</si>
  <si>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</si>
  <si>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</si>
  <si>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</si>
  <si>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</si>
  <si>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</si>
  <si>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</si>
  <si>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</si>
  <si>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</si>
  <si>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</si>
  <si>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</si>
  <si>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</si>
  <si>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</si>
  <si>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</si>
  <si>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</si>
  <si>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</si>
  <si>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</si>
  <si>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</si>
  <si>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</si>
  <si>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</si>
  <si>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</si>
  <si>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</si>
  <si>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</si>
  <si>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</si>
  <si>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</si>
  <si>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</si>
  <si>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</si>
  <si>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</si>
  <si>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</si>
  <si>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</si>
  <si>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</si>
  <si>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</si>
  <si>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</si>
  <si>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</si>
  <si>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</si>
  <si>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</si>
  <si>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</si>
  <si>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</si>
  <si>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</si>
  <si>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</si>
  <si>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</si>
  <si>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</si>
  <si>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</si>
  <si>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</si>
  <si>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</si>
  <si>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</si>
  <si>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</si>
  <si>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</si>
  <si>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</si>
  <si>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</si>
  <si>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</si>
  <si>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</si>
  <si>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</si>
  <si>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</si>
  <si>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</si>
  <si>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</si>
  <si>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</si>
  <si>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</si>
  <si>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</si>
  <si>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</si>
  <si>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</si>
  <si>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</si>
  <si>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</si>
  <si>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</si>
  <si>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</si>
  <si>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</si>
  <si>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</si>
  <si>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</si>
  <si>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</si>
  <si>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</si>
  <si>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</si>
  <si>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</si>
  <si>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</si>
  <si>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</si>
  <si>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</si>
  <si>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</si>
  <si>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</si>
  <si>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</si>
  <si>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</si>
  <si>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</si>
  <si>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</si>
  <si>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</si>
  <si>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</si>
  <si>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</si>
  <si>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</si>
  <si>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</si>
  <si>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</si>
  <si>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</si>
  <si>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</si>
  <si>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</si>
  <si>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</si>
  <si>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</si>
  <si>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</si>
  <si>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</si>
  <si>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</si>
  <si>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</si>
  <si>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</si>
  <si>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</si>
  <si>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</si>
  <si>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</si>
  <si>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</si>
  <si>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</si>
  <si>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</si>
  <si>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</si>
  <si>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</si>
  <si>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</si>
  <si>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</si>
  <si>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</si>
  <si>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</si>
  <si>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</si>
  <si>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</si>
  <si>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</si>
  <si>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</si>
  <si>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</si>
  <si>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</si>
  <si>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</si>
  <si>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</si>
  <si>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</si>
  <si>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</si>
  <si>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</si>
  <si>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</si>
  <si>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</si>
  <si>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</si>
  <si>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</si>
  <si>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</si>
  <si>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</si>
  <si>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</si>
  <si>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</si>
  <si>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</si>
  <si>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</si>
  <si>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</si>
  <si>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</si>
  <si>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</si>
  <si>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</si>
  <si>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</si>
  <si>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</si>
  <si>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</si>
  <si>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</si>
  <si>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</si>
  <si>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</si>
  <si>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</si>
  <si>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</si>
  <si>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</si>
  <si>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</si>
  <si>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</si>
  <si>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</si>
  <si>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</si>
  <si>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</si>
  <si>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</si>
  <si>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</si>
  <si>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</si>
  <si>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</si>
  <si>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</si>
  <si>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</si>
  <si>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</si>
  <si>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</si>
  <si>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</si>
  <si>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</si>
  <si>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</si>
  <si>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</si>
  <si>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</si>
  <si>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</si>
  <si>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</si>
  <si>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</si>
  <si>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</si>
  <si>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</si>
  <si>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</si>
  <si>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</si>
  <si>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</si>
  <si>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</si>
  <si>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</si>
  <si>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</si>
  <si>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</si>
  <si>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</si>
  <si>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</si>
  <si>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</si>
  <si>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</si>
  <si>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</si>
  <si>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</si>
  <si>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</si>
  <si>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</si>
  <si>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</si>
  <si>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</si>
  <si>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</si>
  <si>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</si>
  <si>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</si>
  <si>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</si>
  <si>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</si>
  <si>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</si>
  <si>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</si>
  <si>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</si>
  <si>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</si>
  <si>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</si>
  <si>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</si>
  <si>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</si>
  <si>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</si>
  <si>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</si>
  <si>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</si>
  <si>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</si>
  <si>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</si>
  <si>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</si>
  <si>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</si>
  <si>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</si>
  <si>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</si>
  <si>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</si>
  <si>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</si>
  <si>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</si>
  <si>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</si>
  <si>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</si>
  <si>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</si>
  <si>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</si>
  <si>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</si>
  <si>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</si>
  <si>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</si>
  <si>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</si>
  <si>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</si>
  <si>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</si>
  <si>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</si>
  <si>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</si>
  <si>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</si>
  <si>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</si>
  <si>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</si>
  <si>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</si>
  <si>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</si>
  <si>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</si>
  <si>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</si>
  <si>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</si>
  <si>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</si>
  <si>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</si>
  <si>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</si>
  <si>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</si>
  <si>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</si>
  <si>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</si>
  <si>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</si>
  <si>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</si>
  <si>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</si>
  <si>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</si>
  <si>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</si>
  <si>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</si>
  <si>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</si>
  <si>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</si>
  <si>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</si>
  <si>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</si>
  <si>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</si>
  <si>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</si>
  <si>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</si>
  <si>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</si>
  <si>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</si>
  <si>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</si>
  <si>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</si>
  <si>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</si>
  <si>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</si>
  <si>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</si>
  <si>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</si>
  <si>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</si>
  <si>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</si>
  <si>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</si>
  <si>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</si>
  <si>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</si>
  <si>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</si>
  <si>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</si>
  <si>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</si>
  <si>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</si>
  <si>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</si>
  <si>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</si>
  <si>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</si>
  <si>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</si>
  <si>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</si>
  <si>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</si>
  <si>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</si>
  <si>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</si>
  <si>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</si>
  <si>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</si>
  <si>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</si>
  <si>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</si>
  <si>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</si>
  <si>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</si>
  <si>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</si>
  <si>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</si>
  <si>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</si>
  <si>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</si>
  <si>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</si>
  <si>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</si>
  <si>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</si>
  <si>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</si>
  <si>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</si>
  <si>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</si>
  <si>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</si>
  <si>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</si>
  <si>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</si>
  <si>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</si>
  <si>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</si>
  <si>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</si>
  <si>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</si>
  <si>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</si>
  <si>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</si>
  <si>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</si>
  <si>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</si>
  <si>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</si>
  <si>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</si>
  <si>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</si>
  <si>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</si>
  <si>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</si>
  <si>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</si>
  <si>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</si>
  <si>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</si>
  <si>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</si>
  <si>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</si>
  <si>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</si>
  <si>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</si>
  <si>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</si>
  <si>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</si>
  <si>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</si>
  <si>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</si>
  <si>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</si>
  <si>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</si>
  <si>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</si>
  <si>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</si>
  <si>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</si>
  <si>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</si>
  <si>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</si>
  <si>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</si>
  <si>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</si>
  <si>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</si>
  <si>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</si>
  <si>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</si>
  <si>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</si>
  <si>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</si>
  <si>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</si>
  <si>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</si>
  <si>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</si>
  <si>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</si>
  <si>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</si>
  <si>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</si>
  <si>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</si>
  <si>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</si>
  <si>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</si>
  <si>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</si>
  <si>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</si>
  <si>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</si>
  <si>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</si>
  <si>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</si>
  <si>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</si>
  <si>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</si>
  <si>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</si>
  <si>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</si>
  <si>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</si>
  <si>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</si>
  <si>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</si>
  <si>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</si>
  <si>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</si>
  <si>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</si>
  <si>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</si>
  <si>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</si>
  <si>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</si>
  <si>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</si>
  <si>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</si>
  <si>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</si>
  <si>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</si>
  <si>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</si>
  <si>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</si>
  <si>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</si>
  <si>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</si>
  <si>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</si>
  <si>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</si>
  <si>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</si>
  <si>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</si>
  <si>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</si>
  <si>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</si>
  <si>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</si>
  <si>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</si>
  <si>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</si>
  <si>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</si>
  <si>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</si>
  <si>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</si>
  <si>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</si>
  <si>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</si>
  <si>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</si>
  <si>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</si>
  <si>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</si>
  <si>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</si>
  <si>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</si>
  <si>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</si>
  <si>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</si>
  <si>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</si>
  <si>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</si>
  <si>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</si>
  <si>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</si>
  <si>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</si>
  <si>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</si>
  <si>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</si>
  <si>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</si>
  <si>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</si>
  <si>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</si>
  <si>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</si>
  <si>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</si>
  <si>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</si>
  <si>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</si>
  <si>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</si>
  <si>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</si>
  <si>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</si>
  <si>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</si>
  <si>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</si>
  <si>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</si>
  <si>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</si>
  <si>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</si>
  <si>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</si>
  <si>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</si>
  <si>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</si>
  <si>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</si>
  <si>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</si>
  <si>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</si>
  <si>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</si>
  <si>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</si>
  <si>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</si>
  <si>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</si>
  <si>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</si>
  <si>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</si>
  <si>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</si>
  <si>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</si>
  <si>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</si>
  <si>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</si>
  <si>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</si>
  <si>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</si>
  <si>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</si>
  <si>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</si>
  <si>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</si>
  <si>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</si>
  <si>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</si>
  <si>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</si>
  <si>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</si>
  <si>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</si>
  <si>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</si>
  <si>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</si>
  <si>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</si>
  <si>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</si>
  <si>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</si>
  <si>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</si>
  <si>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</si>
  <si>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</si>
  <si>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</si>
  <si>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</si>
  <si>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</si>
  <si>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</si>
  <si>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</si>
  <si>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</si>
  <si>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</si>
  <si>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</si>
  <si>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</si>
  <si>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</si>
  <si>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</si>
  <si>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</si>
  <si>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</si>
  <si>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</si>
  <si>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</si>
  <si>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</si>
  <si>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</si>
  <si>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</si>
  <si>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</si>
  <si>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</si>
  <si>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</si>
  <si>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</si>
  <si>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</si>
  <si>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</si>
  <si>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</si>
  <si>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</si>
  <si>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</si>
  <si>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</si>
  <si>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</si>
  <si>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</si>
  <si>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</si>
  <si>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</si>
  <si>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</si>
  <si>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</si>
  <si>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</si>
  <si>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</si>
  <si>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</si>
  <si>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</si>
  <si>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</si>
  <si>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</si>
  <si>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</si>
  <si>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</si>
  <si>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</si>
  <si>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</si>
  <si>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</si>
  <si>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</si>
  <si>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</si>
  <si>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</si>
  <si>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</si>
  <si>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</si>
  <si>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</si>
  <si>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</si>
  <si>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</si>
  <si>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</si>
  <si>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</si>
  <si>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</si>
  <si>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</si>
  <si>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</si>
  <si>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</si>
  <si>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</si>
  <si>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</si>
  <si>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</si>
  <si>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</si>
  <si>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</si>
  <si>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</si>
  <si>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</si>
  <si>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</si>
  <si>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</si>
  <si>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</si>
  <si>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</si>
  <si>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</si>
  <si>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</si>
  <si>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</si>
  <si>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</si>
  <si>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</si>
  <si>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</si>
  <si>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</si>
  <si>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</si>
  <si>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</si>
  <si>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</si>
  <si>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</si>
  <si>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</si>
  <si>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</si>
  <si>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</si>
  <si>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</si>
  <si>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</si>
  <si>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</si>
  <si>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</si>
  <si>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</si>
  <si>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</si>
  <si>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</si>
  <si>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</si>
  <si>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</si>
  <si>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</si>
  <si>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</si>
  <si>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</si>
  <si>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</si>
  <si>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</si>
  <si>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</si>
  <si>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</si>
  <si>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</si>
  <si>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</si>
  <si>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</si>
  <si>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</si>
  <si>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</si>
  <si>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</si>
  <si>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</si>
  <si>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</si>
  <si>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</si>
  <si>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</si>
  <si>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</si>
  <si>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</si>
  <si>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</si>
  <si>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</si>
  <si>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</si>
  <si>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</si>
  <si>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</si>
  <si>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</si>
  <si>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</si>
  <si>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</si>
  <si>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</si>
  <si>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</si>
  <si>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</si>
  <si>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</si>
  <si>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</si>
  <si>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</si>
  <si>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</si>
  <si>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</si>
  <si>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</si>
  <si>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</si>
  <si>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</si>
  <si>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</si>
  <si>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</si>
  <si>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</si>
  <si>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</si>
  <si>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</si>
  <si>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</si>
  <si>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</si>
  <si>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</si>
  <si>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</si>
  <si>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</si>
  <si>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</si>
  <si>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</si>
  <si>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</si>
  <si>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</si>
  <si>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</si>
  <si>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</si>
  <si>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</si>
  <si>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</si>
  <si>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</si>
  <si>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</si>
  <si>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</si>
  <si>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</si>
  <si>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</si>
  <si>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</si>
  <si>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</si>
  <si>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</si>
  <si>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</si>
  <si>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</si>
  <si>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</si>
  <si>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</si>
  <si>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</si>
  <si>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</si>
  <si>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</si>
  <si>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</si>
  <si>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</si>
  <si>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</si>
  <si>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</si>
  <si>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</si>
  <si>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</si>
  <si>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</si>
  <si>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</si>
  <si>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</si>
  <si>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</si>
  <si>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</si>
  <si>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</si>
  <si>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</si>
  <si>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</si>
  <si>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</si>
  <si>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</si>
  <si>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</si>
  <si>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</si>
  <si>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</si>
  <si>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</si>
  <si>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</si>
  <si>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</si>
  <si>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</si>
  <si>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</si>
  <si>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</si>
  <si>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</si>
  <si>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</si>
  <si>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</si>
  <si>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</si>
  <si>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</si>
  <si>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</si>
  <si>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</si>
  <si>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</si>
  <si>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</si>
  <si>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</si>
  <si>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</si>
  <si>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</si>
  <si>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</si>
  <si>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</si>
  <si>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</si>
  <si>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</si>
  <si>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</si>
  <si>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</si>
  <si>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</si>
  <si>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</si>
  <si>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</si>
  <si>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</si>
  <si>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</si>
  <si>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</si>
  <si>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</si>
  <si>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</si>
  <si>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</si>
  <si>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</si>
  <si>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</si>
  <si>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</si>
  <si>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</si>
  <si>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</si>
  <si>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</si>
  <si>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</si>
  <si>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</si>
  <si>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</si>
  <si>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</si>
  <si>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</si>
  <si>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</si>
  <si>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</si>
  <si>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</si>
  <si>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</si>
  <si>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</si>
  <si>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</si>
  <si>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</si>
  <si>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</si>
  <si>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</si>
  <si>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</si>
  <si>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</si>
  <si>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</si>
  <si>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</si>
  <si>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</si>
  <si>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</si>
  <si>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</si>
  <si>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</si>
  <si>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</si>
  <si>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</si>
  <si>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</si>
  <si>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</si>
  <si>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</si>
  <si>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</si>
  <si>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</si>
  <si>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</si>
  <si>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</si>
  <si>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</si>
  <si>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</si>
  <si>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</si>
  <si>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</si>
  <si>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</si>
  <si>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</si>
  <si>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</si>
  <si>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</si>
  <si>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</si>
  <si>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</si>
  <si>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</si>
  <si>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</si>
  <si>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</si>
  <si>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</si>
  <si>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</si>
  <si>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</si>
  <si>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</si>
  <si>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</si>
  <si>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</si>
  <si>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</si>
  <si>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</si>
  <si>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</si>
  <si>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</si>
  <si>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</si>
  <si>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</si>
  <si>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</si>
  <si>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</si>
  <si>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</si>
  <si>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</si>
  <si>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</si>
  <si>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</si>
  <si>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</si>
  <si>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</si>
  <si>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</si>
  <si>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</si>
  <si>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</si>
  <si>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</si>
  <si>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</si>
  <si>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</si>
  <si>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</si>
  <si>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</si>
  <si>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</si>
  <si>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</si>
  <si>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</si>
  <si>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</si>
  <si>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</si>
  <si>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</si>
  <si>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</si>
  <si>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</si>
  <si>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</si>
  <si>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</si>
  <si>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</si>
  <si>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</si>
  <si>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</si>
  <si>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</si>
  <si>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</si>
  <si>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</si>
  <si>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</si>
  <si>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</si>
  <si>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</si>
  <si>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</si>
  <si>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</si>
  <si>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</si>
  <si>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</si>
  <si>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</si>
  <si>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</si>
  <si>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</si>
  <si>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</si>
  <si>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</si>
  <si>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</si>
  <si>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</si>
  <si>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</si>
  <si>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</si>
  <si>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</si>
  <si>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</si>
  <si>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</si>
  <si>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</si>
  <si>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</si>
  <si>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</si>
  <si>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</si>
  <si>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</si>
  <si>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</si>
  <si>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</si>
  <si>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</si>
  <si>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</si>
  <si>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</si>
  <si>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</si>
  <si>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</si>
  <si>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</si>
  <si>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</si>
  <si>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</si>
  <si>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</si>
  <si>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</si>
  <si>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</si>
  <si>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</si>
  <si>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</si>
  <si>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</si>
  <si>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</si>
  <si>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</si>
  <si>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</si>
  <si>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</si>
  <si>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</si>
  <si>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</si>
  <si>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</si>
  <si>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</si>
  <si>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</si>
  <si>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</si>
  <si>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</si>
  <si>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</si>
  <si>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</si>
  <si>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</si>
  <si>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</si>
  <si>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</si>
  <si>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</si>
  <si>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</si>
  <si>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</si>
  <si>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</si>
  <si>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</si>
  <si>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</si>
  <si>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</si>
  <si>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</si>
  <si>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</si>
  <si>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</si>
  <si>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</si>
  <si>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</si>
  <si>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</si>
  <si>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</si>
  <si>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</si>
  <si>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</si>
  <si>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</si>
  <si>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</si>
  <si>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</si>
  <si>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</si>
  <si>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</si>
  <si>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</si>
  <si>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</si>
  <si>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</si>
  <si>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</si>
  <si>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</si>
  <si>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</si>
  <si>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</si>
  <si>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</si>
  <si>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</si>
  <si>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</si>
  <si>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</si>
  <si>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</si>
  <si>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</si>
  <si>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</si>
  <si>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</si>
  <si>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</si>
  <si>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</si>
  <si>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</si>
  <si>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</si>
  <si>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</si>
  <si>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</si>
  <si>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</si>
  <si>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</si>
  <si>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</si>
  <si>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</si>
  <si>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</si>
  <si>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</si>
  <si>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</si>
  <si>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</si>
  <si>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</si>
  <si>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</si>
  <si>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</si>
  <si>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</si>
  <si>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</si>
  <si>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</si>
  <si>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</si>
  <si>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</si>
  <si>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</si>
  <si>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</si>
  <si>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</si>
  <si>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</si>
  <si>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</si>
  <si>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</si>
  <si>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</si>
  <si>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</si>
  <si>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</si>
  <si>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</si>
  <si>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</si>
  <si>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</si>
  <si>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</si>
  <si>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</si>
  <si>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</si>
  <si>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</si>
  <si>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</si>
  <si>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</si>
  <si>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</si>
  <si>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</si>
  <si>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</si>
  <si>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</si>
  <si>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</si>
  <si>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</si>
  <si>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</si>
  <si>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</si>
  <si>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</si>
  <si>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</si>
  <si>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</si>
  <si>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</si>
  <si>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</si>
  <si>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</si>
  <si>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</si>
  <si>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</si>
  <si>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</si>
  <si>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</si>
  <si>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</si>
  <si>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</si>
  <si>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</si>
  <si>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</si>
  <si>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</si>
  <si>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</si>
  <si>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</si>
  <si>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</si>
  <si>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</si>
  <si>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</si>
  <si>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</si>
  <si>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</si>
  <si>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</si>
  <si>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</si>
  <si>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</si>
  <si>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</si>
  <si>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</si>
  <si>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</si>
  <si>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</si>
  <si>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</si>
  <si>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</si>
  <si>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</si>
  <si>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</si>
  <si>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</si>
  <si>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</si>
  <si>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</si>
  <si>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</si>
  <si>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</si>
  <si>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</si>
  <si>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</si>
  <si>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</si>
  <si>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</si>
  <si>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</si>
  <si>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</si>
  <si>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</si>
  <si>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</si>
  <si>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</si>
  <si>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</si>
  <si>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</si>
  <si>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</si>
  <si>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</si>
  <si>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</si>
  <si>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</si>
  <si>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</si>
  <si>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</si>
  <si>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</si>
  <si>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</si>
  <si>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</si>
  <si>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</si>
  <si>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</si>
  <si>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</si>
  <si>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</si>
  <si>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</si>
  <si>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</si>
  <si>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</si>
  <si>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</si>
  <si>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</si>
  <si>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</si>
  <si>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</si>
  <si>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</si>
  <si>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</si>
  <si>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</si>
  <si>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</si>
  <si>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</si>
  <si>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</si>
  <si>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</si>
  <si>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</si>
  <si>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</si>
  <si>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</si>
  <si>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</si>
  <si>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</si>
  <si>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</si>
  <si>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</si>
  <si>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</si>
  <si>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</si>
  <si>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</si>
  <si>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</si>
  <si>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</si>
  <si>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</si>
  <si>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</si>
  <si>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</si>
  <si>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</si>
  <si>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</si>
  <si>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</si>
  <si>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</si>
  <si>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</si>
  <si>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</si>
  <si>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</si>
  <si>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</si>
  <si>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</si>
  <si>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</si>
  <si>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</si>
  <si>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</si>
  <si>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</si>
  <si>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</si>
  <si>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</si>
  <si>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</si>
  <si>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</si>
  <si>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</si>
  <si>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</si>
  <si>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</si>
  <si>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</si>
  <si>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</si>
  <si>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</si>
  <si>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</si>
  <si>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</si>
  <si>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</si>
  <si>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</si>
  <si>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</si>
  <si>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</si>
  <si>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</si>
  <si>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</si>
  <si>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</si>
  <si>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</si>
  <si>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</si>
  <si>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</si>
  <si>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</si>
  <si>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</si>
  <si>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</si>
  <si>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</si>
  <si>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</si>
  <si>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</si>
  <si>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</si>
  <si>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</si>
  <si>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</si>
  <si>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</si>
  <si>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</si>
  <si>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</si>
  <si>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</si>
  <si>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</si>
  <si>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</si>
  <si>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</si>
  <si>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</si>
  <si>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</si>
  <si>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</si>
  <si>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</si>
  <si>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</si>
  <si>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</si>
  <si>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</si>
  <si>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</si>
  <si>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</si>
  <si>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</si>
  <si>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</si>
  <si>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</si>
  <si>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</si>
  <si>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</si>
  <si>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</si>
  <si>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</si>
  <si>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</si>
  <si>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</si>
  <si>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</si>
  <si>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</si>
  <si>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</si>
  <si>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</si>
  <si>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</si>
  <si>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</si>
  <si>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</si>
  <si>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</si>
  <si>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</si>
  <si>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</si>
  <si>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</si>
  <si>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</si>
  <si>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</si>
  <si>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</si>
  <si>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</si>
  <si>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</si>
  <si>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</si>
  <si>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</si>
  <si>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</si>
  <si>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</si>
  <si>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</si>
  <si>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</si>
  <si>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</si>
  <si>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</si>
  <si>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</si>
  <si>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</si>
  <si>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</si>
  <si>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</si>
  <si>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</si>
  <si>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</si>
  <si>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</si>
  <si>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</si>
  <si>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</si>
  <si>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</si>
  <si>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</si>
  <si>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</si>
  <si>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</si>
  <si>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</si>
  <si>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</si>
  <si>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</si>
  <si>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</si>
  <si>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</si>
  <si>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</si>
  <si>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</si>
  <si>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</si>
  <si>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</si>
  <si>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</si>
  <si>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</si>
  <si>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</si>
  <si>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</si>
  <si>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</si>
  <si>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</si>
  <si>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</si>
  <si>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</si>
  <si>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</si>
  <si>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</si>
  <si>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</si>
  <si>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</si>
  <si>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</si>
  <si>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</si>
  <si>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</si>
  <si>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</si>
  <si>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</si>
  <si>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</si>
  <si>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</si>
  <si>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</si>
  <si>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</si>
  <si>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</si>
  <si>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</si>
  <si>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</si>
  <si>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</si>
  <si>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</si>
  <si>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</si>
  <si>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</si>
  <si>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</si>
  <si>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</si>
  <si>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</si>
  <si>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</si>
  <si>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</si>
  <si>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</si>
  <si>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</si>
  <si>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</si>
  <si>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</si>
  <si>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</si>
  <si>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</si>
  <si>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</si>
  <si>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</si>
  <si>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</si>
  <si>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</si>
  <si>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</si>
  <si>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</si>
  <si>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</si>
  <si>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</si>
  <si>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</si>
  <si>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</si>
  <si>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</si>
  <si>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</si>
  <si>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</si>
  <si>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</si>
  <si>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</si>
  <si>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</si>
  <si>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</si>
  <si>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</si>
  <si>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</si>
  <si>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</si>
  <si>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</si>
  <si>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</si>
  <si>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</si>
  <si>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</si>
  <si>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</si>
  <si>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</si>
  <si>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</si>
  <si>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</si>
  <si>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</si>
  <si>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</si>
  <si>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</si>
  <si>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</si>
  <si>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</si>
  <si>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</si>
  <si>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</si>
  <si>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</si>
  <si>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</si>
  <si>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</si>
  <si>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</si>
  <si>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</si>
  <si>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</si>
  <si>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</si>
  <si>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</si>
  <si>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</si>
  <si>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</si>
  <si>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</si>
  <si>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</si>
  <si>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</si>
  <si>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</si>
  <si>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</si>
  <si>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</si>
  <si>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</si>
  <si>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</si>
  <si>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</si>
  <si>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</si>
  <si>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</si>
  <si>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</si>
  <si>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</si>
  <si>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</si>
  <si>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</si>
  <si>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</si>
  <si>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</si>
  <si>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</si>
  <si>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</si>
  <si>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</si>
  <si>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</si>
  <si>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</si>
  <si>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</si>
  <si>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</si>
  <si>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</si>
  <si>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</si>
  <si>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</si>
  <si>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</si>
  <si>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</si>
  <si>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</si>
  <si>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</si>
  <si>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</si>
  <si>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</si>
  <si>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</si>
  <si>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</si>
  <si>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</si>
  <si>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</si>
  <si>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</si>
  <si>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</si>
  <si>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</si>
  <si>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</si>
  <si>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</si>
  <si>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</si>
  <si>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</si>
  <si>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</si>
  <si>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</si>
  <si>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</si>
  <si>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</si>
  <si>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</si>
  <si>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</si>
  <si>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</si>
  <si>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</si>
  <si>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</si>
  <si>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</si>
  <si>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</si>
  <si>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</si>
  <si>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</si>
  <si>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</si>
  <si>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</si>
  <si>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</si>
  <si>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</si>
  <si>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</si>
  <si>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</si>
  <si>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</si>
  <si>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</si>
  <si>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</si>
  <si>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</si>
  <si>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</si>
  <si>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</si>
  <si>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</si>
  <si>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</si>
  <si>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</si>
  <si>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</si>
  <si>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</si>
  <si>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</si>
  <si>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</si>
  <si>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</si>
  <si>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</si>
  <si>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</si>
  <si>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</si>
  <si>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</si>
  <si>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</si>
  <si>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</si>
  <si>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</si>
  <si>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</si>
  <si>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</si>
  <si>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</si>
  <si>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</si>
  <si>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</si>
  <si>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</si>
  <si>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</si>
  <si>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</si>
  <si>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</si>
  <si>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</si>
  <si>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</si>
  <si>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</si>
  <si>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</si>
  <si>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</si>
  <si>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</si>
  <si>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</si>
  <si>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</si>
  <si>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</si>
  <si>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</si>
  <si>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</si>
  <si>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</si>
  <si>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</si>
  <si>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</si>
  <si>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</si>
  <si>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</si>
  <si>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</si>
  <si>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</si>
  <si>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</si>
  <si>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</si>
  <si>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</si>
  <si>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</si>
  <si>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</si>
  <si>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</si>
  <si>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</si>
  <si>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</si>
  <si>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</si>
  <si>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</si>
  <si>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</si>
  <si>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</si>
  <si>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</si>
  <si>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</si>
  <si>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</si>
  <si>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</si>
  <si>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</si>
  <si>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</si>
  <si>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</si>
  <si>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</si>
  <si>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</si>
  <si>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</si>
  <si>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</si>
  <si>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</si>
  <si>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</si>
  <si>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</si>
  <si>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</si>
  <si>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</si>
  <si>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</si>
  <si>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</si>
  <si>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</si>
  <si>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</si>
  <si>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</si>
  <si>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</si>
  <si>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</si>
  <si>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</si>
  <si>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</si>
  <si>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</si>
  <si>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</si>
  <si>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</si>
  <si>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</si>
  <si>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</si>
  <si>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</si>
  <si>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</si>
  <si>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</si>
  <si>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</si>
  <si>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</si>
  <si>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</si>
  <si>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</si>
  <si>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</si>
  <si>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</si>
  <si>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</si>
  <si>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</si>
  <si>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</si>
  <si>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</si>
  <si>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</si>
  <si>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</si>
  <si>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</si>
  <si>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</si>
  <si>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</si>
  <si>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</si>
  <si>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</si>
  <si>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</si>
  <si>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</si>
  <si>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</si>
  <si>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</si>
  <si>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</si>
  <si>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</si>
  <si>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</si>
  <si>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</si>
  <si>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</si>
  <si>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</si>
  <si>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</si>
  <si>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</si>
  <si>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</si>
  <si>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</si>
  <si>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</si>
  <si>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</si>
  <si>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</si>
  <si>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</si>
  <si>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</si>
  <si>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</si>
  <si>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</si>
  <si>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</si>
  <si>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</si>
  <si>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</si>
  <si>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</si>
  <si>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</si>
  <si>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</si>
  <si>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</si>
  <si>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</si>
  <si>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</si>
  <si>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</si>
  <si>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</si>
  <si>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</si>
  <si>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</si>
  <si>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</si>
  <si>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</si>
  <si>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</si>
  <si>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</si>
  <si>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</si>
  <si>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</si>
  <si>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</si>
  <si>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</si>
  <si>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</si>
  <si>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</si>
  <si>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</si>
  <si>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</si>
  <si>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</si>
  <si>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</si>
  <si>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</si>
  <si>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</si>
  <si>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</si>
  <si>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</si>
  <si>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</si>
  <si>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</si>
  <si>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</si>
  <si>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</si>
  <si>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</si>
  <si>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</si>
  <si>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</si>
  <si>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</si>
  <si>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</si>
  <si>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</si>
  <si>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</si>
  <si>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</si>
  <si>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</si>
  <si>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</si>
  <si>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</si>
  <si>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</si>
  <si>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</si>
  <si>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</si>
  <si>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</si>
  <si>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</si>
  <si>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</si>
  <si>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</si>
  <si>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</si>
  <si>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</si>
  <si>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</si>
  <si>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</si>
  <si>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</si>
  <si>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</si>
  <si>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</si>
  <si>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</si>
  <si>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</si>
  <si>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</si>
  <si>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</si>
  <si>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</si>
  <si>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</si>
  <si>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</si>
  <si>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</si>
  <si>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</si>
  <si>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</si>
  <si>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</si>
  <si>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</si>
  <si>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</si>
  <si>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</si>
  <si>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</si>
  <si>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</si>
  <si>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</si>
  <si>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</si>
  <si>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</si>
  <si>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</si>
  <si>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</si>
  <si>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</si>
  <si>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</si>
  <si>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</si>
  <si>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</si>
  <si>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</si>
  <si>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</si>
  <si>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</si>
  <si>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</si>
  <si>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</si>
  <si>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</si>
  <si>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</si>
  <si>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</si>
  <si>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</si>
  <si>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</si>
  <si>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</si>
  <si>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</si>
  <si>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</si>
  <si>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</si>
  <si>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</si>
  <si>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</si>
  <si>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</si>
  <si>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</si>
  <si>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</si>
  <si>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</si>
  <si>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</si>
  <si>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</si>
  <si>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</si>
  <si>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</si>
  <si>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</si>
  <si>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</si>
  <si>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</si>
  <si>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</si>
  <si>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</si>
  <si>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</si>
  <si>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</si>
  <si>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</si>
  <si>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</si>
  <si>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</si>
  <si>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</si>
  <si>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</si>
  <si>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</si>
  <si>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</si>
  <si>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</si>
  <si>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</si>
  <si>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</si>
  <si>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</si>
  <si>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</si>
  <si>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</si>
  <si>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</si>
  <si>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</si>
  <si>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</si>
  <si>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</si>
  <si>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</si>
  <si>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</si>
  <si>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</si>
  <si>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</si>
  <si>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</si>
  <si>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</si>
  <si>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</si>
  <si>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</si>
  <si>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</si>
  <si>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</si>
  <si>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</si>
  <si>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</si>
  <si>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</si>
  <si>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</si>
  <si>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</si>
  <si>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</si>
  <si>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</si>
  <si>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</si>
  <si>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</si>
  <si>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</si>
  <si>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</si>
  <si>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</si>
  <si>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</si>
  <si>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</si>
  <si>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</si>
  <si>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</si>
  <si>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</si>
  <si>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</si>
  <si>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</si>
  <si>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</si>
  <si>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</si>
  <si>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</si>
  <si>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</si>
  <si>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</si>
  <si>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</si>
  <si>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</si>
  <si>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</si>
  <si>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</si>
  <si>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</si>
  <si>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</si>
  <si>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</si>
  <si>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</si>
  <si>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</si>
  <si>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</si>
  <si>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</si>
  <si>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</si>
  <si>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</si>
  <si>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</si>
  <si>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</si>
  <si>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</si>
  <si>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</si>
  <si>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</si>
  <si>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</si>
  <si>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</si>
  <si>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</si>
  <si>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</si>
  <si>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</si>
  <si>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</si>
  <si>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</si>
  <si>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</si>
  <si>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</si>
  <si>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</si>
  <si>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</si>
  <si>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</si>
  <si>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</si>
  <si>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</si>
  <si>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</si>
  <si>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</si>
  <si>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</si>
  <si>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</si>
  <si>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</si>
  <si>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</si>
  <si>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</si>
  <si>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</si>
  <si>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</si>
  <si>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</si>
  <si>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</si>
  <si>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</si>
  <si>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</si>
  <si>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</si>
  <si>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</si>
  <si>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</si>
  <si>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</si>
  <si>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</si>
  <si>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</si>
  <si>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</si>
  <si>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</si>
  <si>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</si>
  <si>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</si>
  <si>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</si>
  <si>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</si>
  <si>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</si>
  <si>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</si>
  <si>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</si>
  <si>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</si>
  <si>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</si>
  <si>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</si>
  <si>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</si>
  <si>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</si>
  <si>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</si>
  <si>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</si>
  <si>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</si>
  <si>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</si>
  <si>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</si>
  <si>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</si>
  <si>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</si>
  <si>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</si>
  <si>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</si>
  <si>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</si>
  <si>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</si>
  <si>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</si>
  <si>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</si>
  <si>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</si>
  <si>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</si>
  <si>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</si>
  <si>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</si>
  <si>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</si>
  <si>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</si>
  <si>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</si>
  <si>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</si>
  <si>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</si>
  <si>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</si>
  <si>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</si>
  <si>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</si>
  <si>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</si>
  <si>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</si>
  <si>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</si>
  <si>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</si>
  <si>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</si>
  <si>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</si>
  <si>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</si>
  <si>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</si>
  <si>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</si>
  <si>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</si>
  <si>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</si>
  <si>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</si>
  <si>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</si>
  <si>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</si>
  <si>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</si>
  <si>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</si>
  <si>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</si>
  <si>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</si>
  <si>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</si>
  <si>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</si>
  <si>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</si>
  <si>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</si>
  <si>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</si>
  <si>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</si>
  <si>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</si>
  <si>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</si>
  <si>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</si>
  <si>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</si>
  <si>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</si>
  <si>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</si>
  <si>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</si>
  <si>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</si>
  <si>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</si>
  <si>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</si>
  <si>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</si>
  <si>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</si>
  <si>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</si>
  <si>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</si>
  <si>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</si>
  <si>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</si>
  <si>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</si>
  <si>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</si>
  <si>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</si>
  <si>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</si>
  <si>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</si>
  <si>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</si>
  <si>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</si>
  <si>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</si>
  <si>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</si>
  <si>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</si>
  <si>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</si>
  <si>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</si>
  <si>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</si>
  <si>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</si>
  <si>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</si>
  <si>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</si>
  <si>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</si>
  <si>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</si>
  <si>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</si>
  <si>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</si>
  <si>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</si>
  <si>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</si>
  <si>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</si>
  <si>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</si>
  <si>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</si>
  <si>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</si>
  <si>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</si>
  <si>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</si>
  <si>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</si>
  <si>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</si>
  <si>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</si>
  <si>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</si>
  <si>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</si>
  <si>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</si>
  <si>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</si>
  <si>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</si>
  <si>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</si>
  <si>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</si>
  <si>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</si>
  <si>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</si>
  <si>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</si>
  <si>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</si>
  <si>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</si>
  <si>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</si>
  <si>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</si>
  <si>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</si>
  <si>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</si>
  <si>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</si>
  <si>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</si>
  <si>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</si>
  <si>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</si>
  <si>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</si>
  <si>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</si>
  <si>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</si>
  <si>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</si>
  <si>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</si>
  <si>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</si>
  <si>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</si>
  <si>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</si>
  <si>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</si>
  <si>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</si>
  <si>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</si>
  <si>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</si>
  <si>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</si>
  <si>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</si>
  <si>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</si>
  <si>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</si>
  <si>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</si>
  <si>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</si>
  <si>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</si>
  <si>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</si>
  <si>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</si>
  <si>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</si>
  <si>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</si>
  <si>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</si>
  <si>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</si>
  <si>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</si>
  <si>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</si>
  <si>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</si>
  <si>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</si>
  <si>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</si>
  <si>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</si>
  <si>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</si>
  <si>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</si>
  <si>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</si>
  <si>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</si>
  <si>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</si>
  <si>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</si>
  <si>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</si>
  <si>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</si>
  <si>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</si>
  <si>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</si>
  <si>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</si>
  <si>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</si>
  <si>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</si>
  <si>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</si>
  <si>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</si>
  <si>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</si>
  <si>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</si>
  <si>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</si>
  <si>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</si>
  <si>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</si>
  <si>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</si>
  <si>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</si>
  <si>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</si>
  <si>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</si>
  <si>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</si>
  <si>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</si>
  <si>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</si>
  <si>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</si>
  <si>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</si>
  <si>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</si>
  <si>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</si>
  <si>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</si>
  <si>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</si>
  <si>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</si>
  <si>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</si>
  <si>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</si>
  <si>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</si>
  <si>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</si>
  <si>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</si>
  <si>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</si>
  <si>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</si>
  <si>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</si>
  <si>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</si>
  <si>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</si>
  <si>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</si>
  <si>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</si>
  <si>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</si>
  <si>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</si>
  <si>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</si>
  <si>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</si>
  <si>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</si>
  <si>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</si>
  <si>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</si>
  <si>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</si>
  <si>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</si>
  <si>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</si>
  <si>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</si>
  <si>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</si>
  <si>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</si>
  <si>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</si>
  <si>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</si>
  <si>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</si>
  <si>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</si>
  <si>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</si>
  <si>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</si>
  <si>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</si>
  <si>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</si>
  <si>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</si>
  <si>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</si>
  <si>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</si>
  <si>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</si>
  <si>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</si>
  <si>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</si>
  <si>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</si>
  <si>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</si>
  <si>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</si>
  <si>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</si>
  <si>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</si>
  <si>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</si>
  <si>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</si>
  <si>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</si>
  <si>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</si>
  <si>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</si>
  <si>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</si>
  <si>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</si>
  <si>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</si>
  <si>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</si>
  <si>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</si>
  <si>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</si>
  <si>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</si>
  <si>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</si>
  <si>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</si>
  <si>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</si>
  <si>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</si>
  <si>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</si>
  <si>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</si>
  <si>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</si>
  <si>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</si>
  <si>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</si>
  <si>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</si>
  <si>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</si>
  <si>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</si>
  <si>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</si>
  <si>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</si>
  <si>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</si>
  <si>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</si>
  <si>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</si>
  <si>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</si>
  <si>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</si>
  <si>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</si>
  <si>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</si>
  <si>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</si>
  <si>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</si>
  <si>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</si>
  <si>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</si>
  <si>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</si>
  <si>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</si>
  <si>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</si>
  <si>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</si>
  <si>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</si>
  <si>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</si>
  <si>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</si>
  <si>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</si>
  <si>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</si>
  <si>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</si>
  <si>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</si>
  <si>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</si>
  <si>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</si>
  <si>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</si>
  <si>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</si>
  <si>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</si>
  <si>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</si>
  <si>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</si>
  <si>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</si>
  <si>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</si>
  <si>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</si>
  <si>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</si>
  <si>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</si>
  <si>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</si>
  <si>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</si>
  <si>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</si>
  <si>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</si>
  <si>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</si>
  <si>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</si>
  <si>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</si>
  <si>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</si>
  <si>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</si>
  <si>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</si>
  <si>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</si>
  <si>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</si>
  <si>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</si>
  <si>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</si>
  <si>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</si>
  <si>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</si>
  <si>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</si>
  <si>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</si>
  <si>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</si>
  <si>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</si>
  <si>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</si>
  <si>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</si>
  <si>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</si>
  <si>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</si>
  <si>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</si>
  <si>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</si>
  <si>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</si>
  <si>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</si>
  <si>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</si>
  <si>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</si>
  <si>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</si>
  <si>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</si>
  <si>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</si>
  <si>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</si>
  <si>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</si>
  <si>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</si>
  <si>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</si>
  <si>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</si>
  <si>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</si>
  <si>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</si>
  <si>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</si>
  <si>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</si>
  <si>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</si>
  <si>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</si>
  <si>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</si>
  <si>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</si>
  <si>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</si>
  <si>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</si>
  <si>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</si>
  <si>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</si>
  <si>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</si>
  <si>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</si>
  <si>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</si>
  <si>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</si>
  <si>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</si>
  <si>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</si>
  <si>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</si>
  <si>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</si>
  <si>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</si>
  <si>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</si>
  <si>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</si>
  <si>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</si>
  <si>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</si>
  <si>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</si>
  <si>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</si>
  <si>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</si>
  <si>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</si>
  <si>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</si>
  <si>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</si>
  <si>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</si>
  <si>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</si>
  <si>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</si>
  <si>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</si>
  <si>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</si>
  <si>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</si>
  <si>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</si>
  <si>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</si>
  <si>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</si>
  <si>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</si>
  <si>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</si>
  <si>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</si>
  <si>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</si>
  <si>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</si>
  <si>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</si>
  <si>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</si>
  <si>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</si>
  <si>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</si>
  <si>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</si>
  <si>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</si>
  <si>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</si>
  <si>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</si>
  <si>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</si>
  <si>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</si>
  <si>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</si>
  <si>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</si>
  <si>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</si>
  <si>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</si>
  <si>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</si>
  <si>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</si>
  <si>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</si>
  <si>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</si>
  <si>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</si>
  <si>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</si>
  <si>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</si>
  <si>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</si>
  <si>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</si>
  <si>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</si>
  <si>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</si>
  <si>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</si>
  <si>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</si>
  <si>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</si>
  <si>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</si>
  <si>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</si>
  <si>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</si>
  <si>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</si>
  <si>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</si>
  <si>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</si>
  <si>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</si>
  <si>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</si>
  <si>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</si>
  <si>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</si>
  <si>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</si>
  <si>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</si>
  <si>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</si>
  <si>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</si>
  <si>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</si>
  <si>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</si>
  <si>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</si>
  <si>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</si>
  <si>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</si>
  <si>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</si>
  <si>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</si>
  <si>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</si>
  <si>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</si>
  <si>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</si>
  <si>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</si>
  <si>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</si>
  <si>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</si>
  <si>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</si>
  <si>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</si>
  <si>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</si>
  <si>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</si>
  <si>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</si>
  <si>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</si>
  <si>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</si>
  <si>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</si>
  <si>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</si>
  <si>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</si>
  <si>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</si>
  <si>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</si>
  <si>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</si>
  <si>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</si>
  <si>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</si>
  <si>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</si>
  <si>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</si>
  <si>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</si>
  <si>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</si>
  <si>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</si>
  <si>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</si>
  <si>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</si>
  <si>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</si>
  <si>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</si>
  <si>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</si>
  <si>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</si>
  <si>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</si>
  <si>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</si>
  <si>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</si>
  <si>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</si>
  <si>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</si>
  <si>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</si>
  <si>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</si>
  <si>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</si>
  <si>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</si>
  <si>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</si>
  <si>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</si>
  <si>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</si>
  <si>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</si>
  <si>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</si>
  <si>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</si>
  <si>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</si>
  <si>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</si>
  <si>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</si>
  <si>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</si>
  <si>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</si>
  <si>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</si>
  <si>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</si>
  <si>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</si>
  <si>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</si>
  <si>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</si>
  <si>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</si>
  <si>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</si>
  <si>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</si>
  <si>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</si>
  <si>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</si>
  <si>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</si>
  <si>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</si>
  <si>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</si>
  <si>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</si>
  <si>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</si>
  <si>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</si>
  <si>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</si>
  <si>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</si>
  <si>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</si>
  <si>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</si>
  <si>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</si>
  <si>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</si>
  <si>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</si>
  <si>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</si>
  <si>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</si>
  <si>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</si>
  <si>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</si>
  <si>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</si>
  <si>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</si>
  <si>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</si>
  <si>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</si>
  <si>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</si>
  <si>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</si>
  <si>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</si>
  <si>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</si>
  <si>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</si>
  <si>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</si>
  <si>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</si>
  <si>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</si>
  <si>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</si>
  <si>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</si>
  <si>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</si>
  <si>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</si>
  <si>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</si>
  <si>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</si>
  <si>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</si>
  <si>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</si>
  <si>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</si>
  <si>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</si>
  <si>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</si>
  <si>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</si>
  <si>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</si>
  <si>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</si>
  <si>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</si>
  <si>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</si>
  <si>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</si>
  <si>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</si>
  <si>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</si>
  <si>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</si>
  <si>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</si>
  <si>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</si>
  <si>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</si>
  <si>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</si>
  <si>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</si>
  <si>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</si>
  <si>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</si>
  <si>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</si>
  <si>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</si>
  <si>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</si>
  <si>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</si>
  <si>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</si>
  <si>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</si>
  <si>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</si>
  <si>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</si>
  <si>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</si>
  <si>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</si>
  <si>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</si>
  <si>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</si>
  <si>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</si>
  <si>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</si>
  <si>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</si>
  <si>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</si>
  <si>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</si>
  <si>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</si>
  <si>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</si>
  <si>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</si>
  <si>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</si>
  <si>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</si>
  <si>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</si>
  <si>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</si>
  <si>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</si>
  <si>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</si>
  <si>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</si>
  <si>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</si>
  <si>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</si>
  <si>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</si>
  <si>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</si>
  <si>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</si>
  <si>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</si>
  <si>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</si>
  <si>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</si>
  <si>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</si>
  <si>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</si>
  <si>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</si>
  <si>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</si>
  <si>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</si>
  <si>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</si>
  <si>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</si>
  <si>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</si>
  <si>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</si>
  <si>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</si>
  <si>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</si>
  <si>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</si>
  <si>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</si>
  <si>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</si>
  <si>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</si>
  <si>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</si>
  <si>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</si>
  <si>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</si>
  <si>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</si>
  <si>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</si>
  <si>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</si>
  <si>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</si>
  <si>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</si>
  <si>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</si>
  <si>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</si>
  <si>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</si>
  <si>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</si>
  <si>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</si>
  <si>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</si>
  <si>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</si>
  <si>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</si>
  <si>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</si>
  <si>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</si>
  <si>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</si>
  <si>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</si>
  <si>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</si>
  <si>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</si>
  <si>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</si>
  <si>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</si>
  <si>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</si>
  <si>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</si>
  <si>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</si>
  <si>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</si>
  <si>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</si>
  <si>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</si>
  <si>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</si>
  <si>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</si>
  <si>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</si>
  <si>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</si>
  <si>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</si>
  <si>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</si>
  <si>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</si>
  <si>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</si>
  <si>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</si>
  <si>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</si>
  <si>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</si>
  <si>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</si>
  <si>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</si>
  <si>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</si>
  <si>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</si>
  <si>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</si>
  <si>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</si>
  <si>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</si>
  <si>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</si>
  <si>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</si>
  <si>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</si>
  <si>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</si>
  <si>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</si>
  <si>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</si>
  <si>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</si>
  <si>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</si>
  <si>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</si>
  <si>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</si>
  <si>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</si>
  <si>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</si>
  <si>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</si>
  <si>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</si>
  <si>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</si>
  <si>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</si>
  <si>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</si>
  <si>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</si>
  <si>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</si>
  <si>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</si>
  <si>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</si>
  <si>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</si>
  <si>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</si>
  <si>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</si>
  <si>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</si>
  <si>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</si>
  <si>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</si>
  <si>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</si>
  <si>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</si>
  <si>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</si>
  <si>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</si>
  <si>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</si>
  <si>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</si>
  <si>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</si>
  <si>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</si>
  <si>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</si>
  <si>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</si>
  <si>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</si>
  <si>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</si>
  <si>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</si>
  <si>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</si>
  <si>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</si>
  <si>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</si>
  <si>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</si>
  <si>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</si>
  <si>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</si>
  <si>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</si>
  <si>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</si>
  <si>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</si>
  <si>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</si>
  <si>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</si>
  <si>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</si>
  <si>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</si>
  <si>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</si>
  <si>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</si>
  <si>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</si>
  <si>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</si>
  <si>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</si>
  <si>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</si>
  <si>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</si>
  <si>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</si>
  <si>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</si>
  <si>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</si>
  <si>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</si>
  <si>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</si>
  <si>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</si>
  <si>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</si>
  <si>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</si>
  <si>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</si>
  <si>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</si>
  <si>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</si>
  <si>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</si>
  <si>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</si>
  <si>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</si>
  <si>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</si>
  <si>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</si>
  <si>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</si>
  <si>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</si>
  <si>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</si>
  <si>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</si>
  <si>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</si>
  <si>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</si>
  <si>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</si>
  <si>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</si>
  <si>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</si>
  <si>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</si>
  <si>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</si>
  <si>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</si>
  <si>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</si>
  <si>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</si>
  <si>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</si>
  <si>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</si>
  <si>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</si>
  <si>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</si>
  <si>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</si>
  <si>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</si>
  <si>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</si>
  <si>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</si>
  <si>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</si>
  <si>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</si>
  <si>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</si>
  <si>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</si>
  <si>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</si>
  <si>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</si>
  <si>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</si>
  <si>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</si>
  <si>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</si>
  <si>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</si>
  <si>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</si>
  <si>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</si>
  <si>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</si>
  <si>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</si>
  <si>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</si>
  <si>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</si>
  <si>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</si>
  <si>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</si>
  <si>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</si>
  <si>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</si>
  <si>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</si>
  <si>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</si>
  <si>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</si>
  <si>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</si>
  <si>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</si>
  <si>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</si>
  <si>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</si>
  <si>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</si>
  <si>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</si>
  <si>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</si>
  <si>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</si>
  <si>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</si>
  <si>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</si>
  <si>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</si>
  <si>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</si>
  <si>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</si>
  <si>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</si>
  <si>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</si>
  <si>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</si>
  <si>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</si>
  <si>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</si>
  <si>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</si>
  <si>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</si>
  <si>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</si>
  <si>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</si>
  <si>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</si>
  <si>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</si>
  <si>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</si>
  <si>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</si>
  <si>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</si>
  <si>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</si>
  <si>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</si>
  <si>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</si>
  <si>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</si>
  <si>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</si>
  <si>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</si>
  <si>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</si>
  <si>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</si>
  <si>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</si>
  <si>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</si>
  <si>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</si>
  <si>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</si>
  <si>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</si>
  <si>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</si>
  <si>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</si>
  <si>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</si>
  <si>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</si>
  <si>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</si>
  <si>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</si>
  <si>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</si>
  <si>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</si>
  <si>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</si>
  <si>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</si>
  <si>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</si>
  <si>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</si>
  <si>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</si>
  <si>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</si>
  <si>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</si>
  <si>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</si>
  <si>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</si>
  <si>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</si>
  <si>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</si>
  <si>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</si>
  <si>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</si>
  <si>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</si>
  <si>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</si>
  <si>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</si>
  <si>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</si>
  <si>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</si>
  <si>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</si>
  <si>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</si>
  <si>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</si>
  <si>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</si>
  <si>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</si>
  <si>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</si>
  <si>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</si>
  <si>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</si>
  <si>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</si>
  <si>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</si>
  <si>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</si>
  <si>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</si>
  <si>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</si>
  <si>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</si>
  <si>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</si>
  <si>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</si>
  <si>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</si>
  <si>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</si>
  <si>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</si>
  <si>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</si>
  <si>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</si>
  <si>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</si>
  <si>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</si>
  <si>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</si>
  <si>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</si>
  <si>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</si>
  <si>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</si>
  <si>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</si>
  <si>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</si>
  <si>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</si>
  <si>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</si>
  <si>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</si>
  <si>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</si>
  <si>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</si>
  <si>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</si>
  <si>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</si>
  <si>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</si>
  <si>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</si>
  <si>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</si>
  <si>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</si>
  <si>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</si>
  <si>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</si>
  <si>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</si>
  <si>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</si>
  <si>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</si>
  <si>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</si>
  <si>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</si>
  <si>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</si>
  <si>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</si>
  <si>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</si>
  <si>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</si>
  <si>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</si>
  <si>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</si>
  <si>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</si>
  <si>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</si>
  <si>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</si>
  <si>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</si>
  <si>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</si>
  <si>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</si>
  <si>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</si>
  <si>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</si>
  <si>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</si>
  <si>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</si>
  <si>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</si>
  <si>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</si>
  <si>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</si>
  <si>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</si>
  <si>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</si>
  <si>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</si>
  <si>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</si>
  <si>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</si>
  <si>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</si>
  <si>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</si>
  <si>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</si>
  <si>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</si>
  <si>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</si>
  <si>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</si>
  <si>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</si>
  <si>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</si>
  <si>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</si>
  <si>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</si>
  <si>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</si>
  <si>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</si>
  <si>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</si>
  <si>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</si>
  <si>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</si>
  <si>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</si>
  <si>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</si>
  <si>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</si>
  <si>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</si>
  <si>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</si>
  <si>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</si>
  <si>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</si>
  <si>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</si>
  <si>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</si>
  <si>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</si>
  <si>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</si>
  <si>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</si>
  <si>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</si>
  <si>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</si>
  <si>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</si>
  <si>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</si>
  <si>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</si>
  <si>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</si>
  <si>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</si>
  <si>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</si>
  <si>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</si>
  <si>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</si>
  <si>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</si>
  <si>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</si>
  <si>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</si>
  <si>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</si>
  <si>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</si>
  <si>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</si>
  <si>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</si>
  <si>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</si>
  <si>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</si>
  <si>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</si>
  <si>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</si>
  <si>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</si>
  <si>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</si>
  <si>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</si>
  <si>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</si>
  <si>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</si>
  <si>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</si>
  <si>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</si>
  <si>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</si>
  <si>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</si>
  <si>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</si>
  <si>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</si>
  <si>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</si>
  <si>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</si>
  <si>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</si>
  <si>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</si>
  <si>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</si>
  <si>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</si>
  <si>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</si>
  <si>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</si>
  <si>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</si>
  <si>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</si>
  <si>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</si>
  <si>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</si>
  <si>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</si>
  <si>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</si>
  <si>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</si>
  <si>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</si>
  <si>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</si>
  <si>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</si>
  <si>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</si>
  <si>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</si>
  <si>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</si>
  <si>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</si>
  <si>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</si>
  <si>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</si>
  <si>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</si>
  <si>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</si>
  <si>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</si>
  <si>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</si>
  <si>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</si>
  <si>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</si>
  <si>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</si>
  <si>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</si>
  <si>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</si>
  <si>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</si>
  <si>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</si>
  <si>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</si>
  <si>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</si>
  <si>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</si>
  <si>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</si>
  <si>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</si>
  <si>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</si>
  <si>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</si>
  <si>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</si>
  <si>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</si>
  <si>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</si>
  <si>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</si>
  <si>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</si>
  <si>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</si>
  <si>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</si>
  <si>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</si>
  <si>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</si>
  <si>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</si>
  <si>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</si>
  <si>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</si>
  <si>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</si>
  <si>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</si>
  <si>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</si>
  <si>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</si>
  <si>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</si>
  <si>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</si>
  <si>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</si>
  <si>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</si>
  <si>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</si>
  <si>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</si>
  <si>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</si>
  <si>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</si>
  <si>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</si>
  <si>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</si>
  <si>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</si>
  <si>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</si>
  <si>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</si>
  <si>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</si>
  <si>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</si>
  <si>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</si>
  <si>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</si>
  <si>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</si>
  <si>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</si>
  <si>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</si>
  <si>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</si>
  <si>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</si>
  <si>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</si>
  <si>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</si>
  <si>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</si>
  <si>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</si>
  <si>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</si>
  <si>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</si>
  <si>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</si>
  <si>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</si>
  <si>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</si>
  <si>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</si>
  <si>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</si>
  <si>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</si>
  <si>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</si>
  <si>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</si>
  <si>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</si>
  <si>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</si>
  <si>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</si>
  <si>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</si>
  <si>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</si>
  <si>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</si>
  <si>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</si>
  <si>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</si>
  <si>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</si>
  <si>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</si>
  <si>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</si>
  <si>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</si>
  <si>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</si>
  <si>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</si>
  <si>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</si>
  <si>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</si>
  <si>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</si>
  <si>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</si>
  <si>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</si>
  <si>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</si>
  <si>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</si>
  <si>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</si>
  <si>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</si>
  <si>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</si>
  <si>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</si>
  <si>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</si>
  <si>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</si>
  <si>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</si>
  <si>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</si>
  <si>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</si>
  <si>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</si>
  <si>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</si>
  <si>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</si>
  <si>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</si>
  <si>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</si>
  <si>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</si>
  <si>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</si>
  <si>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</si>
  <si>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</si>
  <si>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</si>
  <si>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</si>
  <si>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</si>
  <si>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</si>
  <si>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</si>
  <si>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</si>
  <si>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</si>
  <si>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</si>
  <si>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</si>
  <si>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</si>
  <si>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</si>
  <si>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</si>
  <si>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</si>
  <si>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</si>
  <si>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</si>
  <si>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</si>
  <si>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</si>
  <si>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</si>
  <si>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</si>
  <si>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</si>
  <si>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</si>
  <si>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</si>
  <si>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</si>
  <si>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</si>
  <si>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</si>
  <si>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</si>
  <si>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</si>
  <si>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</si>
  <si>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</si>
  <si>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</si>
  <si>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</si>
  <si>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</si>
  <si>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</si>
  <si>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</si>
  <si>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</si>
  <si>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</si>
  <si>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</si>
  <si>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</si>
  <si>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</si>
  <si>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</si>
  <si>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</si>
  <si>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</si>
  <si>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</si>
  <si>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</si>
  <si>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</si>
  <si>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</si>
  <si>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</si>
  <si>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</si>
  <si>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</si>
  <si>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</si>
  <si>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</si>
  <si>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</si>
  <si>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</si>
  <si>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</si>
  <si>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</si>
  <si>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</si>
  <si>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</si>
  <si>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</si>
  <si>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</si>
  <si>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</si>
  <si>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</si>
  <si>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</si>
  <si>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</si>
  <si>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</si>
  <si>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</si>
  <si>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</si>
  <si>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</si>
  <si>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</si>
  <si>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</si>
  <si>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</si>
  <si>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</si>
  <si>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</si>
  <si>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</si>
  <si>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</si>
  <si>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</si>
  <si>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</si>
  <si>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</si>
  <si>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</si>
  <si>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</si>
  <si>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</si>
  <si>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</si>
  <si>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</si>
  <si>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</si>
  <si>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</si>
  <si>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</si>
  <si>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</si>
  <si>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</si>
  <si>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</si>
  <si>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</si>
  <si>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</si>
  <si>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</si>
  <si>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</si>
  <si>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</si>
  <si>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</si>
  <si>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</si>
  <si>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</si>
  <si>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</si>
  <si>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</si>
  <si>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</si>
  <si>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</si>
  <si>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</si>
  <si>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</si>
  <si>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</si>
  <si>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</si>
  <si>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</si>
  <si>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</si>
  <si>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</si>
  <si>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</si>
  <si>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</si>
  <si>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</si>
  <si>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</si>
  <si>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</si>
  <si>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</si>
  <si>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</si>
  <si>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</si>
  <si>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</si>
  <si>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</si>
  <si>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</si>
  <si>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</si>
  <si>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</si>
  <si>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</si>
  <si>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</si>
  <si>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</si>
  <si>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</si>
  <si>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</si>
  <si>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</si>
  <si>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</si>
  <si>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</si>
  <si>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</si>
  <si>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</si>
  <si>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</si>
  <si>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</si>
  <si>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</si>
  <si>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</si>
  <si>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</si>
  <si>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</si>
  <si>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</si>
  <si>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</si>
  <si>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</si>
  <si>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</si>
  <si>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</si>
  <si>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</si>
  <si>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</si>
  <si>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</si>
  <si>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</si>
  <si>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</si>
  <si>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</si>
  <si>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</si>
  <si>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</si>
  <si>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</si>
  <si>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</si>
  <si>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</si>
  <si>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</si>
  <si>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</si>
  <si>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</si>
  <si>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</si>
  <si>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</si>
  <si>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</si>
  <si>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</si>
  <si>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</si>
  <si>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</si>
  <si>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</si>
  <si>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</si>
  <si>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</si>
  <si>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</si>
  <si>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</si>
  <si>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</si>
  <si>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</si>
  <si>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</si>
  <si>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</si>
  <si>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</si>
  <si>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</si>
  <si>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</si>
  <si>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</si>
  <si>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</si>
  <si>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</si>
  <si>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</si>
  <si>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</si>
  <si>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</si>
  <si>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</si>
  <si>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</si>
  <si>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</si>
  <si>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</si>
  <si>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</si>
  <si>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</si>
  <si>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</si>
  <si>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</si>
  <si>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</si>
  <si>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</si>
  <si>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</si>
  <si>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</si>
  <si>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</si>
  <si>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</si>
  <si>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</si>
  <si>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</si>
  <si>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</si>
  <si>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</si>
  <si>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</si>
  <si>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</si>
  <si>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</si>
  <si>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</si>
  <si>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</si>
  <si>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</si>
  <si>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</si>
  <si>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</si>
  <si>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</si>
  <si>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</si>
  <si>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</si>
  <si>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</si>
  <si>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</si>
  <si>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</si>
  <si>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</si>
  <si>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</si>
  <si>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</si>
  <si>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</si>
  <si>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</si>
  <si>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</si>
  <si>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</si>
  <si>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</si>
  <si>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</si>
  <si>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</si>
  <si>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</si>
  <si>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</si>
  <si>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</si>
  <si>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</si>
  <si>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</si>
  <si>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</si>
  <si>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</si>
  <si>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</si>
  <si>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</si>
  <si>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</si>
  <si>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</si>
  <si>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</si>
  <si>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</si>
  <si>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</si>
  <si>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</si>
  <si>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</si>
  <si>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</si>
  <si>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</si>
  <si>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</si>
  <si>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</si>
  <si>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</si>
  <si>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</si>
  <si>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</si>
  <si>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</si>
  <si>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</si>
  <si>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</si>
  <si>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</si>
  <si>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</si>
  <si>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</si>
  <si>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</si>
  <si>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</si>
  <si>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</si>
  <si>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</si>
  <si>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</si>
  <si>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</si>
  <si>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</si>
  <si>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</si>
  <si>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</si>
  <si>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</si>
  <si>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</si>
  <si>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</si>
  <si>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</si>
  <si>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</si>
  <si>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</si>
  <si>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</si>
  <si>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</si>
  <si>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</si>
  <si>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</si>
  <si>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</si>
  <si>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</si>
  <si>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</si>
  <si>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</si>
  <si>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</si>
  <si>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</si>
  <si>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</si>
  <si>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</si>
  <si>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</si>
  <si>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</si>
  <si>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</si>
  <si>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</si>
  <si>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</si>
  <si>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</si>
  <si>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</si>
  <si>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</si>
  <si>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</si>
  <si>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</si>
  <si>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</si>
  <si>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</si>
  <si>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</si>
  <si>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</si>
  <si>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</si>
  <si>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</si>
  <si>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</si>
  <si>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</si>
  <si>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</si>
  <si>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</si>
  <si>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</si>
  <si>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</si>
  <si>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</si>
  <si>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</si>
  <si>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</si>
  <si>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</si>
  <si>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</si>
  <si>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</si>
  <si>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</si>
  <si>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</si>
  <si>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</si>
  <si>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</si>
  <si>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</si>
  <si>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</si>
  <si>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</si>
  <si>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</si>
  <si>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</si>
  <si>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</si>
  <si>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</si>
  <si>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</si>
  <si>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</si>
  <si>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</si>
  <si>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</si>
  <si>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</si>
  <si>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</si>
  <si>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</si>
  <si>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</si>
  <si>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</si>
  <si>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</si>
  <si>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</si>
  <si>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</si>
  <si>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</si>
  <si>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</si>
  <si>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</si>
  <si>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</si>
  <si>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</si>
  <si>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</si>
  <si>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</si>
  <si>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</si>
  <si>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</si>
  <si>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</si>
  <si>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</si>
  <si>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</si>
  <si>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</si>
  <si>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</si>
  <si>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</si>
  <si>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</si>
  <si>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</si>
  <si>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</si>
  <si>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</si>
  <si>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</si>
  <si>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</si>
  <si>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</si>
  <si>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</si>
  <si>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</si>
  <si>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</si>
  <si>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</si>
  <si>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</si>
  <si>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</si>
  <si>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</si>
  <si>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</si>
  <si>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</si>
  <si>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</si>
  <si>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</si>
  <si>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</si>
  <si>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</si>
  <si>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</si>
  <si>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</si>
  <si>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</si>
  <si>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</si>
  <si>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</si>
  <si>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</si>
  <si>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</si>
  <si>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</si>
  <si>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</si>
  <si>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</si>
  <si>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</si>
  <si>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</si>
  <si>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</si>
  <si>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</si>
  <si>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</si>
  <si>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</si>
  <si>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</si>
  <si>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</si>
  <si>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</si>
  <si>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</si>
  <si>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</si>
  <si>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</si>
  <si>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</si>
  <si>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</si>
  <si>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</si>
  <si>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</si>
  <si>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</si>
  <si>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</si>
  <si>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</si>
  <si>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</si>
  <si>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</si>
  <si>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</si>
  <si>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</si>
  <si>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</si>
  <si>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</si>
  <si>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</si>
  <si>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</si>
  <si>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</si>
  <si>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</si>
  <si>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</si>
  <si>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</si>
  <si>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</si>
  <si>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</si>
  <si>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</si>
  <si>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</si>
  <si>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</si>
  <si>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</si>
  <si>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</si>
  <si>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</si>
  <si>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</si>
  <si>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</si>
  <si>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</si>
  <si>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</si>
  <si>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</si>
  <si>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</si>
  <si>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</si>
  <si>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</si>
  <si>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</si>
  <si>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</si>
  <si>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</si>
  <si>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</si>
  <si>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</si>
  <si>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</si>
  <si>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</si>
  <si>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</si>
  <si>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</si>
  <si>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</si>
  <si>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</si>
  <si>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</si>
  <si>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</si>
  <si>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</si>
  <si>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</si>
  <si>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</si>
  <si>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</si>
  <si>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</si>
  <si>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</si>
  <si>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</si>
  <si>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</si>
  <si>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</si>
  <si>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</si>
  <si>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</si>
  <si>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</si>
  <si>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</si>
  <si>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</si>
  <si>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</si>
  <si>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</si>
  <si>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</si>
  <si>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</si>
  <si>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</si>
  <si>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</si>
  <si>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</si>
  <si>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</si>
  <si>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</si>
  <si>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</si>
  <si>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</si>
  <si>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</si>
  <si>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</si>
  <si>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</si>
  <si>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</si>
  <si>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</si>
  <si>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</si>
  <si>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</si>
  <si>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</si>
  <si>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</si>
  <si>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</si>
  <si>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</si>
  <si>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</si>
  <si>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</si>
  <si>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</si>
  <si>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</si>
  <si>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</si>
  <si>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</si>
  <si>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</si>
  <si>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</si>
  <si>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</si>
  <si>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</si>
  <si>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</si>
  <si>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</si>
  <si>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</si>
  <si>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</si>
  <si>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</si>
  <si>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</si>
  <si>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</si>
  <si>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</si>
  <si>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</si>
  <si>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</si>
  <si>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</si>
  <si>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</si>
  <si>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</si>
  <si>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</si>
  <si>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</si>
  <si>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</si>
  <si>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</si>
  <si>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</si>
  <si>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</si>
  <si>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</si>
  <si>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</si>
  <si>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</si>
  <si>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</si>
  <si>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</si>
  <si>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</si>
  <si>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</si>
  <si>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</si>
  <si>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</si>
  <si>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</si>
  <si>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</si>
  <si>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</si>
  <si>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</si>
  <si>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</si>
  <si>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</si>
  <si>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</si>
  <si>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</si>
  <si>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</si>
  <si>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</si>
  <si>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</si>
  <si>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</si>
  <si>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</si>
  <si>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</si>
  <si>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</si>
  <si>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</si>
  <si>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</si>
  <si>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</si>
  <si>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</si>
  <si>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</si>
  <si>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</si>
  <si>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</si>
  <si>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</si>
  <si>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</si>
  <si>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</si>
  <si>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</si>
  <si>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</si>
  <si>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</si>
  <si>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</si>
  <si>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</si>
  <si>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</si>
  <si>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</si>
  <si>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</si>
  <si>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</si>
  <si>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</si>
  <si>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</si>
  <si>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</si>
  <si>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</si>
  <si>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</si>
  <si>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</si>
  <si>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</si>
  <si>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</si>
  <si>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</si>
  <si>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</si>
  <si>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</si>
  <si>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</si>
  <si>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</si>
  <si>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</si>
  <si>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</si>
  <si>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</si>
  <si>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</si>
  <si>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</si>
  <si>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</si>
  <si>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</si>
  <si>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</si>
  <si>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</si>
  <si>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</si>
  <si>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</si>
  <si>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</si>
  <si>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</si>
  <si>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</si>
  <si>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</si>
  <si>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</si>
  <si>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</si>
  <si>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</si>
  <si>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</si>
  <si>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</si>
  <si>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</si>
  <si>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</si>
  <si>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</si>
  <si>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</si>
  <si>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</si>
  <si>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</si>
  <si>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</si>
  <si>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</si>
  <si>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</si>
  <si>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</si>
  <si>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</si>
  <si>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</si>
  <si>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</si>
  <si>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</si>
  <si>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</si>
  <si>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</si>
  <si>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</si>
  <si>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</si>
  <si>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</si>
  <si>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</si>
  <si>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</si>
  <si>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</si>
  <si>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</si>
  <si>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</si>
  <si>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</si>
  <si>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</si>
  <si>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</si>
  <si>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</si>
  <si>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</si>
  <si>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</si>
  <si>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</si>
  <si>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</si>
  <si>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</si>
  <si>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</si>
  <si>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</si>
  <si>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</si>
  <si>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</si>
  <si>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</si>
  <si>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</si>
  <si>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</si>
  <si>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</si>
  <si>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</si>
  <si>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</si>
  <si>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</si>
  <si>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</si>
  <si>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</si>
  <si>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</si>
  <si>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</si>
  <si>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</si>
  <si>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</si>
  <si>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</si>
  <si>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</si>
  <si>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</si>
  <si>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</si>
  <si>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</si>
  <si>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</si>
  <si>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</si>
  <si>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</si>
  <si>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</si>
  <si>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</si>
  <si>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</si>
  <si>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</si>
  <si>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</si>
  <si>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</si>
  <si>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</si>
  <si>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</si>
  <si>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</si>
  <si>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</si>
  <si>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</si>
  <si>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</si>
  <si>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</si>
  <si>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</si>
  <si>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</si>
  <si>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</si>
  <si>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</si>
  <si>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</si>
  <si>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</si>
  <si>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</si>
  <si>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</si>
  <si>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</si>
  <si>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</si>
  <si>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</si>
  <si>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</si>
  <si>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</si>
  <si>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</si>
  <si>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</si>
  <si>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</si>
  <si>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</si>
  <si>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</si>
  <si>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</si>
  <si>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</si>
  <si>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</si>
  <si>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</si>
  <si>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</si>
  <si>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</si>
  <si>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</si>
  <si>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</si>
  <si>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</si>
  <si>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</si>
  <si>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</si>
  <si>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</si>
  <si>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</si>
  <si>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</si>
  <si>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</si>
  <si>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</si>
  <si>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</si>
  <si>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</si>
  <si>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</si>
  <si>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</si>
  <si>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</si>
  <si>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</si>
  <si>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</si>
  <si>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</si>
  <si>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</si>
  <si>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</si>
  <si>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</si>
  <si>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</si>
  <si>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</si>
  <si>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</si>
  <si>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</si>
  <si>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</si>
  <si>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</si>
  <si>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</si>
  <si>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</si>
  <si>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</si>
  <si>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</si>
  <si>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</si>
  <si>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</si>
  <si>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</si>
  <si>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</si>
  <si>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</si>
  <si>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</si>
  <si>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</si>
  <si>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</si>
  <si>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</si>
  <si>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</si>
  <si>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</si>
  <si>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</si>
  <si>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</si>
  <si>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</si>
  <si>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</si>
  <si>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</si>
  <si>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</si>
  <si>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</si>
  <si>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</si>
  <si>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</si>
  <si>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</si>
  <si>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</si>
  <si>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</si>
  <si>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</si>
  <si>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</si>
  <si>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</si>
  <si>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</si>
  <si>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</si>
  <si>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</si>
  <si>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</si>
  <si>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</si>
  <si>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</si>
  <si>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</si>
  <si>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</si>
  <si>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</si>
  <si>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</si>
  <si>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</si>
  <si>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</si>
  <si>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</si>
  <si>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</si>
  <si>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</si>
  <si>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</si>
  <si>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</si>
  <si>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</si>
  <si>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</si>
  <si>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</si>
  <si>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</si>
  <si>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</si>
  <si>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</si>
  <si>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</si>
  <si>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</si>
  <si>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</si>
  <si>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</si>
  <si>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</si>
  <si>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</si>
  <si>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</si>
  <si>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</si>
  <si>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</si>
  <si>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</si>
  <si>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</si>
  <si>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</si>
  <si>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</si>
  <si>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</si>
  <si>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</si>
  <si>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</si>
  <si>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</si>
  <si>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</si>
  <si>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</si>
  <si>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</si>
  <si>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</si>
  <si>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</si>
  <si>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</si>
  <si>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</si>
  <si>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</si>
  <si>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</si>
  <si>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</si>
  <si>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</si>
  <si>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</si>
  <si>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</si>
  <si>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</si>
  <si>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</si>
  <si>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</si>
  <si>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</si>
  <si>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</si>
  <si>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</si>
  <si>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</si>
  <si>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</si>
  <si>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</si>
  <si>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</si>
  <si>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</si>
  <si>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</si>
  <si>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</si>
  <si>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</si>
  <si>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</si>
  <si>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</si>
  <si>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</si>
  <si>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</si>
  <si>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</si>
  <si>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</si>
  <si>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</si>
  <si>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</si>
  <si>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</si>
  <si>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</si>
  <si>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</si>
  <si>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</si>
  <si>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</si>
  <si>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</si>
  <si>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</si>
  <si>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</si>
  <si>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</si>
  <si>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</si>
  <si>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</si>
  <si>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</si>
  <si>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</si>
  <si>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</si>
  <si>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</si>
  <si>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</si>
  <si>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</si>
  <si>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</si>
  <si>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</si>
  <si>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</si>
  <si>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</si>
  <si>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</si>
  <si>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</si>
  <si>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</si>
  <si>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</si>
  <si>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</si>
  <si>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</si>
  <si>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</si>
  <si>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</si>
  <si>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</si>
  <si>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</si>
  <si>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</si>
  <si>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</si>
  <si>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</si>
  <si>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</si>
  <si>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</si>
  <si>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</si>
  <si>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</si>
  <si>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</si>
  <si>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</si>
  <si>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</si>
  <si>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</si>
  <si>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</si>
  <si>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</si>
  <si>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</si>
  <si>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</si>
  <si>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</si>
  <si>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</si>
  <si>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</si>
  <si>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</si>
  <si>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</si>
  <si>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</si>
  <si>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</si>
  <si>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</si>
  <si>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</si>
  <si>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</si>
  <si>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</si>
  <si>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</si>
  <si>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</si>
  <si>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</si>
  <si>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</si>
  <si>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</si>
  <si>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</si>
  <si>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</si>
  <si>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</si>
  <si>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</si>
  <si>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</si>
  <si>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</si>
  <si>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</si>
  <si>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</si>
  <si>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</si>
  <si>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</si>
  <si>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</si>
  <si>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</si>
  <si>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</si>
  <si>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</si>
  <si>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</si>
  <si>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</si>
  <si>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</si>
  <si>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</si>
  <si>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</si>
  <si>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</si>
  <si>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</si>
  <si>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</si>
  <si>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</si>
  <si>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</si>
  <si>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</si>
  <si>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</si>
  <si>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</si>
  <si>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</si>
  <si>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</si>
  <si>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</si>
  <si>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</si>
  <si>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</si>
  <si>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</si>
  <si>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</si>
  <si>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</si>
  <si>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</si>
  <si>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</si>
  <si>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</si>
  <si>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</si>
  <si>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</si>
  <si>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</si>
  <si>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</si>
  <si>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</si>
  <si>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</si>
  <si>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</si>
  <si>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</si>
  <si>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</si>
  <si>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</si>
  <si>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</si>
  <si>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</si>
  <si>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</si>
  <si>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</si>
  <si>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</si>
  <si>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</si>
  <si>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</si>
  <si>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</si>
  <si>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</si>
  <si>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</si>
  <si>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</si>
  <si>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</si>
  <si>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</si>
  <si>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</si>
  <si>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</si>
  <si>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</si>
  <si>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</si>
  <si>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</si>
  <si>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</si>
  <si>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</si>
  <si>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</si>
  <si>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</si>
  <si>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</si>
  <si>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</si>
  <si>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</si>
  <si>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</si>
  <si>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</si>
  <si>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</si>
  <si>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</si>
  <si>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</si>
  <si>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</si>
  <si>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</si>
  <si>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</si>
  <si>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</si>
  <si>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</si>
  <si>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</si>
  <si>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</si>
  <si>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</si>
  <si>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</si>
  <si>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</si>
  <si>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</si>
  <si>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</si>
  <si>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</si>
  <si>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</si>
  <si>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</si>
  <si>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</si>
  <si>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</si>
  <si>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</si>
  <si>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</si>
  <si>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</si>
  <si>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</si>
  <si>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</si>
  <si>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</si>
  <si>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</si>
  <si>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</si>
  <si>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</si>
  <si>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</si>
  <si>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</si>
  <si>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</si>
  <si>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</si>
  <si>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</si>
  <si>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</si>
  <si>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</si>
  <si>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</si>
  <si>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</si>
  <si>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</si>
  <si>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</si>
  <si>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</si>
  <si>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</si>
  <si>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</si>
  <si>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</si>
  <si>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</si>
  <si>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</si>
  <si>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</si>
  <si>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</si>
  <si>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</si>
  <si>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</si>
  <si>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</si>
  <si>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</si>
  <si>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</si>
  <si>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</si>
  <si>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</si>
  <si>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</si>
  <si>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</si>
  <si>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</si>
  <si>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</si>
  <si>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</si>
  <si>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</si>
  <si>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</si>
  <si>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</si>
  <si>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</si>
  <si>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</si>
  <si>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</si>
  <si>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</si>
  <si>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</si>
  <si>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</si>
  <si>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</si>
  <si>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</si>
  <si>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</si>
  <si>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</si>
  <si>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</si>
  <si>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</si>
  <si>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</si>
  <si>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</si>
  <si>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</si>
  <si>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</si>
  <si>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</si>
  <si>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</si>
  <si>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</si>
  <si>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</si>
  <si>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</si>
  <si>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</si>
  <si>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</si>
  <si>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</si>
  <si>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</si>
  <si>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</si>
  <si>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</si>
  <si>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</si>
  <si>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</si>
  <si>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</si>
  <si>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</si>
  <si>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</si>
  <si>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</si>
  <si>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</si>
  <si>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</si>
  <si>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</si>
  <si>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</si>
  <si>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</si>
  <si>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</si>
  <si>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</si>
  <si>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</si>
  <si>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</si>
  <si>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</si>
  <si>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</si>
  <si>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</si>
  <si>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</si>
  <si>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</si>
  <si>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</si>
  <si>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</si>
  <si>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</si>
  <si>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</si>
  <si>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</si>
  <si>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</si>
  <si>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</si>
  <si>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</si>
  <si>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</si>
  <si>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</si>
  <si>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</si>
  <si>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</si>
  <si>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</si>
  <si>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</si>
  <si>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</si>
  <si>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</si>
  <si>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</si>
  <si>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</si>
  <si>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</si>
  <si>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</si>
  <si>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</si>
  <si>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</si>
  <si>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</si>
  <si>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</si>
  <si>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</si>
  <si>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</si>
  <si>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</si>
  <si>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</si>
  <si>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</si>
  <si>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</si>
  <si>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</si>
  <si>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</si>
  <si>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</si>
  <si>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</si>
  <si>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</si>
  <si>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</si>
  <si>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</si>
  <si>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</si>
  <si>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</si>
  <si>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</si>
  <si>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</si>
  <si>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</si>
  <si>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</si>
  <si>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</si>
  <si>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</si>
  <si>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</si>
  <si>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</si>
  <si>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</si>
  <si>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</si>
  <si>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</si>
  <si>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</si>
  <si>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</si>
  <si>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</si>
  <si>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</si>
  <si>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</si>
  <si>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</si>
  <si>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</si>
  <si>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</si>
  <si>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</si>
  <si>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</si>
  <si>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</si>
  <si>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</si>
  <si>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</si>
  <si>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</si>
  <si>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</si>
  <si>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</si>
  <si>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</si>
  <si>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</si>
  <si>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</si>
  <si>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</si>
  <si>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</si>
  <si>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</si>
  <si>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</si>
  <si>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</si>
  <si>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</si>
  <si>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</si>
  <si>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</si>
  <si>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</si>
  <si>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</si>
  <si>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</si>
  <si>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</si>
  <si>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</si>
  <si>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</si>
  <si>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</si>
  <si>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</si>
  <si>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</si>
  <si>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</si>
  <si>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</si>
  <si>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</si>
  <si>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</si>
  <si>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</si>
  <si>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</si>
  <si>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</si>
  <si>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</si>
  <si>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</si>
  <si>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</si>
  <si>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</si>
  <si>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</si>
  <si>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</si>
  <si>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</si>
  <si>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</si>
  <si>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</si>
  <si>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</si>
  <si>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</si>
  <si>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</si>
  <si>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</si>
  <si>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</si>
  <si>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</si>
  <si>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</si>
  <si>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</si>
  <si>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</si>
  <si>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</si>
  <si>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</si>
  <si>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</si>
  <si>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</si>
  <si>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</si>
  <si>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</si>
  <si>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</si>
  <si>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</si>
  <si>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</si>
  <si>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</si>
  <si>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</si>
  <si>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</si>
  <si>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</si>
  <si>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</si>
  <si>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</si>
  <si>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</si>
  <si>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</si>
  <si>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</si>
  <si>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</si>
  <si>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</si>
  <si>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</si>
  <si>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</si>
  <si>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</si>
  <si>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</si>
  <si>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</si>
  <si>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</si>
  <si>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</si>
  <si>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</si>
  <si>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</si>
  <si>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</si>
  <si>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</si>
  <si>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</si>
  <si>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</si>
  <si>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</si>
  <si>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</si>
  <si>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</si>
  <si>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</si>
  <si>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</si>
  <si>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</si>
  <si>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</si>
  <si>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</si>
  <si>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</si>
  <si>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</si>
  <si>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</si>
  <si>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</si>
  <si>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</si>
  <si>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</si>
  <si>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</si>
  <si>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</si>
  <si>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</si>
  <si>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</si>
  <si>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</si>
  <si>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</si>
  <si>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</si>
  <si>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</si>
  <si>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</si>
  <si>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</si>
  <si>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</si>
  <si>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</si>
  <si>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</si>
  <si>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</si>
  <si>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</si>
  <si>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</si>
  <si>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</si>
  <si>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</si>
  <si>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</si>
  <si>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</si>
  <si>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</si>
  <si>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</si>
  <si>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</si>
  <si>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</si>
  <si>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</si>
  <si>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</si>
  <si>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</si>
  <si>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</si>
  <si>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</si>
  <si>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</si>
  <si>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</si>
  <si>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</si>
  <si>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</si>
  <si>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</si>
  <si>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</si>
  <si>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</si>
  <si>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</si>
  <si>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</si>
  <si>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</si>
  <si>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</si>
  <si>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</si>
  <si>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</si>
  <si>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</si>
  <si>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</si>
  <si>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</si>
  <si>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</si>
  <si>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</si>
  <si>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</si>
  <si>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</si>
  <si>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</si>
  <si>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</si>
  <si>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</si>
  <si>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</si>
  <si>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</si>
  <si>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</si>
  <si>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</si>
  <si>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</si>
  <si>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</si>
  <si>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</si>
  <si>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</si>
  <si>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</si>
  <si>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</si>
  <si>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</si>
  <si>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</si>
  <si>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</si>
  <si>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</si>
  <si>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</si>
  <si>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</si>
  <si>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</si>
  <si>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</si>
  <si>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</si>
  <si>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</si>
  <si>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</si>
  <si>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</si>
  <si>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</si>
  <si>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</si>
  <si>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</si>
  <si>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</si>
  <si>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</si>
  <si>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</si>
  <si>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</si>
  <si>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</si>
  <si>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</si>
  <si>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</si>
  <si>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</si>
  <si>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</si>
  <si>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</si>
  <si>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</si>
  <si>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</si>
  <si>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</si>
  <si>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</si>
  <si>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</si>
  <si>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</si>
  <si>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</si>
  <si>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</si>
  <si>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</si>
  <si>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</si>
  <si>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</si>
  <si>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</si>
  <si>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</si>
  <si>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</si>
  <si>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</si>
  <si>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</si>
  <si>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</si>
  <si>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</si>
  <si>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</si>
  <si>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</si>
  <si>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</si>
  <si>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</si>
  <si>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</si>
  <si>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</si>
  <si>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</si>
  <si>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</si>
  <si>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</si>
  <si>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</si>
  <si>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257470#3</t>
  </si>
  <si>
    <t>J.R VERSAC Construcciones y Montajes Electromecanicos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</si>
  <si>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</si>
  <si>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</si>
  <si>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</si>
  <si>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</si>
  <si>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</si>
  <si>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</si>
  <si>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</si>
  <si>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</si>
  <si>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</si>
  <si>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</si>
  <si>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</si>
  <si>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</si>
  <si>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</si>
  <si>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2512246#1</t>
  </si>
  <si>
    <t>Oscar Fuentes Arquitectos</t>
  </si>
  <si>
    <t>1739414#2</t>
  </si>
  <si>
    <t>Dalcor Sac</t>
  </si>
  <si>
    <t>4500893#1</t>
  </si>
  <si>
    <t>Reeivarquitectos</t>
  </si>
  <si>
    <t>923536#1</t>
  </si>
  <si>
    <t>REZ MASUD Inmobiliaria</t>
  </si>
  <si>
    <t>4536621#1</t>
  </si>
  <si>
    <t>Nadaestudio</t>
  </si>
  <si>
    <t>603858#1</t>
  </si>
  <si>
    <t>Bravaestudio</t>
  </si>
  <si>
    <t>4598857#1</t>
  </si>
  <si>
    <t>Srsolutions</t>
  </si>
  <si>
    <t>4377447#1</t>
  </si>
  <si>
    <t>Pandoraambientaciones</t>
  </si>
  <si>
    <t>380099#1</t>
  </si>
  <si>
    <t>Colcar Merbus</t>
  </si>
  <si>
    <t>4481196#1</t>
  </si>
  <si>
    <t>Iesystems</t>
  </si>
  <si>
    <t>4299564#1</t>
  </si>
  <si>
    <t>Oblak Hnos. S.A.C.I.F.e I.</t>
  </si>
  <si>
    <t>4644989#1</t>
  </si>
  <si>
    <t>Obregon Coconut Company Ltd - Farms.</t>
  </si>
  <si>
    <t>896309#1</t>
  </si>
  <si>
    <t>Gladis Lerna Castillo</t>
  </si>
  <si>
    <t>598335#1</t>
  </si>
  <si>
    <t>SAGA Arquitectos</t>
  </si>
  <si>
    <t>4569204#1</t>
  </si>
  <si>
    <t>Estudiocvh</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</si>
  <si>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</si>
  <si>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</si>
  <si>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</si>
  <si>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</si>
  <si>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</si>
  <si>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</si>
  <si>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</si>
  <si>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</si>
  <si>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</si>
  <si>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</si>
  <si>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</si>
  <si>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</si>
  <si>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</si>
  <si>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4577531#1</t>
  </si>
  <si>
    <t>Estudiosi</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</si>
  <si>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</si>
  <si>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</si>
  <si>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</si>
  <si>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</si>
  <si>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</si>
  <si>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</si>
  <si>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</si>
  <si>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</si>
  <si>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</si>
  <si>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</si>
  <si>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</si>
  <si>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</si>
  <si>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</si>
  <si>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</si>
  <si>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1348934#1</t>
  </si>
  <si>
    <t>Levyresels</t>
  </si>
  <si>
    <t>3885743#1</t>
  </si>
  <si>
    <t>Metrocubico</t>
  </si>
  <si>
    <t>4530153#1</t>
  </si>
  <si>
    <t>Exacontratistas</t>
  </si>
  <si>
    <t>4334914#1</t>
  </si>
  <si>
    <t>Tolder</t>
  </si>
  <si>
    <t>1027831#1</t>
  </si>
  <si>
    <t>Ortiz y Anderson</t>
  </si>
  <si>
    <t>2290978#1</t>
  </si>
  <si>
    <t>Agira</t>
  </si>
  <si>
    <t>4547031#1</t>
  </si>
  <si>
    <t>Epearquitectos</t>
  </si>
  <si>
    <t>2011917#1</t>
  </si>
  <si>
    <t>Tres Torres S.A.C.</t>
  </si>
  <si>
    <t>4546369#1</t>
  </si>
  <si>
    <t>Frigoconcepcion</t>
  </si>
  <si>
    <t>1293645#1</t>
  </si>
  <si>
    <t>RIGO INDUSTRIAS</t>
  </si>
  <si>
    <t>4384577#1</t>
  </si>
  <si>
    <t>Gallagro</t>
  </si>
  <si>
    <t>956312#1</t>
  </si>
  <si>
    <t>Maduro</t>
  </si>
  <si>
    <t>3406449#1</t>
  </si>
  <si>
    <t>Mec</t>
  </si>
  <si>
    <t>4595321#1</t>
  </si>
  <si>
    <t>Trideacero</t>
  </si>
  <si>
    <t>881479#1</t>
  </si>
  <si>
    <t>Ojedaas</t>
  </si>
  <si>
    <t>4649451#1</t>
  </si>
  <si>
    <t>Gapper</t>
  </si>
  <si>
    <t>2233008#1</t>
  </si>
  <si>
    <t>Fibermex</t>
  </si>
  <si>
    <t>4421998#1</t>
  </si>
  <si>
    <t>Rossettidesarrollos</t>
  </si>
  <si>
    <t>2511973#1</t>
  </si>
  <si>
    <t>Cad</t>
  </si>
  <si>
    <t>1562728#1</t>
  </si>
  <si>
    <t>Smurfit Kappa De Argentina Sociedad Anonima</t>
  </si>
  <si>
    <t>4593515#1</t>
  </si>
  <si>
    <t>Geasolaris</t>
  </si>
  <si>
    <t>1762135#1</t>
  </si>
  <si>
    <t>Mycllano</t>
  </si>
  <si>
    <t>4523042#1</t>
  </si>
  <si>
    <t>ICE INGENIEROS S.A.</t>
  </si>
  <si>
    <t>4386493#1</t>
  </si>
  <si>
    <t>Pintegralco Servicios Integrales</t>
  </si>
  <si>
    <t>1036506#1</t>
  </si>
  <si>
    <t>Constructora Pedralbes</t>
  </si>
  <si>
    <t>4578394#1</t>
  </si>
  <si>
    <t>Elesud</t>
  </si>
  <si>
    <t xml:space="preserve">4653942#1
</t>
  </si>
  <si>
    <t>RARK Design Group</t>
  </si>
  <si>
    <t>523812#1</t>
  </si>
  <si>
    <t>Aicequip</t>
  </si>
  <si>
    <t>4538827#1</t>
  </si>
  <si>
    <t>Madenco</t>
  </si>
  <si>
    <t>4378665#1</t>
  </si>
  <si>
    <t>Armetalsrl</t>
  </si>
  <si>
    <t>1282768#1</t>
  </si>
  <si>
    <t>Grupomsp</t>
  </si>
  <si>
    <t>4545884#1</t>
  </si>
  <si>
    <t>BGS - Ingeniería Hidráulicas</t>
  </si>
  <si>
    <t>2463435#1</t>
  </si>
  <si>
    <t>Aparato Taller</t>
  </si>
  <si>
    <t>3251467#1</t>
  </si>
  <si>
    <t>Andesflooring</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</si>
  <si>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</si>
  <si>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</si>
  <si>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</si>
  <si>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</si>
  <si>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</si>
  <si>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</si>
  <si>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</si>
  <si>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</si>
  <si>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</si>
  <si>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</si>
  <si>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</si>
  <si>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</si>
  <si>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</si>
  <si>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</si>
  <si>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</si>
  <si>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</si>
  <si>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</si>
  <si>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</si>
  <si>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</si>
  <si>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</si>
  <si>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</si>
  <si>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</si>
  <si>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</si>
  <si>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</si>
  <si>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</si>
  <si>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</si>
  <si>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</si>
  <si>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</si>
  <si>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</si>
  <si>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</si>
  <si>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</si>
  <si>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</si>
  <si>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</si>
  <si>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</si>
  <si>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</si>
  <si>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</si>
  <si>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</si>
  <si>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</si>
  <si>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</si>
  <si>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</si>
  <si>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</si>
  <si>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</si>
  <si>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</si>
  <si>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</si>
  <si>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</si>
  <si>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</si>
  <si>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</si>
  <si>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</si>
  <si>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</si>
  <si>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</si>
  <si>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</si>
  <si>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</si>
  <si>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</si>
  <si>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</si>
  <si>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</si>
  <si>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</si>
  <si>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</si>
  <si>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</si>
  <si>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</si>
  <si>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</si>
  <si>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</si>
  <si>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</si>
  <si>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</si>
  <si>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</si>
  <si>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</si>
  <si>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</si>
  <si>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</si>
  <si>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</si>
  <si>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</si>
  <si>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</si>
  <si>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</si>
  <si>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</si>
  <si>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</si>
  <si>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</si>
  <si>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</si>
  <si>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</si>
  <si>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</si>
  <si>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</si>
  <si>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</si>
  <si>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</si>
  <si>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</si>
  <si>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</si>
  <si>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</si>
  <si>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</si>
  <si>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</si>
  <si>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</si>
  <si>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</si>
  <si>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</si>
  <si>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</si>
  <si>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</si>
  <si>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</si>
  <si>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</si>
  <si>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</si>
  <si>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</si>
  <si>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</si>
  <si>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</si>
  <si>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</si>
  <si>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</si>
  <si>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</si>
  <si>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</si>
  <si>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</si>
  <si>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</si>
  <si>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</si>
  <si>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</si>
  <si>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</si>
  <si>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</si>
  <si>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</si>
  <si>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</si>
  <si>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</si>
  <si>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</si>
  <si>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</si>
  <si>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</si>
  <si>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</si>
  <si>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</si>
  <si>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</si>
  <si>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</si>
  <si>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</si>
  <si>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</si>
  <si>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</si>
  <si>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</si>
  <si>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</si>
  <si>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</si>
  <si>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</si>
  <si>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</si>
  <si>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</si>
  <si>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</si>
  <si>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</si>
  <si>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</si>
  <si>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</si>
  <si>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</si>
  <si>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</si>
  <si>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</si>
  <si>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</si>
  <si>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</si>
  <si>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</si>
  <si>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</si>
  <si>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</si>
  <si>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</si>
  <si>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</si>
  <si>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</si>
  <si>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</si>
  <si>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</si>
  <si>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</si>
  <si>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</si>
  <si>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</si>
  <si>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</si>
  <si>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</si>
  <si>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</si>
  <si>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</si>
  <si>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</si>
  <si>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</si>
  <si>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</si>
  <si>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</si>
  <si>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</si>
  <si>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</si>
  <si>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</si>
  <si>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</si>
  <si>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</si>
  <si>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</si>
  <si>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</si>
  <si>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</si>
  <si>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</si>
  <si>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</si>
  <si>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798691#1</t>
  </si>
  <si>
    <t>Gruporvq</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</si>
  <si>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</si>
  <si>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</si>
  <si>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</si>
  <si>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2404983#1</t>
  </si>
  <si>
    <t>Bc Consulting</t>
  </si>
  <si>
    <t>4529350#1</t>
  </si>
  <si>
    <t>Dcmobiliario</t>
  </si>
  <si>
    <t>1102010#1</t>
  </si>
  <si>
    <t>TALLER G</t>
  </si>
  <si>
    <t>4649109#1</t>
  </si>
  <si>
    <t>Disenca</t>
  </si>
  <si>
    <t>4650991#1</t>
  </si>
  <si>
    <t>Vielcani</t>
  </si>
  <si>
    <t>4626452#1</t>
  </si>
  <si>
    <t>Doomobr</t>
  </si>
  <si>
    <t>4579780#1</t>
  </si>
  <si>
    <t>Unbekannt</t>
  </si>
  <si>
    <t>2390651#1</t>
  </si>
  <si>
    <t>Cne</t>
  </si>
  <si>
    <t>gov</t>
  </si>
  <si>
    <t>373908#1</t>
  </si>
  <si>
    <t>Proyeco</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</si>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</sst>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8e484bd-f3c3-4364-8c3d-4cd46ab4fa7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d v="2026-06-30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s v="798691#1"/>
        <s v="2404983#1"/>
        <s v="1102010#1"/>
        <s v="4650991#1"/>
        <s v="4579780#1"/>
        <s v="373908#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s v="Gruporvq"/>
        <s v="Bc Consulting"/>
        <s v="TALLER G"/>
        <s v="Vielcani"/>
        <s v="Unbekannt"/>
        <s v="Proyeco"/>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s v="257470#3"/>
        <s v="2512246#1"/>
        <s v="4377447#1"/>
        <s v="4569204#1"/>
        <s v="4577531#1"/>
        <s v="1348934#1"/>
        <s v="2011917#1"/>
        <s v="881479#1"/>
        <s v="1762135#1"/>
        <s v="523812#1"/>
        <s v="3251467#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s v="J.R VERSAC Construcciones y Montajes Electromecanicos"/>
        <s v="Oscar Fuentes Arquitectos"/>
        <s v="Pandoraambientaciones"/>
        <s v="Estudiocvh"/>
        <s v="Estudiosi"/>
        <s v="Levyresels"/>
        <s v="Tres Torres S.A.C."/>
        <s v="Ojedaas"/>
        <s v="Mycllano"/>
        <s v="Aicequip"/>
        <s v="Andesflooring"/>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8e484bd-f3c3-4364-8c3d-4cd46ab4fa7a}" id="{db96d383-dc00-439e-a8b4-a087047ef2b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71</v>
      </c>
      <c r="F127" s="246">
        <f t="shared" ref="F127:F129" si="7">C127-E127</f>
        <v>-31</v>
      </c>
      <c r="G127" s="10"/>
      <c r="H127" s="23" t="s">
        <v>11</v>
      </c>
      <c r="I127" s="36">
        <v>25.0</v>
      </c>
      <c r="J127" s="10"/>
      <c r="K127" s="33">
        <f>SUM(SUMIF($K$112:$K$125, "Argentina",$L$112:$L$125))</f>
        <v>23</v>
      </c>
      <c r="L127" s="33">
        <f t="shared" ref="L127:L131" si="8">I127-K127</f>
        <v>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9</v>
      </c>
      <c r="L128" s="33">
        <f t="shared" si="8"/>
        <v>16</v>
      </c>
    </row>
    <row r="129" outlineLevel="1">
      <c r="B129" s="19" t="s">
        <v>953</v>
      </c>
      <c r="C129" s="32">
        <v>40.0</v>
      </c>
      <c r="D129" s="10"/>
      <c r="E129" s="33">
        <f>SUM(SUMIF($E$112:$E$125,"Nicaragua",$F$112:$F$125), SUMIF($E$112:$E$125,"Guatemala",$F$112:$F$125), SUMIF($E$112:$E$125,"El Salvador",$F$112:$F$125), SUMIF($E$112:$E$125,"Belize",$F$112:$F$125), SUMIF($E$112:$E$125,"Honduras",$F$112:$F$125))</f>
        <v>28</v>
      </c>
      <c r="F129" s="246">
        <f t="shared" si="7"/>
        <v>12</v>
      </c>
      <c r="G129" s="10"/>
      <c r="H129" s="23" t="s">
        <v>954</v>
      </c>
      <c r="I129" s="36">
        <v>35.0</v>
      </c>
      <c r="J129" s="10"/>
      <c r="K129" s="33">
        <f>SUM(SUMIF($K$112:$K$125, "Ecuador",$L$112:$L$125), SUMIF($K$112:$K$125, "Colombia",$L$112:$L$125))</f>
        <v>15</v>
      </c>
      <c r="L129" s="33">
        <f t="shared" si="8"/>
        <v>20</v>
      </c>
    </row>
    <row r="130" outlineLevel="1">
      <c r="D130" s="10"/>
      <c r="E130" s="37" t="s">
        <v>40</v>
      </c>
      <c r="F130" s="38">
        <f>sum(C127:C129)</f>
        <v>120</v>
      </c>
      <c r="G130" s="10"/>
      <c r="H130" s="22" t="s">
        <v>23</v>
      </c>
      <c r="I130" s="36">
        <v>15.0</v>
      </c>
      <c r="J130" s="10"/>
      <c r="K130" s="33">
        <f>SUM(SUMIF($K$112:$K$125, "Peru",$L$112:$L$125))</f>
        <v>34</v>
      </c>
      <c r="L130" s="33">
        <f t="shared" si="8"/>
        <v>-19</v>
      </c>
    </row>
    <row r="131" outlineLevel="1">
      <c r="D131" s="10"/>
      <c r="E131" s="37" t="s">
        <v>41</v>
      </c>
      <c r="F131" s="38">
        <f>SUM(F127:F129)</f>
        <v>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31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t="b">
        <v>1</v>
      </c>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t="b">
        <v>1</v>
      </c>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t="b">
        <v>1</v>
      </c>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t="b">
        <v>1</v>
      </c>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t="b">
        <v>1</v>
      </c>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t="b">
        <v>1</v>
      </c>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t="b">
        <v>1</v>
      </c>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t="b">
        <v>1</v>
      </c>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t="b">
        <v>1</v>
      </c>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c r="BJ34" s="58" t="s">
        <v>14</v>
      </c>
      <c r="BK34" s="109" t="s">
        <v>2432</v>
      </c>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t="b">
        <v>1</v>
      </c>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t="b">
        <v>1</v>
      </c>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69" t="b">
        <v>1</v>
      </c>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69" t="b">
        <v>1</v>
      </c>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69" t="b">
        <v>1</v>
      </c>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69" t="b">
        <v>1</v>
      </c>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69" t="b">
        <v>1</v>
      </c>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69" t="b">
        <v>1</v>
      </c>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69" t="b">
        <v>1</v>
      </c>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69" t="b">
        <v>1</v>
      </c>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69" t="b">
        <v>1</v>
      </c>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69" t="b">
        <v>1</v>
      </c>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69" t="b">
        <v>1</v>
      </c>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69" t="b">
        <v>1</v>
      </c>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69" t="b">
        <v>1</v>
      </c>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69" t="b">
        <v>1</v>
      </c>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69" t="b">
        <v>1</v>
      </c>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69" t="b">
        <v>1</v>
      </c>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69" t="b">
        <v>1</v>
      </c>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69" t="b">
        <v>1</v>
      </c>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69" t="b">
        <v>1</v>
      </c>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69" t="b">
        <v>1</v>
      </c>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69" t="b">
        <v>1</v>
      </c>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69" t="b">
        <v>1</v>
      </c>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69" t="b">
        <v>1</v>
      </c>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69" t="b">
        <v>1</v>
      </c>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69" t="b">
        <v>1</v>
      </c>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69" t="b">
        <v>1</v>
      </c>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69" t="b">
        <v>1</v>
      </c>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69" t="b">
        <v>1</v>
      </c>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69" t="b">
        <v>1</v>
      </c>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69" t="b">
        <v>1</v>
      </c>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69" t="b">
        <v>1</v>
      </c>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69" t="b">
        <v>1</v>
      </c>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69" t="b">
        <v>1</v>
      </c>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403">
        <v>46202.0</v>
      </c>
      <c r="BG83" s="294" t="s">
        <v>5019</v>
      </c>
      <c r="BH83" s="294" t="s">
        <v>5020</v>
      </c>
      <c r="BI83" s="295" t="s">
        <v>23</v>
      </c>
      <c r="BJ83" s="295" t="s">
        <v>2337</v>
      </c>
      <c r="BK83" s="61"/>
      <c r="BL83" s="298"/>
    </row>
    <row r="84" ht="22.5" customHeight="1">
      <c r="A84" s="368"/>
      <c r="B84" s="270">
        <v>46181.0</v>
      </c>
      <c r="C84" s="326"/>
      <c r="D84" s="326"/>
      <c r="E84" s="370"/>
      <c r="F84" s="385"/>
      <c r="G84" s="195"/>
      <c r="H84" s="371"/>
      <c r="J84" s="380">
        <v>46178.0</v>
      </c>
      <c r="K84" s="273" t="s">
        <v>5021</v>
      </c>
      <c r="L84" s="273" t="s">
        <v>5022</v>
      </c>
      <c r="M84" s="402" t="s">
        <v>11</v>
      </c>
      <c r="N84" s="58" t="s">
        <v>2338</v>
      </c>
      <c r="O84" s="61"/>
      <c r="P84" s="269" t="b">
        <v>1</v>
      </c>
      <c r="R84" s="270">
        <v>46186.0</v>
      </c>
      <c r="S84" s="109" t="s">
        <v>5023</v>
      </c>
      <c r="T84" s="109" t="s">
        <v>5024</v>
      </c>
      <c r="U84" s="58" t="s">
        <v>22</v>
      </c>
      <c r="V84" s="58" t="s">
        <v>2347</v>
      </c>
      <c r="W84" s="109" t="s">
        <v>5025</v>
      </c>
      <c r="X84" s="298"/>
      <c r="Z84" s="401">
        <v>46184.0</v>
      </c>
      <c r="AA84" s="453" t="s">
        <v>5026</v>
      </c>
      <c r="AB84" s="453" t="s">
        <v>5027</v>
      </c>
      <c r="AC84" s="462" t="s">
        <v>27</v>
      </c>
      <c r="AD84" s="462" t="s">
        <v>14</v>
      </c>
      <c r="AE84" s="488"/>
      <c r="AF84" s="269" t="b">
        <v>1</v>
      </c>
      <c r="AH84" s="270">
        <v>46191.0</v>
      </c>
      <c r="AI84" s="109" t="s">
        <v>5028</v>
      </c>
      <c r="AJ84" s="373" t="s">
        <v>5029</v>
      </c>
      <c r="AK84" s="58" t="s">
        <v>13</v>
      </c>
      <c r="AL84" s="58" t="s">
        <v>2347</v>
      </c>
      <c r="AM84" s="61"/>
      <c r="AN84" s="269" t="b">
        <v>1</v>
      </c>
      <c r="AP84" s="401">
        <v>46191.0</v>
      </c>
      <c r="AQ84" s="273" t="s">
        <v>5030</v>
      </c>
      <c r="AR84" s="273" t="s">
        <v>5031</v>
      </c>
      <c r="AS84" s="274" t="s">
        <v>18</v>
      </c>
      <c r="AT84" s="274" t="s">
        <v>2337</v>
      </c>
      <c r="AU84" s="61"/>
      <c r="AV84" s="269" t="b">
        <v>1</v>
      </c>
      <c r="AX84" s="270">
        <v>46198.0</v>
      </c>
      <c r="AY84" s="109" t="s">
        <v>5032</v>
      </c>
      <c r="AZ84" s="373" t="s">
        <v>5033</v>
      </c>
      <c r="BA84" s="58" t="s">
        <v>22</v>
      </c>
      <c r="BB84" s="58" t="s">
        <v>2347</v>
      </c>
      <c r="BC84" s="61"/>
      <c r="BD84" s="269" t="b">
        <v>1</v>
      </c>
      <c r="BF84" s="401">
        <v>46202.0</v>
      </c>
      <c r="BG84" s="273" t="s">
        <v>5034</v>
      </c>
      <c r="BH84" s="273" t="s">
        <v>5035</v>
      </c>
      <c r="BI84" s="274" t="s">
        <v>11</v>
      </c>
      <c r="BJ84" s="274" t="s">
        <v>2337</v>
      </c>
      <c r="BK84" s="61"/>
      <c r="BL84" s="298"/>
    </row>
    <row r="85" ht="22.5" customHeight="1">
      <c r="A85" s="368"/>
      <c r="B85" s="437"/>
      <c r="C85" s="326"/>
      <c r="D85" s="326"/>
      <c r="E85" s="370"/>
      <c r="F85" s="385"/>
      <c r="G85" s="195"/>
      <c r="H85" s="371"/>
      <c r="J85" s="382">
        <v>46178.0</v>
      </c>
      <c r="K85" s="294" t="s">
        <v>5036</v>
      </c>
      <c r="L85" s="294" t="s">
        <v>5037</v>
      </c>
      <c r="M85" s="396" t="s">
        <v>23</v>
      </c>
      <c r="N85" s="58" t="s">
        <v>2338</v>
      </c>
      <c r="O85" s="61"/>
      <c r="P85" s="269" t="b">
        <v>1</v>
      </c>
      <c r="R85" s="270">
        <v>46187.0</v>
      </c>
      <c r="S85" s="384" t="s">
        <v>5038</v>
      </c>
      <c r="T85" s="109" t="s">
        <v>5039</v>
      </c>
      <c r="U85" s="58" t="s">
        <v>22</v>
      </c>
      <c r="V85" s="58" t="s">
        <v>2347</v>
      </c>
      <c r="W85" s="61"/>
      <c r="X85" s="269" t="b">
        <v>1</v>
      </c>
      <c r="Z85" s="499">
        <v>46185.0</v>
      </c>
      <c r="AA85" s="456" t="s">
        <v>5040</v>
      </c>
      <c r="AB85" s="456" t="s">
        <v>5041</v>
      </c>
      <c r="AC85" s="466" t="s">
        <v>11</v>
      </c>
      <c r="AD85" s="466" t="s">
        <v>20</v>
      </c>
      <c r="AE85" s="486"/>
      <c r="AF85" s="269" t="b">
        <v>1</v>
      </c>
      <c r="AH85" s="270">
        <v>46191.0</v>
      </c>
      <c r="AI85" s="294" t="s">
        <v>5042</v>
      </c>
      <c r="AJ85" s="294" t="s">
        <v>5043</v>
      </c>
      <c r="AK85" s="295" t="s">
        <v>13</v>
      </c>
      <c r="AL85" s="295" t="s">
        <v>2344</v>
      </c>
      <c r="AM85" s="61"/>
      <c r="AN85" s="269" t="b">
        <v>1</v>
      </c>
      <c r="AP85" s="401">
        <v>46191.0</v>
      </c>
      <c r="AQ85" s="109" t="s">
        <v>5044</v>
      </c>
      <c r="AR85" s="109" t="s">
        <v>5045</v>
      </c>
      <c r="AS85" s="58" t="s">
        <v>21</v>
      </c>
      <c r="AT85" s="58" t="s">
        <v>14</v>
      </c>
      <c r="AU85" s="109"/>
      <c r="AV85" s="298"/>
      <c r="AX85" s="270">
        <v>46198.0</v>
      </c>
      <c r="AY85" s="109" t="s">
        <v>5046</v>
      </c>
      <c r="AZ85" s="373" t="s">
        <v>5047</v>
      </c>
      <c r="BA85" s="58" t="s">
        <v>22</v>
      </c>
      <c r="BB85" s="58" t="s">
        <v>2347</v>
      </c>
      <c r="BC85" s="61"/>
      <c r="BD85" s="269" t="b">
        <v>1</v>
      </c>
      <c r="BF85" s="403">
        <v>46202.0</v>
      </c>
      <c r="BG85" s="294" t="s">
        <v>5048</v>
      </c>
      <c r="BH85" s="294" t="s">
        <v>5049</v>
      </c>
      <c r="BI85" s="295" t="s">
        <v>11</v>
      </c>
      <c r="BJ85" s="295" t="s">
        <v>2337</v>
      </c>
      <c r="BK85" s="61"/>
      <c r="BL85" s="298"/>
    </row>
    <row r="86" ht="22.5" customHeight="1">
      <c r="A86" s="368"/>
      <c r="B86" s="369"/>
      <c r="C86" s="326"/>
      <c r="D86" s="326"/>
      <c r="E86" s="370"/>
      <c r="F86" s="385"/>
      <c r="G86" s="326"/>
      <c r="H86" s="371"/>
      <c r="J86" s="380">
        <v>46178.0</v>
      </c>
      <c r="K86" s="294" t="s">
        <v>5050</v>
      </c>
      <c r="L86" s="294" t="s">
        <v>5051</v>
      </c>
      <c r="M86" s="396" t="s">
        <v>11</v>
      </c>
      <c r="N86" s="391" t="s">
        <v>2338</v>
      </c>
      <c r="O86" s="61"/>
      <c r="P86" s="269" t="b">
        <v>1</v>
      </c>
      <c r="R86" s="270">
        <v>46187.0</v>
      </c>
      <c r="S86" s="294" t="s">
        <v>5052</v>
      </c>
      <c r="T86" s="411" t="s">
        <v>5053</v>
      </c>
      <c r="U86" s="295" t="s">
        <v>22</v>
      </c>
      <c r="V86" s="58" t="s">
        <v>12</v>
      </c>
      <c r="W86" s="61"/>
      <c r="X86" s="269" t="b">
        <v>1</v>
      </c>
      <c r="Z86" s="514">
        <v>46185.0</v>
      </c>
      <c r="AA86" s="453" t="s">
        <v>5054</v>
      </c>
      <c r="AB86" s="453" t="s">
        <v>5055</v>
      </c>
      <c r="AC86" s="462" t="s">
        <v>11</v>
      </c>
      <c r="AD86" s="462" t="s">
        <v>20</v>
      </c>
      <c r="AE86" s="498"/>
      <c r="AF86" s="269" t="b">
        <v>1</v>
      </c>
      <c r="AH86" s="270">
        <v>46191.0</v>
      </c>
      <c r="AI86" s="273" t="s">
        <v>5056</v>
      </c>
      <c r="AJ86" s="273" t="s">
        <v>5057</v>
      </c>
      <c r="AK86" s="274" t="s">
        <v>19</v>
      </c>
      <c r="AL86" s="274" t="s">
        <v>2344</v>
      </c>
      <c r="AM86" s="61"/>
      <c r="AN86" s="269" t="b">
        <v>1</v>
      </c>
      <c r="AP86" s="401">
        <v>46191.0</v>
      </c>
      <c r="AQ86" s="109" t="s">
        <v>5058</v>
      </c>
      <c r="AR86" s="109" t="s">
        <v>5059</v>
      </c>
      <c r="AS86" s="58" t="s">
        <v>23</v>
      </c>
      <c r="AT86" s="58" t="s">
        <v>14</v>
      </c>
      <c r="AU86" s="109" t="s">
        <v>4781</v>
      </c>
      <c r="AV86" s="269" t="b">
        <v>1</v>
      </c>
      <c r="AX86" s="270">
        <v>46198.0</v>
      </c>
      <c r="AY86" s="109" t="s">
        <v>5060</v>
      </c>
      <c r="AZ86" s="373" t="s">
        <v>5061</v>
      </c>
      <c r="BA86" s="58" t="s">
        <v>32</v>
      </c>
      <c r="BB86" s="58" t="s">
        <v>9</v>
      </c>
      <c r="BC86" s="61"/>
      <c r="BD86" s="269" t="b">
        <v>1</v>
      </c>
      <c r="BF86" s="380">
        <v>46202.0</v>
      </c>
      <c r="BG86" s="294" t="s">
        <v>5062</v>
      </c>
      <c r="BH86" s="294" t="s">
        <v>5063</v>
      </c>
      <c r="BI86" s="295" t="s">
        <v>21</v>
      </c>
      <c r="BJ86" s="295" t="s">
        <v>2338</v>
      </c>
      <c r="BK86" s="61"/>
      <c r="BL86" s="298"/>
    </row>
    <row r="87" ht="22.5" customHeight="1">
      <c r="A87" s="368"/>
      <c r="B87" s="369"/>
      <c r="C87" s="326"/>
      <c r="D87" s="326"/>
      <c r="E87" s="370"/>
      <c r="F87" s="385"/>
      <c r="G87" s="326"/>
      <c r="H87" s="386"/>
      <c r="J87" s="382">
        <v>46178.0</v>
      </c>
      <c r="K87" s="273" t="s">
        <v>5064</v>
      </c>
      <c r="L87" s="273" t="s">
        <v>5065</v>
      </c>
      <c r="M87" s="517" t="s">
        <v>11</v>
      </c>
      <c r="N87" s="402" t="s">
        <v>2338</v>
      </c>
      <c r="O87" s="109" t="s">
        <v>5066</v>
      </c>
      <c r="P87" s="269"/>
      <c r="R87" s="270">
        <v>46187.0</v>
      </c>
      <c r="S87" s="273" t="s">
        <v>5067</v>
      </c>
      <c r="T87" s="413" t="s">
        <v>5068</v>
      </c>
      <c r="U87" s="274" t="s">
        <v>22</v>
      </c>
      <c r="V87" s="58" t="s">
        <v>12</v>
      </c>
      <c r="W87" s="61"/>
      <c r="X87" s="269" t="b">
        <v>1</v>
      </c>
      <c r="Z87" s="499">
        <v>46185.0</v>
      </c>
      <c r="AA87" s="456" t="s">
        <v>5069</v>
      </c>
      <c r="AB87" s="456" t="s">
        <v>5070</v>
      </c>
      <c r="AC87" s="466" t="s">
        <v>11</v>
      </c>
      <c r="AD87" s="466" t="s">
        <v>20</v>
      </c>
      <c r="AE87" s="486"/>
      <c r="AF87" s="269" t="b">
        <v>1</v>
      </c>
      <c r="AH87" s="270">
        <v>46191.0</v>
      </c>
      <c r="AI87" s="294" t="s">
        <v>5071</v>
      </c>
      <c r="AJ87" s="294" t="s">
        <v>5072</v>
      </c>
      <c r="AK87" s="295" t="s">
        <v>13</v>
      </c>
      <c r="AL87" s="295" t="s">
        <v>2344</v>
      </c>
      <c r="AM87" s="61"/>
      <c r="AN87" s="269" t="b">
        <v>1</v>
      </c>
      <c r="AP87" s="401">
        <v>46191.0</v>
      </c>
      <c r="AQ87" s="109" t="s">
        <v>5073</v>
      </c>
      <c r="AR87" s="109" t="s">
        <v>5074</v>
      </c>
      <c r="AS87" s="58" t="s">
        <v>11</v>
      </c>
      <c r="AT87" s="58" t="s">
        <v>14</v>
      </c>
      <c r="AU87" s="61"/>
      <c r="AV87" s="269" t="b">
        <v>1</v>
      </c>
      <c r="AX87" s="270">
        <v>46198.0</v>
      </c>
      <c r="AY87" s="109" t="s">
        <v>5075</v>
      </c>
      <c r="AZ87" s="373" t="s">
        <v>5076</v>
      </c>
      <c r="BA87" s="58" t="s">
        <v>22</v>
      </c>
      <c r="BB87" s="58" t="s">
        <v>9</v>
      </c>
      <c r="BC87" s="61"/>
      <c r="BD87" s="269" t="b">
        <v>1</v>
      </c>
      <c r="BF87" s="382">
        <v>46202.0</v>
      </c>
      <c r="BG87" s="273" t="s">
        <v>5077</v>
      </c>
      <c r="BH87" s="273" t="s">
        <v>5078</v>
      </c>
      <c r="BI87" s="274" t="s">
        <v>11</v>
      </c>
      <c r="BJ87" s="274" t="s">
        <v>2338</v>
      </c>
      <c r="BK87" s="61"/>
      <c r="BL87" s="298"/>
    </row>
    <row r="88" ht="22.5" customHeight="1">
      <c r="A88" s="368"/>
      <c r="B88" s="369"/>
      <c r="C88" s="326"/>
      <c r="D88" s="326"/>
      <c r="E88" s="370"/>
      <c r="F88" s="385"/>
      <c r="G88" s="195"/>
      <c r="H88" s="371"/>
      <c r="J88" s="382">
        <v>46178.0</v>
      </c>
      <c r="K88" s="430" t="s">
        <v>5079</v>
      </c>
      <c r="L88" s="430" t="s">
        <v>5080</v>
      </c>
      <c r="M88" s="518" t="s">
        <v>11</v>
      </c>
      <c r="N88" s="431" t="s">
        <v>2338</v>
      </c>
      <c r="O88" s="109" t="s">
        <v>5081</v>
      </c>
      <c r="P88" s="269" t="b">
        <v>1</v>
      </c>
      <c r="R88" s="270">
        <v>46187.0</v>
      </c>
      <c r="S88" s="294" t="s">
        <v>5082</v>
      </c>
      <c r="T88" s="411" t="s">
        <v>5083</v>
      </c>
      <c r="U88" s="295" t="s">
        <v>22</v>
      </c>
      <c r="V88" s="58" t="s">
        <v>12</v>
      </c>
      <c r="W88" s="61"/>
      <c r="X88" s="269" t="b">
        <v>1</v>
      </c>
      <c r="Z88" s="514">
        <v>46185.0</v>
      </c>
      <c r="AA88" s="453" t="s">
        <v>5084</v>
      </c>
      <c r="AB88" s="453" t="s">
        <v>5085</v>
      </c>
      <c r="AC88" s="462" t="s">
        <v>11</v>
      </c>
      <c r="AD88" s="462" t="s">
        <v>20</v>
      </c>
      <c r="AE88" s="498"/>
      <c r="AF88" s="269" t="b">
        <v>1</v>
      </c>
      <c r="AH88" s="270">
        <v>46191.0</v>
      </c>
      <c r="AI88" s="273" t="s">
        <v>5086</v>
      </c>
      <c r="AJ88" s="273" t="s">
        <v>5087</v>
      </c>
      <c r="AK88" s="274" t="s">
        <v>44</v>
      </c>
      <c r="AL88" s="274" t="s">
        <v>2344</v>
      </c>
      <c r="AM88" s="61"/>
      <c r="AN88" s="269" t="b">
        <v>1</v>
      </c>
      <c r="AP88" s="401">
        <v>46191.0</v>
      </c>
      <c r="AQ88" s="109" t="s">
        <v>5088</v>
      </c>
      <c r="AR88" s="109" t="s">
        <v>5089</v>
      </c>
      <c r="AS88" s="58" t="s">
        <v>11</v>
      </c>
      <c r="AT88" s="58" t="s">
        <v>14</v>
      </c>
      <c r="AU88" s="109" t="s">
        <v>5090</v>
      </c>
      <c r="AV88" s="269" t="b">
        <v>1</v>
      </c>
      <c r="AX88" s="270">
        <v>46198.0</v>
      </c>
      <c r="AY88" s="109" t="s">
        <v>5091</v>
      </c>
      <c r="AZ88" s="373" t="s">
        <v>5092</v>
      </c>
      <c r="BA88" s="58" t="s">
        <v>32</v>
      </c>
      <c r="BB88" s="58" t="s">
        <v>9</v>
      </c>
      <c r="BC88" s="61"/>
      <c r="BD88" s="269" t="b">
        <v>1</v>
      </c>
      <c r="BF88" s="380">
        <v>46202.0</v>
      </c>
      <c r="BG88" s="294" t="s">
        <v>5093</v>
      </c>
      <c r="BH88" s="294" t="s">
        <v>5094</v>
      </c>
      <c r="BI88" s="381" t="s">
        <v>11</v>
      </c>
      <c r="BJ88" s="406" t="s">
        <v>2338</v>
      </c>
      <c r="BK88" s="61"/>
      <c r="BL88" s="298"/>
    </row>
    <row r="89" ht="22.5" customHeight="1">
      <c r="A89" s="368"/>
      <c r="B89" s="369"/>
      <c r="C89" s="326"/>
      <c r="D89" s="326"/>
      <c r="E89" s="370"/>
      <c r="F89" s="385"/>
      <c r="G89" s="326"/>
      <c r="H89" s="371"/>
      <c r="J89" s="519">
        <v>46181.0</v>
      </c>
      <c r="K89" s="513" t="s">
        <v>5095</v>
      </c>
      <c r="L89" s="513" t="s">
        <v>5096</v>
      </c>
      <c r="M89" s="520" t="s">
        <v>11</v>
      </c>
      <c r="N89" s="521" t="s">
        <v>28</v>
      </c>
      <c r="O89" s="513" t="s">
        <v>4277</v>
      </c>
      <c r="P89" s="522"/>
      <c r="R89" s="270">
        <v>46187.0</v>
      </c>
      <c r="S89" s="273" t="s">
        <v>5097</v>
      </c>
      <c r="T89" s="413" t="s">
        <v>5098</v>
      </c>
      <c r="U89" s="274" t="s">
        <v>22</v>
      </c>
      <c r="V89" s="58" t="s">
        <v>12</v>
      </c>
      <c r="W89" s="61"/>
      <c r="X89" s="269" t="b">
        <v>1</v>
      </c>
      <c r="Z89" s="270">
        <v>46185.0</v>
      </c>
      <c r="AA89" s="109" t="s">
        <v>5099</v>
      </c>
      <c r="AB89" s="109" t="s">
        <v>5100</v>
      </c>
      <c r="AC89" s="271" t="s">
        <v>11</v>
      </c>
      <c r="AD89" s="58" t="s">
        <v>20</v>
      </c>
      <c r="AE89" s="109"/>
      <c r="AF89" s="269" t="b">
        <v>1</v>
      </c>
      <c r="AH89" s="270">
        <v>46191.0</v>
      </c>
      <c r="AI89" s="312" t="s">
        <v>5101</v>
      </c>
      <c r="AJ89" s="373" t="s">
        <v>5102</v>
      </c>
      <c r="AK89" s="58" t="s">
        <v>10</v>
      </c>
      <c r="AL89" s="58" t="s">
        <v>2344</v>
      </c>
      <c r="AM89" s="61"/>
      <c r="AN89" s="269" t="b">
        <v>1</v>
      </c>
      <c r="AP89" s="270">
        <v>46192.0</v>
      </c>
      <c r="AQ89" s="109" t="s">
        <v>5103</v>
      </c>
      <c r="AR89" s="109" t="s">
        <v>5104</v>
      </c>
      <c r="AS89" s="58" t="s">
        <v>11</v>
      </c>
      <c r="AT89" s="58" t="s">
        <v>20</v>
      </c>
      <c r="AU89" s="61"/>
      <c r="AV89" s="269" t="b">
        <v>1</v>
      </c>
      <c r="AX89" s="270">
        <v>46198.0</v>
      </c>
      <c r="AY89" s="109" t="s">
        <v>5105</v>
      </c>
      <c r="AZ89" s="373" t="s">
        <v>5106</v>
      </c>
      <c r="BA89" s="58" t="s">
        <v>22</v>
      </c>
      <c r="BB89" s="58" t="s">
        <v>9</v>
      </c>
      <c r="BC89" s="61"/>
      <c r="BD89" s="269" t="b">
        <v>1</v>
      </c>
      <c r="BF89" s="382">
        <v>46202.0</v>
      </c>
      <c r="BG89" s="430" t="s">
        <v>5107</v>
      </c>
      <c r="BH89" s="430" t="s">
        <v>5108</v>
      </c>
      <c r="BI89" s="410" t="s">
        <v>23</v>
      </c>
      <c r="BJ89" s="410" t="s">
        <v>2338</v>
      </c>
      <c r="BK89" s="61"/>
      <c r="BL89" s="298"/>
    </row>
    <row r="90" ht="22.5" customHeight="1">
      <c r="A90" s="368"/>
      <c r="B90" s="369"/>
      <c r="C90" s="326"/>
      <c r="D90" s="326"/>
      <c r="E90" s="370"/>
      <c r="F90" s="385"/>
      <c r="G90" s="326"/>
      <c r="H90" s="371"/>
      <c r="J90" s="380">
        <v>46181.0</v>
      </c>
      <c r="K90" s="294" t="s">
        <v>5109</v>
      </c>
      <c r="L90" s="294" t="s">
        <v>5110</v>
      </c>
      <c r="M90" s="409" t="s">
        <v>21</v>
      </c>
      <c r="N90" s="391" t="s">
        <v>2338</v>
      </c>
      <c r="O90" s="61"/>
      <c r="P90" s="269" t="b">
        <v>1</v>
      </c>
      <c r="R90" s="270">
        <v>46187.0</v>
      </c>
      <c r="S90" s="312" t="s">
        <v>5111</v>
      </c>
      <c r="T90" s="312" t="s">
        <v>5112</v>
      </c>
      <c r="U90" s="58" t="s">
        <v>22</v>
      </c>
      <c r="V90" s="58" t="s">
        <v>2344</v>
      </c>
      <c r="W90" s="61"/>
      <c r="X90" s="269" t="b">
        <v>1</v>
      </c>
      <c r="Z90" s="270">
        <v>46185.0</v>
      </c>
      <c r="AA90" s="109" t="s">
        <v>5113</v>
      </c>
      <c r="AB90" s="109" t="s">
        <v>5114</v>
      </c>
      <c r="AC90" s="58" t="s">
        <v>11</v>
      </c>
      <c r="AD90" s="58" t="s">
        <v>20</v>
      </c>
      <c r="AE90" s="61"/>
      <c r="AF90" s="269" t="b">
        <v>1</v>
      </c>
      <c r="AH90" s="270">
        <v>46191.0</v>
      </c>
      <c r="AI90" s="312" t="s">
        <v>5115</v>
      </c>
      <c r="AJ90" s="373" t="s">
        <v>5116</v>
      </c>
      <c r="AK90" s="58" t="s">
        <v>24</v>
      </c>
      <c r="AL90" s="58" t="s">
        <v>2344</v>
      </c>
      <c r="AM90" s="61"/>
      <c r="AN90" s="269" t="b">
        <v>1</v>
      </c>
      <c r="AP90" s="270">
        <v>46192.0</v>
      </c>
      <c r="AQ90" s="109" t="s">
        <v>5117</v>
      </c>
      <c r="AR90" s="109" t="s">
        <v>5118</v>
      </c>
      <c r="AS90" s="58" t="s">
        <v>11</v>
      </c>
      <c r="AT90" s="58" t="s">
        <v>20</v>
      </c>
      <c r="AU90" s="61"/>
      <c r="AV90" s="269" t="b">
        <v>1</v>
      </c>
      <c r="AX90" s="270">
        <v>46198.0</v>
      </c>
      <c r="AY90" s="109" t="s">
        <v>5119</v>
      </c>
      <c r="AZ90" s="373" t="s">
        <v>5120</v>
      </c>
      <c r="BA90" s="58" t="s">
        <v>22</v>
      </c>
      <c r="BB90" s="58" t="s">
        <v>9</v>
      </c>
      <c r="BC90" s="61"/>
      <c r="BD90" s="269" t="b">
        <v>1</v>
      </c>
      <c r="BF90" s="380">
        <v>46202.0</v>
      </c>
      <c r="BG90" s="294" t="s">
        <v>5121</v>
      </c>
      <c r="BH90" s="294" t="s">
        <v>5122</v>
      </c>
      <c r="BI90" s="381" t="s">
        <v>23</v>
      </c>
      <c r="BJ90" s="295" t="s">
        <v>2338</v>
      </c>
      <c r="BK90" s="61"/>
      <c r="BL90" s="298"/>
    </row>
    <row r="91" ht="22.5" customHeight="1">
      <c r="A91" s="368"/>
      <c r="B91" s="369"/>
      <c r="C91" s="326"/>
      <c r="D91" s="326"/>
      <c r="E91" s="370"/>
      <c r="F91" s="385"/>
      <c r="G91" s="326"/>
      <c r="H91" s="386"/>
      <c r="J91" s="382">
        <v>46181.0</v>
      </c>
      <c r="K91" s="394" t="s">
        <v>5123</v>
      </c>
      <c r="L91" s="273" t="s">
        <v>5124</v>
      </c>
      <c r="M91" s="395" t="s">
        <v>23</v>
      </c>
      <c r="N91" s="402" t="s">
        <v>2338</v>
      </c>
      <c r="O91" s="61"/>
      <c r="P91" s="269" t="b">
        <v>1</v>
      </c>
      <c r="R91" s="270">
        <v>46187.0</v>
      </c>
      <c r="S91" s="312" t="s">
        <v>5125</v>
      </c>
      <c r="T91" s="312" t="s">
        <v>5126</v>
      </c>
      <c r="U91" s="58" t="s">
        <v>22</v>
      </c>
      <c r="V91" s="58" t="s">
        <v>2344</v>
      </c>
      <c r="W91" s="61"/>
      <c r="X91" s="269" t="b">
        <v>1</v>
      </c>
      <c r="Z91" s="270">
        <v>46185.0</v>
      </c>
      <c r="AA91" s="109" t="s">
        <v>5127</v>
      </c>
      <c r="AB91" s="109" t="s">
        <v>5128</v>
      </c>
      <c r="AC91" s="58" t="s">
        <v>11</v>
      </c>
      <c r="AD91" s="58" t="s">
        <v>20</v>
      </c>
      <c r="AE91" s="61"/>
      <c r="AF91" s="269" t="b">
        <v>1</v>
      </c>
      <c r="AH91" s="270">
        <v>46191.0</v>
      </c>
      <c r="AI91" s="312" t="s">
        <v>5129</v>
      </c>
      <c r="AJ91" s="373" t="s">
        <v>5130</v>
      </c>
      <c r="AK91" s="58" t="s">
        <v>16</v>
      </c>
      <c r="AL91" s="58" t="s">
        <v>2344</v>
      </c>
      <c r="AM91" s="61"/>
      <c r="AN91" s="269" t="b">
        <v>1</v>
      </c>
      <c r="AP91" s="270">
        <v>46192.0</v>
      </c>
      <c r="AQ91" s="109" t="s">
        <v>5131</v>
      </c>
      <c r="AR91" s="109" t="s">
        <v>5132</v>
      </c>
      <c r="AS91" s="58" t="s">
        <v>11</v>
      </c>
      <c r="AT91" s="58" t="s">
        <v>20</v>
      </c>
      <c r="AU91" s="61"/>
      <c r="AV91" s="269" t="b">
        <v>1</v>
      </c>
      <c r="AX91" s="270">
        <v>46198.0</v>
      </c>
      <c r="AY91" s="109" t="s">
        <v>5133</v>
      </c>
      <c r="AZ91" s="373" t="s">
        <v>5134</v>
      </c>
      <c r="BA91" s="58" t="s">
        <v>22</v>
      </c>
      <c r="BB91" s="58" t="s">
        <v>9</v>
      </c>
      <c r="BC91" s="61"/>
      <c r="BD91" s="269" t="b">
        <v>1</v>
      </c>
      <c r="BF91" s="401">
        <v>46202.0</v>
      </c>
      <c r="BG91" s="273" t="s">
        <v>5135</v>
      </c>
      <c r="BH91" s="273" t="s">
        <v>5136</v>
      </c>
      <c r="BI91" s="274" t="s">
        <v>27</v>
      </c>
      <c r="BJ91" s="274" t="s">
        <v>2337</v>
      </c>
      <c r="BK91" s="61"/>
      <c r="BL91" s="298"/>
    </row>
    <row r="92" ht="22.5" customHeight="1">
      <c r="A92" s="368"/>
      <c r="B92" s="369"/>
      <c r="C92" s="326"/>
      <c r="D92" s="326"/>
      <c r="E92" s="370"/>
      <c r="F92" s="385"/>
      <c r="G92" s="326"/>
      <c r="H92" s="371"/>
      <c r="J92" s="380">
        <v>46181.0</v>
      </c>
      <c r="K92" s="294" t="s">
        <v>5137</v>
      </c>
      <c r="L92" s="294" t="s">
        <v>5138</v>
      </c>
      <c r="M92" s="409" t="s">
        <v>15</v>
      </c>
      <c r="N92" s="391" t="s">
        <v>2338</v>
      </c>
      <c r="O92" s="61"/>
      <c r="P92" s="269" t="b">
        <v>1</v>
      </c>
      <c r="R92" s="270"/>
      <c r="S92" s="523"/>
      <c r="T92" s="109"/>
      <c r="U92" s="344"/>
      <c r="V92" s="58"/>
      <c r="W92" s="61"/>
      <c r="X92" s="298"/>
      <c r="Z92" s="270">
        <v>46185.0</v>
      </c>
      <c r="AA92" s="109" t="s">
        <v>5139</v>
      </c>
      <c r="AB92" s="109" t="s">
        <v>5140</v>
      </c>
      <c r="AC92" s="58" t="s">
        <v>11</v>
      </c>
      <c r="AD92" s="58" t="s">
        <v>20</v>
      </c>
      <c r="AE92" s="61"/>
      <c r="AF92" s="269" t="b">
        <v>1</v>
      </c>
      <c r="AH92" s="270">
        <v>46191.0</v>
      </c>
      <c r="AI92" s="312" t="s">
        <v>5141</v>
      </c>
      <c r="AJ92" s="373" t="s">
        <v>5142</v>
      </c>
      <c r="AK92" s="58" t="s">
        <v>44</v>
      </c>
      <c r="AL92" s="58" t="s">
        <v>2344</v>
      </c>
      <c r="AM92" s="61"/>
      <c r="AN92" s="269" t="b">
        <v>1</v>
      </c>
      <c r="AP92" s="270">
        <v>46192.0</v>
      </c>
      <c r="AQ92" s="109" t="s">
        <v>5143</v>
      </c>
      <c r="AR92" s="109" t="s">
        <v>5144</v>
      </c>
      <c r="AS92" s="58" t="s">
        <v>23</v>
      </c>
      <c r="AT92" s="58" t="s">
        <v>20</v>
      </c>
      <c r="AU92" s="61"/>
      <c r="AV92" s="269" t="b">
        <v>1</v>
      </c>
      <c r="AX92" s="270">
        <v>46199.0</v>
      </c>
      <c r="AY92" s="109" t="s">
        <v>5145</v>
      </c>
      <c r="AZ92" s="373" t="s">
        <v>5146</v>
      </c>
      <c r="BA92" s="58" t="s">
        <v>22</v>
      </c>
      <c r="BB92" s="58" t="s">
        <v>28</v>
      </c>
      <c r="BC92" s="61"/>
      <c r="BD92" s="269" t="b">
        <v>1</v>
      </c>
      <c r="BF92" s="403">
        <v>46202.0</v>
      </c>
      <c r="BG92" s="294" t="s">
        <v>5147</v>
      </c>
      <c r="BH92" s="294" t="s">
        <v>5148</v>
      </c>
      <c r="BI92" s="295" t="s">
        <v>23</v>
      </c>
      <c r="BJ92" s="295" t="s">
        <v>2337</v>
      </c>
      <c r="BK92" s="61"/>
      <c r="BL92" s="298"/>
    </row>
    <row r="93" ht="22.5" customHeight="1">
      <c r="A93" s="368"/>
      <c r="B93" s="369"/>
      <c r="C93" s="326"/>
      <c r="D93" s="326"/>
      <c r="E93" s="370"/>
      <c r="F93" s="385"/>
      <c r="G93" s="326"/>
      <c r="H93" s="371"/>
      <c r="J93" s="382">
        <v>46181.0</v>
      </c>
      <c r="K93" s="273" t="s">
        <v>5149</v>
      </c>
      <c r="L93" s="273" t="s">
        <v>5150</v>
      </c>
      <c r="M93" s="395" t="s">
        <v>30</v>
      </c>
      <c r="N93" s="431" t="s">
        <v>2338</v>
      </c>
      <c r="O93" s="61"/>
      <c r="P93" s="269" t="b">
        <v>1</v>
      </c>
      <c r="R93" s="270"/>
      <c r="S93" s="109"/>
      <c r="T93" s="109"/>
      <c r="U93" s="344"/>
      <c r="V93" s="58"/>
      <c r="W93" s="61"/>
      <c r="X93" s="298"/>
      <c r="Z93" s="270">
        <v>46185.0</v>
      </c>
      <c r="AA93" s="109" t="s">
        <v>5151</v>
      </c>
      <c r="AB93" s="109" t="s">
        <v>5152</v>
      </c>
      <c r="AC93" s="58" t="s">
        <v>11</v>
      </c>
      <c r="AD93" s="58" t="s">
        <v>20</v>
      </c>
      <c r="AE93" s="61"/>
      <c r="AF93" s="269" t="b">
        <v>1</v>
      </c>
      <c r="AH93" s="270">
        <v>46191.0</v>
      </c>
      <c r="AI93" s="312" t="s">
        <v>5153</v>
      </c>
      <c r="AJ93" s="312" t="s">
        <v>5154</v>
      </c>
      <c r="AK93" s="58" t="s">
        <v>19</v>
      </c>
      <c r="AL93" s="58" t="s">
        <v>2344</v>
      </c>
      <c r="AM93" s="61"/>
      <c r="AN93" s="269" t="b">
        <v>1</v>
      </c>
      <c r="AP93" s="270">
        <v>46192.0</v>
      </c>
      <c r="AQ93" s="109" t="s">
        <v>5155</v>
      </c>
      <c r="AR93" s="109" t="s">
        <v>5156</v>
      </c>
      <c r="AS93" s="58" t="s">
        <v>18</v>
      </c>
      <c r="AT93" s="58" t="s">
        <v>20</v>
      </c>
      <c r="AU93" s="61"/>
      <c r="AV93" s="269" t="b">
        <v>1</v>
      </c>
      <c r="AX93" s="270">
        <v>46199.0</v>
      </c>
      <c r="AY93" s="109" t="s">
        <v>5157</v>
      </c>
      <c r="AZ93" s="373" t="s">
        <v>5158</v>
      </c>
      <c r="BA93" s="58" t="s">
        <v>22</v>
      </c>
      <c r="BB93" s="58" t="s">
        <v>28</v>
      </c>
      <c r="BC93" s="61"/>
      <c r="BD93" s="269" t="b">
        <v>1</v>
      </c>
      <c r="BF93" s="401">
        <v>46202.0</v>
      </c>
      <c r="BG93" s="273" t="s">
        <v>5159</v>
      </c>
      <c r="BH93" s="273" t="s">
        <v>5160</v>
      </c>
      <c r="BI93" s="274" t="s">
        <v>18</v>
      </c>
      <c r="BJ93" s="274" t="s">
        <v>2337</v>
      </c>
      <c r="BK93" s="61"/>
      <c r="BL93" s="298"/>
    </row>
    <row r="94" ht="22.5" customHeight="1">
      <c r="A94" s="368"/>
      <c r="B94" s="369"/>
      <c r="C94" s="326"/>
      <c r="D94" s="326"/>
      <c r="E94" s="370"/>
      <c r="F94" s="385"/>
      <c r="G94" s="326"/>
      <c r="H94" s="371"/>
      <c r="J94" s="380">
        <v>46181.0</v>
      </c>
      <c r="K94" s="294" t="s">
        <v>5161</v>
      </c>
      <c r="L94" s="294" t="s">
        <v>5162</v>
      </c>
      <c r="M94" s="409" t="s">
        <v>18</v>
      </c>
      <c r="N94" s="391" t="s">
        <v>2338</v>
      </c>
      <c r="O94" s="61"/>
      <c r="P94" s="269" t="b">
        <v>1</v>
      </c>
      <c r="R94" s="270"/>
      <c r="S94" s="109"/>
      <c r="T94" s="109"/>
      <c r="U94" s="344"/>
      <c r="V94" s="58"/>
      <c r="W94" s="61"/>
      <c r="X94" s="298"/>
      <c r="Z94" s="270">
        <v>46185.0</v>
      </c>
      <c r="AA94" s="294" t="s">
        <v>5163</v>
      </c>
      <c r="AB94" s="294" t="s">
        <v>5164</v>
      </c>
      <c r="AC94" s="409" t="s">
        <v>18</v>
      </c>
      <c r="AD94" s="391" t="s">
        <v>2338</v>
      </c>
      <c r="AE94" s="61"/>
      <c r="AF94" s="269" t="b">
        <v>1</v>
      </c>
      <c r="AH94" s="270">
        <v>46191.0</v>
      </c>
      <c r="AI94" s="312" t="s">
        <v>5165</v>
      </c>
      <c r="AJ94" s="312" t="s">
        <v>5166</v>
      </c>
      <c r="AK94" s="58" t="s">
        <v>24</v>
      </c>
      <c r="AL94" s="58" t="s">
        <v>2347</v>
      </c>
      <c r="AM94" s="61"/>
      <c r="AN94" s="269" t="b">
        <v>1</v>
      </c>
      <c r="AP94" s="270">
        <v>46192.0</v>
      </c>
      <c r="AQ94" s="109" t="s">
        <v>5167</v>
      </c>
      <c r="AR94" s="109" t="s">
        <v>5168</v>
      </c>
      <c r="AS94" s="58" t="s">
        <v>15</v>
      </c>
      <c r="AT94" s="58" t="s">
        <v>20</v>
      </c>
      <c r="AU94" s="61"/>
      <c r="AV94" s="269" t="b">
        <v>1</v>
      </c>
      <c r="AX94" s="270">
        <v>46199.0</v>
      </c>
      <c r="AY94" s="109" t="s">
        <v>5169</v>
      </c>
      <c r="AZ94" s="373" t="s">
        <v>5170</v>
      </c>
      <c r="BA94" s="58" t="s">
        <v>22</v>
      </c>
      <c r="BB94" s="58" t="s">
        <v>28</v>
      </c>
      <c r="BC94" s="61"/>
      <c r="BD94" s="269" t="b">
        <v>1</v>
      </c>
      <c r="BE94" s="428"/>
      <c r="BF94" s="194"/>
      <c r="BG94" s="61"/>
      <c r="BH94" s="61"/>
      <c r="BI94" s="81"/>
      <c r="BJ94" s="81"/>
      <c r="BK94" s="61"/>
      <c r="BL94" s="298"/>
    </row>
    <row r="95" ht="22.5" customHeight="1">
      <c r="A95" s="368"/>
      <c r="B95" s="369"/>
      <c r="C95" s="326"/>
      <c r="D95" s="326"/>
      <c r="E95" s="370"/>
      <c r="F95" s="385"/>
      <c r="G95" s="326"/>
      <c r="H95" s="371"/>
      <c r="J95" s="382">
        <v>46181.0</v>
      </c>
      <c r="K95" s="273" t="s">
        <v>5171</v>
      </c>
      <c r="L95" s="273" t="s">
        <v>5172</v>
      </c>
      <c r="M95" s="395" t="s">
        <v>18</v>
      </c>
      <c r="N95" s="431" t="s">
        <v>2338</v>
      </c>
      <c r="O95" s="61"/>
      <c r="P95" s="269" t="b">
        <v>1</v>
      </c>
      <c r="R95" s="270"/>
      <c r="S95" s="109"/>
      <c r="T95" s="109"/>
      <c r="U95" s="344"/>
      <c r="V95" s="58"/>
      <c r="W95" s="61"/>
      <c r="X95" s="298"/>
      <c r="Z95" s="270">
        <v>46185.0</v>
      </c>
      <c r="AA95" s="273" t="s">
        <v>5173</v>
      </c>
      <c r="AB95" s="273" t="s">
        <v>5174</v>
      </c>
      <c r="AC95" s="395" t="s">
        <v>11</v>
      </c>
      <c r="AD95" s="431" t="s">
        <v>2338</v>
      </c>
      <c r="AE95" s="61"/>
      <c r="AF95" s="269" t="b">
        <v>1</v>
      </c>
      <c r="AH95" s="270">
        <v>46192.0</v>
      </c>
      <c r="AI95" s="109" t="s">
        <v>5175</v>
      </c>
      <c r="AJ95" s="373" t="s">
        <v>5176</v>
      </c>
      <c r="AK95" s="58" t="s">
        <v>19</v>
      </c>
      <c r="AL95" s="58" t="s">
        <v>9</v>
      </c>
      <c r="AM95" s="61"/>
      <c r="AN95" s="269" t="b">
        <v>1</v>
      </c>
      <c r="AP95" s="270">
        <v>46192.0</v>
      </c>
      <c r="AQ95" s="109" t="s">
        <v>5177</v>
      </c>
      <c r="AR95" s="109" t="s">
        <v>5178</v>
      </c>
      <c r="AS95" s="58" t="s">
        <v>15</v>
      </c>
      <c r="AT95" s="58" t="s">
        <v>20</v>
      </c>
      <c r="AU95" s="61"/>
      <c r="AV95" s="269" t="b">
        <v>1</v>
      </c>
      <c r="AX95" s="270">
        <v>46199.0</v>
      </c>
      <c r="AY95" s="109" t="s">
        <v>5179</v>
      </c>
      <c r="AZ95" s="373" t="s">
        <v>5180</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5181</v>
      </c>
      <c r="L96" s="294" t="s">
        <v>5182</v>
      </c>
      <c r="M96" s="409" t="s">
        <v>25</v>
      </c>
      <c r="N96" s="391" t="s">
        <v>2338</v>
      </c>
      <c r="O96" s="61"/>
      <c r="P96" s="269" t="b">
        <v>1</v>
      </c>
      <c r="R96" s="270"/>
      <c r="S96" s="61"/>
      <c r="T96" s="61"/>
      <c r="U96" s="81"/>
      <c r="V96" s="58"/>
      <c r="W96" s="61"/>
      <c r="X96" s="298"/>
      <c r="Z96" s="270">
        <v>46185.0</v>
      </c>
      <c r="AA96" s="294" t="s">
        <v>5183</v>
      </c>
      <c r="AB96" s="294" t="s">
        <v>5184</v>
      </c>
      <c r="AC96" s="409" t="s">
        <v>27</v>
      </c>
      <c r="AD96" s="391" t="s">
        <v>2338</v>
      </c>
      <c r="AE96" s="61"/>
      <c r="AF96" s="269" t="b">
        <v>1</v>
      </c>
      <c r="AH96" s="270">
        <v>46192.0</v>
      </c>
      <c r="AI96" s="109" t="s">
        <v>5185</v>
      </c>
      <c r="AJ96" s="373" t="s">
        <v>5186</v>
      </c>
      <c r="AK96" s="58" t="s">
        <v>22</v>
      </c>
      <c r="AL96" s="58" t="s">
        <v>2347</v>
      </c>
      <c r="AM96" s="61"/>
      <c r="AN96" s="269" t="b">
        <v>1</v>
      </c>
      <c r="AP96" s="270">
        <v>46192.0</v>
      </c>
      <c r="AQ96" s="109" t="s">
        <v>5187</v>
      </c>
      <c r="AR96" s="109" t="s">
        <v>5188</v>
      </c>
      <c r="AS96" s="58" t="s">
        <v>15</v>
      </c>
      <c r="AT96" s="58" t="s">
        <v>20</v>
      </c>
      <c r="AU96" s="61"/>
      <c r="AV96" s="269" t="b">
        <v>1</v>
      </c>
      <c r="AX96" s="270">
        <v>46199.0</v>
      </c>
      <c r="AY96" s="109" t="s">
        <v>5189</v>
      </c>
      <c r="AZ96" s="373" t="s">
        <v>5190</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5191</v>
      </c>
      <c r="AB97" s="456" t="s">
        <v>5192</v>
      </c>
      <c r="AC97" s="462" t="s">
        <v>21</v>
      </c>
      <c r="AD97" s="462" t="s">
        <v>28</v>
      </c>
      <c r="AE97" s="61"/>
      <c r="AF97" s="269" t="b">
        <v>1</v>
      </c>
      <c r="AH97" s="270">
        <v>46192.0</v>
      </c>
      <c r="AI97" s="312" t="s">
        <v>5193</v>
      </c>
      <c r="AJ97" s="373" t="s">
        <v>5194</v>
      </c>
      <c r="AK97" s="58"/>
      <c r="AL97" s="58" t="s">
        <v>2347</v>
      </c>
      <c r="AM97" s="109" t="s">
        <v>5195</v>
      </c>
      <c r="AN97" s="298"/>
      <c r="AP97" s="270">
        <v>46192.0</v>
      </c>
      <c r="AQ97" s="109" t="s">
        <v>5196</v>
      </c>
      <c r="AR97" s="109" t="s">
        <v>5197</v>
      </c>
      <c r="AS97" s="58" t="s">
        <v>11</v>
      </c>
      <c r="AT97" s="58" t="s">
        <v>14</v>
      </c>
      <c r="AU97" s="109" t="s">
        <v>4781</v>
      </c>
      <c r="AV97" s="269" t="b">
        <v>1</v>
      </c>
      <c r="AX97" s="270">
        <v>46199.0</v>
      </c>
      <c r="AY97" s="109" t="s">
        <v>5198</v>
      </c>
      <c r="AZ97" s="373" t="s">
        <v>5199</v>
      </c>
      <c r="BA97" s="58" t="s">
        <v>22</v>
      </c>
      <c r="BB97" s="58" t="s">
        <v>28</v>
      </c>
      <c r="BC97" s="109" t="s">
        <v>5200</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5201</v>
      </c>
      <c r="AB98" s="273" t="s">
        <v>5202</v>
      </c>
      <c r="AC98" s="274" t="s">
        <v>30</v>
      </c>
      <c r="AD98" s="274" t="s">
        <v>2337</v>
      </c>
      <c r="AE98" s="61"/>
      <c r="AF98" s="269" t="b">
        <v>1</v>
      </c>
      <c r="AH98" s="270">
        <v>46192.0</v>
      </c>
      <c r="AI98" s="109" t="s">
        <v>5203</v>
      </c>
      <c r="AJ98" s="373" t="s">
        <v>5204</v>
      </c>
      <c r="AK98" s="58" t="s">
        <v>16</v>
      </c>
      <c r="AL98" s="58" t="s">
        <v>9</v>
      </c>
      <c r="AM98" s="109" t="s">
        <v>5205</v>
      </c>
      <c r="AN98" s="269" t="b">
        <v>1</v>
      </c>
      <c r="AP98" s="382">
        <v>46192.0</v>
      </c>
      <c r="AQ98" s="273" t="s">
        <v>5206</v>
      </c>
      <c r="AR98" s="273" t="s">
        <v>5207</v>
      </c>
      <c r="AS98" s="383" t="s">
        <v>18</v>
      </c>
      <c r="AT98" s="410" t="s">
        <v>2338</v>
      </c>
      <c r="AU98" s="61"/>
      <c r="AV98" s="269" t="b">
        <v>1</v>
      </c>
      <c r="AX98" s="270">
        <v>46199.0</v>
      </c>
      <c r="AY98" s="109" t="s">
        <v>5208</v>
      </c>
      <c r="AZ98" s="373" t="s">
        <v>5209</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5210</v>
      </c>
      <c r="AB99" s="294" t="s">
        <v>5211</v>
      </c>
      <c r="AC99" s="295" t="s">
        <v>30</v>
      </c>
      <c r="AD99" s="295" t="s">
        <v>2337</v>
      </c>
      <c r="AE99" s="109"/>
      <c r="AF99" s="269" t="b">
        <v>1</v>
      </c>
      <c r="AH99" s="270">
        <v>46192.0</v>
      </c>
      <c r="AI99" s="109" t="s">
        <v>5212</v>
      </c>
      <c r="AJ99" s="373" t="s">
        <v>5213</v>
      </c>
      <c r="AK99" s="58" t="s">
        <v>10</v>
      </c>
      <c r="AL99" s="58" t="s">
        <v>9</v>
      </c>
      <c r="AM99" s="61"/>
      <c r="AN99" s="269" t="b">
        <v>1</v>
      </c>
      <c r="AP99" s="380">
        <v>46192.0</v>
      </c>
      <c r="AQ99" s="294" t="s">
        <v>5214</v>
      </c>
      <c r="AR99" s="294" t="s">
        <v>5215</v>
      </c>
      <c r="AS99" s="381" t="s">
        <v>25</v>
      </c>
      <c r="AT99" s="295" t="s">
        <v>2338</v>
      </c>
      <c r="AU99" s="61"/>
      <c r="AV99" s="269" t="b">
        <v>1</v>
      </c>
      <c r="AX99" s="270">
        <v>46200.0</v>
      </c>
      <c r="AY99" s="109" t="s">
        <v>5216</v>
      </c>
      <c r="AZ99" s="373" t="s">
        <v>5217</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5218</v>
      </c>
      <c r="AB100" s="273" t="s">
        <v>5219</v>
      </c>
      <c r="AC100" s="274" t="s">
        <v>30</v>
      </c>
      <c r="AD100" s="274" t="s">
        <v>2337</v>
      </c>
      <c r="AE100" s="61"/>
      <c r="AF100" s="269" t="b">
        <v>1</v>
      </c>
      <c r="AH100" s="270">
        <v>46192.0</v>
      </c>
      <c r="AI100" s="109" t="s">
        <v>5220</v>
      </c>
      <c r="AJ100" s="373" t="s">
        <v>5221</v>
      </c>
      <c r="AK100" s="58" t="s">
        <v>44</v>
      </c>
      <c r="AL100" s="58" t="s">
        <v>9</v>
      </c>
      <c r="AM100" s="61"/>
      <c r="AN100" s="269" t="b">
        <v>1</v>
      </c>
      <c r="AP100" s="382">
        <v>46192.0</v>
      </c>
      <c r="AQ100" s="430" t="s">
        <v>5222</v>
      </c>
      <c r="AR100" s="430" t="s">
        <v>5223</v>
      </c>
      <c r="AS100" s="410" t="s">
        <v>21</v>
      </c>
      <c r="AT100" s="410" t="s">
        <v>2338</v>
      </c>
      <c r="AU100" s="61"/>
      <c r="AV100" s="269" t="b">
        <v>1</v>
      </c>
      <c r="AX100" s="270">
        <v>46201.0</v>
      </c>
      <c r="AY100" s="109" t="s">
        <v>5224</v>
      </c>
      <c r="AZ100" s="373" t="s">
        <v>5225</v>
      </c>
      <c r="BA100" s="58"/>
      <c r="BB100" s="58" t="s">
        <v>2347</v>
      </c>
      <c r="BC100" s="109" t="s">
        <v>5226</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5227</v>
      </c>
      <c r="AB101" s="294" t="s">
        <v>5228</v>
      </c>
      <c r="AC101" s="295" t="s">
        <v>30</v>
      </c>
      <c r="AD101" s="295" t="s">
        <v>2337</v>
      </c>
      <c r="AE101" s="109"/>
      <c r="AF101" s="269" t="b">
        <v>1</v>
      </c>
      <c r="AH101" s="270">
        <v>46192.0</v>
      </c>
      <c r="AI101" s="312" t="s">
        <v>5229</v>
      </c>
      <c r="AJ101" s="373" t="s">
        <v>5230</v>
      </c>
      <c r="AK101" s="58" t="s">
        <v>19</v>
      </c>
      <c r="AL101" s="58" t="s">
        <v>9</v>
      </c>
      <c r="AM101" s="61"/>
      <c r="AN101" s="269" t="b">
        <v>1</v>
      </c>
      <c r="AP101" s="380">
        <v>46192.0</v>
      </c>
      <c r="AQ101" s="294" t="s">
        <v>5231</v>
      </c>
      <c r="AR101" s="294" t="s">
        <v>5232</v>
      </c>
      <c r="AS101" s="295" t="s">
        <v>23</v>
      </c>
      <c r="AT101" s="295" t="s">
        <v>2338</v>
      </c>
      <c r="AU101" s="61"/>
      <c r="AV101" s="269" t="b">
        <v>1</v>
      </c>
      <c r="AX101" s="270">
        <v>46202.0</v>
      </c>
      <c r="AY101" s="109" t="s">
        <v>5233</v>
      </c>
      <c r="AZ101" s="373" t="s">
        <v>5234</v>
      </c>
      <c r="BA101" s="58" t="s">
        <v>22</v>
      </c>
      <c r="BB101" s="58" t="s">
        <v>28</v>
      </c>
      <c r="BC101" s="61"/>
      <c r="BD101" s="269" t="b">
        <v>1</v>
      </c>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5235</v>
      </c>
      <c r="AB102" s="273" t="s">
        <v>5236</v>
      </c>
      <c r="AC102" s="402" t="s">
        <v>30</v>
      </c>
      <c r="AD102" s="402" t="s">
        <v>2337</v>
      </c>
      <c r="AE102" s="109"/>
      <c r="AF102" s="269" t="b">
        <v>1</v>
      </c>
      <c r="AH102" s="270">
        <v>46192.0</v>
      </c>
      <c r="AI102" s="312" t="s">
        <v>5237</v>
      </c>
      <c r="AJ102" s="373" t="s">
        <v>5238</v>
      </c>
      <c r="AK102" s="58" t="s">
        <v>32</v>
      </c>
      <c r="AL102" s="58" t="s">
        <v>2347</v>
      </c>
      <c r="AM102" s="61"/>
      <c r="AN102" s="269" t="b">
        <v>1</v>
      </c>
      <c r="AP102" s="382">
        <v>46192.0</v>
      </c>
      <c r="AQ102" s="273" t="s">
        <v>5239</v>
      </c>
      <c r="AR102" s="273" t="s">
        <v>5240</v>
      </c>
      <c r="AS102" s="274" t="s">
        <v>11</v>
      </c>
      <c r="AT102" s="274" t="s">
        <v>2338</v>
      </c>
      <c r="AU102" s="61"/>
      <c r="AV102" s="269" t="b">
        <v>1</v>
      </c>
      <c r="AX102" s="270">
        <v>46202.0</v>
      </c>
      <c r="AY102" s="109" t="s">
        <v>5241</v>
      </c>
      <c r="AZ102" s="373" t="s">
        <v>5242</v>
      </c>
      <c r="BA102" s="58" t="s">
        <v>22</v>
      </c>
      <c r="BB102" s="58" t="s">
        <v>28</v>
      </c>
      <c r="BC102" s="61"/>
      <c r="BD102" s="269" t="b">
        <v>1</v>
      </c>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5243</v>
      </c>
      <c r="AB103" s="294" t="s">
        <v>5244</v>
      </c>
      <c r="AC103" s="295" t="s">
        <v>30</v>
      </c>
      <c r="AD103" s="295" t="s">
        <v>2337</v>
      </c>
      <c r="AE103" s="61"/>
      <c r="AF103" s="269" t="b">
        <v>1</v>
      </c>
      <c r="AH103" s="270">
        <v>46193.0</v>
      </c>
      <c r="AI103" s="109" t="s">
        <v>5245</v>
      </c>
      <c r="AJ103" s="373" t="s">
        <v>5246</v>
      </c>
      <c r="AK103" s="58" t="s">
        <v>24</v>
      </c>
      <c r="AL103" s="58" t="s">
        <v>2347</v>
      </c>
      <c r="AM103" s="61"/>
      <c r="AN103" s="269" t="b">
        <v>1</v>
      </c>
      <c r="AP103" s="403">
        <v>46192.0</v>
      </c>
      <c r="AQ103" s="417" t="s">
        <v>5247</v>
      </c>
      <c r="AR103" s="294" t="s">
        <v>5248</v>
      </c>
      <c r="AS103" s="295" t="s">
        <v>15</v>
      </c>
      <c r="AT103" s="295" t="s">
        <v>2337</v>
      </c>
      <c r="AU103" s="109" t="s">
        <v>5249</v>
      </c>
      <c r="AV103" s="269" t="b">
        <v>1</v>
      </c>
      <c r="AX103" s="270">
        <v>46202.0</v>
      </c>
      <c r="AY103" s="109" t="s">
        <v>5250</v>
      </c>
      <c r="AZ103" s="373" t="s">
        <v>5251</v>
      </c>
      <c r="BA103" s="58" t="s">
        <v>22</v>
      </c>
      <c r="BB103" s="58" t="s">
        <v>28</v>
      </c>
      <c r="BC103" s="61"/>
      <c r="BD103" s="269" t="b">
        <v>1</v>
      </c>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5252</v>
      </c>
      <c r="AB104" s="273" t="s">
        <v>5253</v>
      </c>
      <c r="AC104" s="274" t="s">
        <v>30</v>
      </c>
      <c r="AD104" s="274" t="s">
        <v>2337</v>
      </c>
      <c r="AE104" s="61"/>
      <c r="AF104" s="269" t="b">
        <v>1</v>
      </c>
      <c r="AH104" s="270">
        <v>46194.0</v>
      </c>
      <c r="AI104" s="109" t="s">
        <v>5254</v>
      </c>
      <c r="AJ104" s="373" t="s">
        <v>5255</v>
      </c>
      <c r="AK104" s="58" t="s">
        <v>22</v>
      </c>
      <c r="AL104" s="58" t="s">
        <v>2347</v>
      </c>
      <c r="AM104" s="61"/>
      <c r="AN104" s="269" t="b">
        <v>1</v>
      </c>
      <c r="AP104" s="401">
        <v>46192.0</v>
      </c>
      <c r="AQ104" s="273" t="s">
        <v>5256</v>
      </c>
      <c r="AR104" s="273" t="s">
        <v>5257</v>
      </c>
      <c r="AS104" s="274" t="s">
        <v>11</v>
      </c>
      <c r="AT104" s="274" t="s">
        <v>2337</v>
      </c>
      <c r="AU104" s="61"/>
      <c r="AV104" s="269" t="b">
        <v>1</v>
      </c>
      <c r="AX104" s="270">
        <v>46202.0</v>
      </c>
      <c r="AY104" s="109" t="s">
        <v>5258</v>
      </c>
      <c r="AZ104" s="109" t="s">
        <v>5259</v>
      </c>
      <c r="BA104" s="58" t="s">
        <v>16</v>
      </c>
      <c r="BB104" s="58" t="s">
        <v>9</v>
      </c>
      <c r="BC104" s="61"/>
      <c r="BD104" s="269" t="b">
        <v>1</v>
      </c>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5260</v>
      </c>
      <c r="AB105" s="294" t="s">
        <v>5261</v>
      </c>
      <c r="AC105" s="295" t="s">
        <v>11</v>
      </c>
      <c r="AD105" s="295" t="s">
        <v>2337</v>
      </c>
      <c r="AE105" s="61"/>
      <c r="AF105" s="269" t="b">
        <v>1</v>
      </c>
      <c r="AH105" s="270">
        <v>46194.0</v>
      </c>
      <c r="AI105" s="273" t="s">
        <v>5262</v>
      </c>
      <c r="AJ105" s="273" t="s">
        <v>5263</v>
      </c>
      <c r="AK105" s="274" t="s">
        <v>44</v>
      </c>
      <c r="AL105" s="274" t="s">
        <v>3664</v>
      </c>
      <c r="AM105" s="61"/>
      <c r="AN105" s="269" t="b">
        <v>1</v>
      </c>
      <c r="AP105" s="403">
        <v>46192.0</v>
      </c>
      <c r="AQ105" s="294" t="s">
        <v>5264</v>
      </c>
      <c r="AR105" s="294" t="s">
        <v>5265</v>
      </c>
      <c r="AS105" s="295" t="s">
        <v>11</v>
      </c>
      <c r="AT105" s="295" t="s">
        <v>2337</v>
      </c>
      <c r="AU105" s="61"/>
      <c r="AV105" s="269" t="b">
        <v>1</v>
      </c>
      <c r="AX105" s="270">
        <v>46202.0</v>
      </c>
      <c r="AY105" s="109" t="s">
        <v>5266</v>
      </c>
      <c r="AZ105" s="373" t="s">
        <v>5267</v>
      </c>
      <c r="BA105" s="58" t="s">
        <v>22</v>
      </c>
      <c r="BB105" s="58" t="s">
        <v>9</v>
      </c>
      <c r="BC105" s="61"/>
      <c r="BD105" s="269" t="b">
        <v>1</v>
      </c>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5268</v>
      </c>
      <c r="AB106" s="273" t="s">
        <v>5269</v>
      </c>
      <c r="AC106" s="274" t="s">
        <v>27</v>
      </c>
      <c r="AD106" s="274" t="s">
        <v>2337</v>
      </c>
      <c r="AE106" s="61"/>
      <c r="AF106" s="269" t="b">
        <v>1</v>
      </c>
      <c r="AH106" s="270">
        <v>46194.0</v>
      </c>
      <c r="AI106" s="294" t="s">
        <v>5270</v>
      </c>
      <c r="AJ106" s="294" t="s">
        <v>5271</v>
      </c>
      <c r="AK106" s="295" t="s">
        <v>32</v>
      </c>
      <c r="AL106" s="295" t="s">
        <v>3664</v>
      </c>
      <c r="AM106" s="61"/>
      <c r="AN106" s="269" t="b">
        <v>1</v>
      </c>
      <c r="AP106" s="401">
        <v>46192.0</v>
      </c>
      <c r="AQ106" s="273" t="s">
        <v>5272</v>
      </c>
      <c r="AR106" s="273" t="s">
        <v>5273</v>
      </c>
      <c r="AS106" s="274" t="s">
        <v>21</v>
      </c>
      <c r="AT106" s="274" t="s">
        <v>2337</v>
      </c>
      <c r="AU106" s="109" t="s">
        <v>2572</v>
      </c>
      <c r="AV106" s="298"/>
      <c r="AX106" s="270">
        <v>46202.0</v>
      </c>
      <c r="AY106" s="109" t="s">
        <v>5274</v>
      </c>
      <c r="AZ106" s="373" t="s">
        <v>5275</v>
      </c>
      <c r="BA106" s="58" t="s">
        <v>16</v>
      </c>
      <c r="BB106" s="58" t="s">
        <v>9</v>
      </c>
      <c r="BC106" s="61"/>
      <c r="BD106" s="269" t="b">
        <v>1</v>
      </c>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5276</v>
      </c>
      <c r="AB107" s="294" t="s">
        <v>5277</v>
      </c>
      <c r="AC107" s="295"/>
      <c r="AD107" s="295" t="s">
        <v>2337</v>
      </c>
      <c r="AE107" s="61"/>
      <c r="AF107" s="269" t="b">
        <v>0</v>
      </c>
      <c r="AH107" s="194"/>
      <c r="AI107" s="61"/>
      <c r="AJ107" s="61"/>
      <c r="AK107" s="81"/>
      <c r="AL107" s="81"/>
      <c r="AM107" s="61"/>
      <c r="AN107" s="298"/>
      <c r="AP107" s="403">
        <v>46192.0</v>
      </c>
      <c r="AQ107" s="294" t="s">
        <v>5278</v>
      </c>
      <c r="AR107" s="294" t="s">
        <v>5279</v>
      </c>
      <c r="AS107" s="295" t="s">
        <v>23</v>
      </c>
      <c r="AT107" s="295" t="s">
        <v>2337</v>
      </c>
      <c r="AU107" s="61"/>
      <c r="AV107" s="269" t="b">
        <v>1</v>
      </c>
      <c r="AX107" s="270">
        <v>46202.0</v>
      </c>
      <c r="AY107" s="109" t="s">
        <v>5280</v>
      </c>
      <c r="AZ107" s="373" t="s">
        <v>5281</v>
      </c>
      <c r="BA107" s="58" t="s">
        <v>22</v>
      </c>
      <c r="BB107" s="58" t="s">
        <v>28</v>
      </c>
      <c r="BC107" s="61"/>
      <c r="BD107" s="269" t="b">
        <v>1</v>
      </c>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5282</v>
      </c>
      <c r="AB108" s="273" t="s">
        <v>5283</v>
      </c>
      <c r="AC108" s="274" t="s">
        <v>27</v>
      </c>
      <c r="AD108" s="274" t="s">
        <v>2337</v>
      </c>
      <c r="AE108" s="61"/>
      <c r="AF108" s="269" t="b">
        <v>1</v>
      </c>
      <c r="AH108" s="194"/>
      <c r="AI108" s="61"/>
      <c r="AJ108" s="61"/>
      <c r="AK108" s="81"/>
      <c r="AL108" s="81"/>
      <c r="AM108" s="61"/>
      <c r="AN108" s="298"/>
      <c r="AP108" s="401">
        <v>46192.0</v>
      </c>
      <c r="AQ108" s="273" t="s">
        <v>5284</v>
      </c>
      <c r="AR108" s="273" t="s">
        <v>5285</v>
      </c>
      <c r="AS108" s="274" t="s">
        <v>27</v>
      </c>
      <c r="AT108" s="274" t="s">
        <v>2337</v>
      </c>
      <c r="AU108" s="109" t="s">
        <v>5286</v>
      </c>
      <c r="AV108" s="269" t="b">
        <v>1</v>
      </c>
      <c r="AX108" s="270">
        <v>46202.0</v>
      </c>
      <c r="AY108" s="109" t="s">
        <v>5287</v>
      </c>
      <c r="AZ108" s="373" t="s">
        <v>5288</v>
      </c>
      <c r="BA108" s="58" t="s">
        <v>22</v>
      </c>
      <c r="BB108" s="58" t="s">
        <v>28</v>
      </c>
      <c r="BC108" s="109" t="s">
        <v>5289</v>
      </c>
      <c r="BD108" s="269" t="b">
        <v>1</v>
      </c>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5290</v>
      </c>
      <c r="AB109" s="273" t="s">
        <v>5291</v>
      </c>
      <c r="AC109" s="383" t="s">
        <v>27</v>
      </c>
      <c r="AD109" s="410" t="s">
        <v>2338</v>
      </c>
      <c r="AE109" s="61"/>
      <c r="AF109" s="269" t="b">
        <v>1</v>
      </c>
      <c r="AH109" s="270"/>
      <c r="AI109" s="61"/>
      <c r="AJ109" s="524"/>
      <c r="AK109" s="344"/>
      <c r="AL109" s="344"/>
      <c r="AM109" s="61"/>
      <c r="AN109" s="298"/>
      <c r="AP109" s="403">
        <v>46192.0</v>
      </c>
      <c r="AQ109" s="294" t="s">
        <v>5292</v>
      </c>
      <c r="AR109" s="294" t="s">
        <v>5293</v>
      </c>
      <c r="AS109" s="295" t="s">
        <v>11</v>
      </c>
      <c r="AT109" s="295" t="s">
        <v>2337</v>
      </c>
      <c r="AU109" s="61"/>
      <c r="AV109" s="269" t="b">
        <v>1</v>
      </c>
      <c r="AX109" s="270">
        <v>46202.0</v>
      </c>
      <c r="AY109" s="109" t="s">
        <v>5294</v>
      </c>
      <c r="AZ109" s="373" t="s">
        <v>5295</v>
      </c>
      <c r="BA109" s="58" t="s">
        <v>22</v>
      </c>
      <c r="BB109" s="58" t="s">
        <v>28</v>
      </c>
      <c r="BC109" s="61"/>
      <c r="BD109" s="269" t="b">
        <v>1</v>
      </c>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5296</v>
      </c>
      <c r="AB110" s="294" t="s">
        <v>5297</v>
      </c>
      <c r="AC110" s="381" t="s">
        <v>11</v>
      </c>
      <c r="AD110" s="295" t="s">
        <v>2338</v>
      </c>
      <c r="AE110" s="61"/>
      <c r="AF110" s="269" t="b">
        <v>1</v>
      </c>
      <c r="AH110" s="270"/>
      <c r="AI110" s="109"/>
      <c r="AJ110" s="373"/>
      <c r="AK110" s="344"/>
      <c r="AL110" s="344"/>
      <c r="AM110" s="61"/>
      <c r="AN110" s="298"/>
      <c r="AP110" s="401">
        <v>46192.0</v>
      </c>
      <c r="AQ110" s="273" t="s">
        <v>5298</v>
      </c>
      <c r="AR110" s="273" t="s">
        <v>5299</v>
      </c>
      <c r="AS110" s="274" t="s">
        <v>21</v>
      </c>
      <c r="AT110" s="274" t="s">
        <v>2337</v>
      </c>
      <c r="AU110" s="61"/>
      <c r="AV110" s="269" t="b">
        <v>1</v>
      </c>
      <c r="AX110" s="270">
        <v>46202.0</v>
      </c>
      <c r="AY110" s="109" t="s">
        <v>5300</v>
      </c>
      <c r="AZ110" s="373" t="s">
        <v>5301</v>
      </c>
      <c r="BA110" s="58" t="s">
        <v>22</v>
      </c>
      <c r="BB110" s="58" t="s">
        <v>2347</v>
      </c>
      <c r="BC110" s="61"/>
      <c r="BD110" s="269" t="b">
        <v>1</v>
      </c>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5302</v>
      </c>
      <c r="AB111" s="294" t="s">
        <v>5303</v>
      </c>
      <c r="AC111" s="381" t="s">
        <v>30</v>
      </c>
      <c r="AD111" s="295" t="s">
        <v>2338</v>
      </c>
      <c r="AE111" s="61"/>
      <c r="AF111" s="269" t="b">
        <v>1</v>
      </c>
      <c r="AH111" s="270"/>
      <c r="AI111" s="109"/>
      <c r="AJ111" s="373"/>
      <c r="AK111" s="344"/>
      <c r="AL111" s="344"/>
      <c r="AM111" s="61"/>
      <c r="AN111" s="298"/>
      <c r="AP111" s="403">
        <v>46192.0</v>
      </c>
      <c r="AQ111" s="294" t="s">
        <v>5304</v>
      </c>
      <c r="AR111" s="294" t="s">
        <v>5305</v>
      </c>
      <c r="AS111" s="295" t="s">
        <v>23</v>
      </c>
      <c r="AT111" s="295" t="s">
        <v>2337</v>
      </c>
      <c r="AU111" s="61"/>
      <c r="AV111" s="269" t="b">
        <v>1</v>
      </c>
      <c r="AX111" s="270">
        <v>46202.0</v>
      </c>
      <c r="AY111" s="294" t="s">
        <v>5306</v>
      </c>
      <c r="AZ111" s="294" t="s">
        <v>5307</v>
      </c>
      <c r="BA111" s="295" t="s">
        <v>22</v>
      </c>
      <c r="BB111" s="58" t="s">
        <v>12</v>
      </c>
      <c r="BC111" s="61"/>
      <c r="BD111" s="269" t="b">
        <v>1</v>
      </c>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5308</v>
      </c>
      <c r="AB112" s="273" t="s">
        <v>5309</v>
      </c>
      <c r="AC112" s="383"/>
      <c r="AD112" s="293" t="s">
        <v>2338</v>
      </c>
      <c r="AE112" s="109" t="s">
        <v>982</v>
      </c>
      <c r="AF112" s="298"/>
      <c r="AH112" s="270"/>
      <c r="AI112" s="109"/>
      <c r="AJ112" s="373"/>
      <c r="AK112" s="344"/>
      <c r="AL112" s="344"/>
      <c r="AM112" s="61"/>
      <c r="AN112" s="298"/>
      <c r="AP112" s="525">
        <v>46193.0</v>
      </c>
      <c r="AQ112" s="273" t="s">
        <v>5310</v>
      </c>
      <c r="AR112" s="273" t="s">
        <v>5311</v>
      </c>
      <c r="AS112" s="274" t="s">
        <v>21</v>
      </c>
      <c r="AT112" s="274" t="s">
        <v>2337</v>
      </c>
      <c r="AU112" s="61"/>
      <c r="AV112" s="269" t="b">
        <v>1</v>
      </c>
      <c r="AX112" s="270">
        <v>46202.0</v>
      </c>
      <c r="AY112" s="430" t="s">
        <v>5312</v>
      </c>
      <c r="AZ112" s="430" t="s">
        <v>5313</v>
      </c>
      <c r="BA112" s="410" t="s">
        <v>22</v>
      </c>
      <c r="BB112" s="58" t="s">
        <v>12</v>
      </c>
      <c r="BC112" s="61"/>
      <c r="BD112" s="269" t="b">
        <v>1</v>
      </c>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5314</v>
      </c>
      <c r="AR113" s="294" t="s">
        <v>5315</v>
      </c>
      <c r="AS113" s="295" t="s">
        <v>27</v>
      </c>
      <c r="AT113" s="295" t="s">
        <v>2337</v>
      </c>
      <c r="AU113" s="61"/>
      <c r="AV113" s="269" t="b">
        <v>1</v>
      </c>
      <c r="AX113" s="270">
        <v>46202.0</v>
      </c>
      <c r="AY113" s="405" t="s">
        <v>5316</v>
      </c>
      <c r="AZ113" s="405" t="s">
        <v>5317</v>
      </c>
      <c r="BA113" s="406" t="s">
        <v>22</v>
      </c>
      <c r="BB113" s="58" t="s">
        <v>12</v>
      </c>
      <c r="BC113" s="61"/>
      <c r="BD113" s="269" t="b">
        <v>1</v>
      </c>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5318</v>
      </c>
      <c r="AR114" s="273" t="s">
        <v>5319</v>
      </c>
      <c r="AS114" s="274" t="s">
        <v>30</v>
      </c>
      <c r="AT114" s="274" t="s">
        <v>2337</v>
      </c>
      <c r="AU114" s="61"/>
      <c r="AV114" s="269" t="b">
        <v>1</v>
      </c>
      <c r="AX114" s="270">
        <v>46202.0</v>
      </c>
      <c r="AY114" s="430" t="s">
        <v>5320</v>
      </c>
      <c r="AZ114" s="430" t="s">
        <v>5321</v>
      </c>
      <c r="BA114" s="410" t="s">
        <v>22</v>
      </c>
      <c r="BB114" s="58" t="s">
        <v>12</v>
      </c>
      <c r="BC114" s="109"/>
      <c r="BD114" s="269" t="b">
        <v>1</v>
      </c>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5322</v>
      </c>
      <c r="AR115" s="294" t="s">
        <v>5323</v>
      </c>
      <c r="AS115" s="295" t="s">
        <v>30</v>
      </c>
      <c r="AT115" s="295" t="s">
        <v>2337</v>
      </c>
      <c r="AU115" s="61"/>
      <c r="AV115" s="269" t="b">
        <v>1</v>
      </c>
      <c r="AX115" s="270">
        <v>46202.0</v>
      </c>
      <c r="AY115" s="109" t="s">
        <v>5324</v>
      </c>
      <c r="AZ115" s="373" t="s">
        <v>5325</v>
      </c>
      <c r="BA115" s="58" t="s">
        <v>13</v>
      </c>
      <c r="BB115" s="58" t="s">
        <v>2347</v>
      </c>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5326</v>
      </c>
      <c r="AR116" s="273" t="s">
        <v>5327</v>
      </c>
      <c r="AS116" s="274" t="s">
        <v>21</v>
      </c>
      <c r="AT116" s="274" t="s">
        <v>2337</v>
      </c>
      <c r="AU116" s="109" t="s">
        <v>5328</v>
      </c>
      <c r="AV116" s="269" t="b">
        <v>1</v>
      </c>
      <c r="AX116" s="270">
        <v>46203.0</v>
      </c>
      <c r="AY116" s="109" t="s">
        <v>5329</v>
      </c>
      <c r="AZ116" s="373" t="s">
        <v>5330</v>
      </c>
      <c r="BA116" s="58" t="s">
        <v>16</v>
      </c>
      <c r="BB116" s="58" t="s">
        <v>9</v>
      </c>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5331</v>
      </c>
      <c r="AR117" s="294" t="s">
        <v>5332</v>
      </c>
      <c r="AS117" s="295" t="s">
        <v>27</v>
      </c>
      <c r="AT117" s="295" t="s">
        <v>2337</v>
      </c>
      <c r="AU117" s="61"/>
      <c r="AV117" s="269" t="b">
        <v>1</v>
      </c>
      <c r="AX117" s="270">
        <v>46203.0</v>
      </c>
      <c r="AY117" s="109" t="s">
        <v>5333</v>
      </c>
      <c r="AZ117" s="373" t="s">
        <v>5334</v>
      </c>
      <c r="BA117" s="58" t="s">
        <v>22</v>
      </c>
      <c r="BB117" s="58" t="s">
        <v>2347</v>
      </c>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5335</v>
      </c>
      <c r="AR118" s="273" t="s">
        <v>5336</v>
      </c>
      <c r="AS118" s="274" t="s">
        <v>27</v>
      </c>
      <c r="AT118" s="274" t="s">
        <v>2337</v>
      </c>
      <c r="AU118" s="61"/>
      <c r="AV118" s="269" t="b">
        <v>1</v>
      </c>
      <c r="AX118" s="270">
        <v>46203.0</v>
      </c>
      <c r="AY118" s="109" t="s">
        <v>5337</v>
      </c>
      <c r="AZ118" s="373" t="s">
        <v>5338</v>
      </c>
      <c r="BA118" s="58" t="s">
        <v>32</v>
      </c>
      <c r="BB118" s="58" t="s">
        <v>9</v>
      </c>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5339</v>
      </c>
      <c r="AR119" s="294" t="s">
        <v>5340</v>
      </c>
      <c r="AS119" s="295" t="s">
        <v>21</v>
      </c>
      <c r="AT119" s="295" t="s">
        <v>2337</v>
      </c>
      <c r="AU119" s="61"/>
      <c r="AV119" s="269" t="b">
        <v>1</v>
      </c>
      <c r="AX119" s="270">
        <v>46203.0</v>
      </c>
      <c r="AY119" s="109" t="s">
        <v>5341</v>
      </c>
      <c r="AZ119" s="373" t="s">
        <v>5342</v>
      </c>
      <c r="BA119" s="58" t="s">
        <v>22</v>
      </c>
      <c r="BB119" s="58" t="s">
        <v>9</v>
      </c>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5343</v>
      </c>
      <c r="AR120" s="273" t="s">
        <v>5344</v>
      </c>
      <c r="AS120" s="274" t="s">
        <v>18</v>
      </c>
      <c r="AT120" s="274" t="s">
        <v>2338</v>
      </c>
      <c r="AU120" s="109" t="s">
        <v>5345</v>
      </c>
      <c r="AV120" s="298"/>
      <c r="AX120" s="270">
        <v>46203.0</v>
      </c>
      <c r="AY120" s="109" t="s">
        <v>5346</v>
      </c>
      <c r="AZ120" s="373" t="s">
        <v>5347</v>
      </c>
      <c r="BA120" s="58" t="s">
        <v>22</v>
      </c>
      <c r="BB120" s="58" t="s">
        <v>2347</v>
      </c>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5348</v>
      </c>
      <c r="AR121" s="273" t="s">
        <v>5349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5350</v>
      </c>
      <c r="D999" s="109" t="s">
        <v>5351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5352</v>
      </c>
      <c r="D1000" s="109" t="s">
        <v>5353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5354</v>
      </c>
      <c r="D1001" s="109" t="s">
        <v>5355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