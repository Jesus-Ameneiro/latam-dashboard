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25.xml"/>
  <Override ContentType="application/vnd.openxmlformats-officedocument.spreadsheetml.pivotTable+xml" PartName="/xl/pivotTables/pivotTable50.xml"/>
  <Override ContentType="application/vnd.openxmlformats-officedocument.spreadsheetml.pivotTable+xml" PartName="/xl/pivotTables/pivotTable68.xml"/>
  <Override ContentType="application/vnd.openxmlformats-officedocument.spreadsheetml.pivotTable+xml" PartName="/xl/pivotTables/pivotTable17.xml"/>
  <Override ContentType="application/vnd.openxmlformats-officedocument.spreadsheetml.pivotTable+xml" PartName="/xl/pivotTables/pivotTable42.xml"/>
  <Override ContentType="application/vnd.openxmlformats-officedocument.spreadsheetml.pivotTable+xml" PartName="/xl/pivotTables/pivotTable33.xml"/>
  <Override ContentType="application/vnd.openxmlformats-officedocument.spreadsheetml.pivotTable+xml" PartName="/xl/pivotTables/pivotTable41.xml"/>
  <Override ContentType="application/vnd.openxmlformats-officedocument.spreadsheetml.pivotTable+xml" PartName="/xl/pivotTables/pivotTable69.xml"/>
  <Override ContentType="application/vnd.openxmlformats-officedocument.spreadsheetml.pivotTable+xml" PartName="/xl/pivotTables/pivotTable9.xml"/>
  <Override ContentType="application/vnd.openxmlformats-officedocument.spreadsheetml.pivotTable+xml" PartName="/xl/pivotTables/pivotTable24.xml"/>
  <Override ContentType="application/vnd.openxmlformats-officedocument.spreadsheetml.pivotTable+xml" PartName="/xl/pivotTables/pivotTable26.xml"/>
  <Override ContentType="application/vnd.openxmlformats-officedocument.spreadsheetml.pivotTable+xml" PartName="/xl/pivotTables/pivotTable18.xml"/>
  <Override ContentType="application/vnd.openxmlformats-officedocument.spreadsheetml.pivotTable+xml" PartName="/xl/pivotTables/pivotTable67.xml"/>
  <Override ContentType="application/vnd.openxmlformats-officedocument.spreadsheetml.pivotTable+xml" PartName="/xl/pivotTables/pivotTable32.xml"/>
  <Override ContentType="application/vnd.openxmlformats-officedocument.spreadsheetml.pivotTable+xml" PartName="/xl/pivotTables/pivotTable8.xml"/>
  <Override ContentType="application/vnd.openxmlformats-officedocument.spreadsheetml.pivotTable+xml" PartName="/xl/pivotTables/pivotTable40.xml"/>
  <Override ContentType="application/vnd.openxmlformats-officedocument.spreadsheetml.pivotTable+xml" PartName="/xl/pivotTables/pivotTable66.xml"/>
  <Override ContentType="application/vnd.openxmlformats-officedocument.spreadsheetml.pivotTable+xml" PartName="/xl/pivotTables/pivotTable23.xml"/>
  <Override ContentType="application/vnd.openxmlformats-officedocument.spreadsheetml.pivotTable+xml" PartName="/xl/pivotTables/pivotTable27.xml"/>
  <Override ContentType="application/vnd.openxmlformats-officedocument.spreadsheetml.pivotTable+xml" PartName="/xl/pivotTables/pivotTable6.xml"/>
  <Override ContentType="application/vnd.openxmlformats-officedocument.spreadsheetml.pivotTable+xml" PartName="/xl/pivotTables/pivotTable22.xml"/>
  <Override ContentType="application/vnd.openxmlformats-officedocument.spreadsheetml.pivotTable+xml" PartName="/xl/pivotTables/pivotTable58.xml"/>
  <Override ContentType="application/vnd.openxmlformats-officedocument.spreadsheetml.pivotTable+xml" PartName="/xl/pivotTables/pivotTable28.xml"/>
  <Override ContentType="application/vnd.openxmlformats-officedocument.spreadsheetml.pivotTable+xml" PartName="/xl/pivotTables/pivotTable15.xml"/>
  <Override ContentType="application/vnd.openxmlformats-officedocument.spreadsheetml.pivotTable+xml" PartName="/xl/pivotTables/pivotTable7.xml"/>
  <Override ContentType="application/vnd.openxmlformats-officedocument.spreadsheetml.pivotTable+xml" PartName="/xl/pivotTables/pivotTable35.xml"/>
  <Override ContentType="application/vnd.openxmlformats-officedocument.spreadsheetml.pivotTable+xml" PartName="/xl/pivotTables/pivotTable52.xml"/>
  <Override ContentType="application/vnd.openxmlformats-officedocument.spreadsheetml.pivotTable+xml" PartName="/xl/pivotTables/pivotTable65.xml"/>
  <Override ContentType="application/vnd.openxmlformats-officedocument.spreadsheetml.pivotTable+xml" PartName="/xl/pivotTables/pivotTable5.xml"/>
  <Override ContentType="application/vnd.openxmlformats-officedocument.spreadsheetml.pivotTable+xml" PartName="/xl/pivotTables/pivotTable59.xml"/>
  <Override ContentType="application/vnd.openxmlformats-officedocument.spreadsheetml.pivotTable+xml" PartName="/xl/pivotTables/pivotTable34.xml"/>
  <Override ContentType="application/vnd.openxmlformats-officedocument.spreadsheetml.pivotTable+xml" PartName="/xl/pivotTables/pivotTable16.xml"/>
  <Override ContentType="application/vnd.openxmlformats-officedocument.spreadsheetml.pivotTable+xml" PartName="/xl/pivotTables/pivotTable21.xml"/>
  <Override ContentType="application/vnd.openxmlformats-officedocument.spreadsheetml.pivotTable+xml" PartName="/xl/pivotTables/pivotTable29.xml"/>
  <Override ContentType="application/vnd.openxmlformats-officedocument.spreadsheetml.pivotTable+xml" PartName="/xl/pivotTables/pivotTable64.xml"/>
  <Override ContentType="application/vnd.openxmlformats-officedocument.spreadsheetml.pivotTable+xml" PartName="/xl/pivotTables/pivotTable51.xml"/>
  <Override ContentType="application/vnd.openxmlformats-officedocument.spreadsheetml.pivotTable+xml" PartName="/xl/pivotTables/pivotTable20.xml"/>
  <Override ContentType="application/vnd.openxmlformats-officedocument.spreadsheetml.pivotTable+xml" PartName="/xl/pivotTables/pivotTable55.xml"/>
  <Override ContentType="application/vnd.openxmlformats-officedocument.spreadsheetml.pivotTable+xml" PartName="/xl/pivotTables/pivotTable4.xml"/>
  <Override ContentType="application/vnd.openxmlformats-officedocument.spreadsheetml.pivotTable+xml" PartName="/xl/pivotTables/pivotTable47.xml"/>
  <Override ContentType="application/vnd.openxmlformats-officedocument.spreadsheetml.pivotTable+xml" PartName="/xl/pivotTables/pivotTable72.xml"/>
  <Override ContentType="application/vnd.openxmlformats-officedocument.spreadsheetml.pivotTable+xml" PartName="/xl/pivotTables/pivotTable46.xml"/>
  <Override ContentType="application/vnd.openxmlformats-officedocument.spreadsheetml.pivotTable+xml" PartName="/xl/pivotTables/pivotTable54.xml"/>
  <Override ContentType="application/vnd.openxmlformats-officedocument.spreadsheetml.pivotTable+xml" PartName="/xl/pivotTables/pivotTable63.xml"/>
  <Override ContentType="application/vnd.openxmlformats-officedocument.spreadsheetml.pivotTable+xml" PartName="/xl/pivotTables/pivotTable39.xml"/>
  <Override ContentType="application/vnd.openxmlformats-officedocument.spreadsheetml.pivotTable+xml" PartName="/xl/pivotTables/pivotTable11.xml"/>
  <Override ContentType="application/vnd.openxmlformats-officedocument.spreadsheetml.pivotTable+xml" PartName="/xl/pivotTables/pivotTable62.xml"/>
  <Override ContentType="application/vnd.openxmlformats-officedocument.spreadsheetml.pivotTable+xml" PartName="/xl/pivotTables/pivotTable48.xml"/>
  <Override ContentType="application/vnd.openxmlformats-officedocument.spreadsheetml.pivotTable+xml" PartName="/xl/pivotTables/pivotTable3.xml"/>
  <Override ContentType="application/vnd.openxmlformats-officedocument.spreadsheetml.pivotTable+xml" PartName="/xl/pivotTables/pivotTable45.xml"/>
  <Override ContentType="application/vnd.openxmlformats-officedocument.spreadsheetml.pivotTable+xml" PartName="/xl/pivotTables/pivotTable70.xml"/>
  <Override ContentType="application/vnd.openxmlformats-officedocument.spreadsheetml.pivotTable+xml" PartName="/xl/pivotTables/pivotTable10.xml"/>
  <Override ContentType="application/vnd.openxmlformats-officedocument.spreadsheetml.pivotTable+xml" PartName="/xl/pivotTables/pivotTable71.xml"/>
  <Override ContentType="application/vnd.openxmlformats-officedocument.spreadsheetml.pivotTable+xml" PartName="/xl/pivotTables/pivotTable53.xml"/>
  <Override ContentType="application/vnd.openxmlformats-officedocument.spreadsheetml.pivotTable+xml" PartName="/xl/pivotTables/pivotTable14.xml"/>
  <Override ContentType="application/vnd.openxmlformats-officedocument.spreadsheetml.pivotTable+xml" PartName="/xl/pivotTables/pivotTable49.xml"/>
  <Override ContentType="application/vnd.openxmlformats-officedocument.spreadsheetml.pivotTable+xml" PartName="/xl/pivotTables/pivotTable36.xml"/>
  <Override ContentType="application/vnd.openxmlformats-officedocument.spreadsheetml.pivotTable+xml" PartName="/xl/pivotTables/pivotTable61.xml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57.xml"/>
  <Override ContentType="application/vnd.openxmlformats-officedocument.spreadsheetml.pivotTable+xml" PartName="/xl/pivotTables/pivotTable19.xml"/>
  <Override ContentType="application/vnd.openxmlformats-officedocument.spreadsheetml.pivotTable+xml" PartName="/xl/pivotTables/pivotTable44.xml"/>
  <Override ContentType="application/vnd.openxmlformats-officedocument.spreadsheetml.pivotTable+xml" PartName="/xl/pivotTables/pivotTable31.xml"/>
  <Override ContentType="application/vnd.openxmlformats-officedocument.spreadsheetml.pivotTable+xml" PartName="/xl/pivotTables/pivotTable13.xml"/>
  <Override ContentType="application/vnd.openxmlformats-officedocument.spreadsheetml.pivotTable+xml" PartName="/xl/pivotTables/pivotTable37.xml"/>
  <Override ContentType="application/vnd.openxmlformats-officedocument.spreadsheetml.pivotTable+xml" PartName="/xl/pivotTables/pivotTable43.xml"/>
  <Override ContentType="application/vnd.openxmlformats-officedocument.spreadsheetml.pivotTable+xml" PartName="/xl/pivotTables/pivotTable56.xml"/>
  <Override ContentType="application/vnd.openxmlformats-officedocument.spreadsheetml.pivotTable+xml" PartName="/xl/pivotTables/pivotTable30.xml"/>
  <Override ContentType="application/vnd.openxmlformats-officedocument.spreadsheetml.pivotTable+xml" PartName="/xl/pivotTables/pivotTable2.xml"/>
  <Override ContentType="application/vnd.openxmlformats-officedocument.spreadsheetml.pivotTable+xml" PartName="/xl/pivotTables/pivotTable60.xml"/>
  <Override ContentType="application/vnd.openxmlformats-officedocument.spreadsheetml.pivotTable+xml" PartName="/xl/pivotTables/pivotTable38.xml"/>
  <Override ContentType="application/vnd.openxmlformats-officedocument.spreadsheetml.pivotTable+xml" PartName="/xl/pivotTables/pivotTable12.xml"/>
  <Override ContentType="application/vnd.ms-excel.documenttasks+xml" PartName="/xl/documenttasks/documenttask1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pivotCacheDefinition+xml" PartName="/xl/pivotCache/pivotCacheDefinition18.xml"/>
  <Override ContentType="application/vnd.openxmlformats-officedocument.spreadsheetml.pivotCacheDefinition+xml" PartName="/xl/pivotCache/pivotCacheDefinition7.xml"/>
  <Override ContentType="application/vnd.openxmlformats-officedocument.spreadsheetml.pivotCacheDefinition+xml" PartName="/xl/pivotCache/pivotCacheDefinition13.xml"/>
  <Override ContentType="application/vnd.openxmlformats-officedocument.spreadsheetml.pivotCacheDefinition+xml" PartName="/xl/pivotCache/pivotCacheDefinition26.xml"/>
  <Override ContentType="application/vnd.openxmlformats-officedocument.spreadsheetml.pivotCacheDefinition+xml" PartName="/xl/pivotCache/pivotCacheDefinition3.xml"/>
  <Override ContentType="application/vnd.openxmlformats-officedocument.spreadsheetml.pivotCacheDefinition+xml" PartName="/xl/pivotCache/pivotCacheDefinition21.xml"/>
  <Override ContentType="application/vnd.openxmlformats-officedocument.spreadsheetml.pivotCacheDefinition+xml" PartName="/xl/pivotCache/pivotCacheDefinition19.xml"/>
  <Override ContentType="application/vnd.openxmlformats-officedocument.spreadsheetml.pivotCacheDefinition+xml" PartName="/xl/pivotCache/pivotCacheDefinition30.xml"/>
  <Override ContentType="application/vnd.openxmlformats-officedocument.spreadsheetml.pivotCacheDefinition+xml" PartName="/xl/pivotCache/pivotCacheDefinition1.xml"/>
  <Override ContentType="application/vnd.openxmlformats-officedocument.spreadsheetml.pivotCacheDefinition+xml" PartName="/xl/pivotCache/pivotCacheDefinition25.xml"/>
  <Override ContentType="application/vnd.openxmlformats-officedocument.spreadsheetml.pivotCacheDefinition+xml" PartName="/xl/pivotCache/pivotCacheDefinition28.xml"/>
  <Override ContentType="application/vnd.openxmlformats-officedocument.spreadsheetml.pivotCacheDefinition+xml" PartName="/xl/pivotCache/pivotCacheDefinition8.xml"/>
  <Override ContentType="application/vnd.openxmlformats-officedocument.spreadsheetml.pivotCacheDefinition+xml" PartName="/xl/pivotCache/pivotCacheDefinition12.xml"/>
  <Override ContentType="application/vnd.openxmlformats-officedocument.spreadsheetml.pivotCacheDefinition+xml" PartName="/xl/pivotCache/pivotCacheDefinition9.xml"/>
  <Override ContentType="application/vnd.openxmlformats-officedocument.spreadsheetml.pivotCacheDefinition+xml" PartName="/xl/pivotCache/pivotCacheDefinition16.xml"/>
  <Override ContentType="application/vnd.openxmlformats-officedocument.spreadsheetml.pivotCacheDefinition+xml" PartName="/xl/pivotCache/pivotCacheDefinition4.xml"/>
  <Override ContentType="application/vnd.openxmlformats-officedocument.spreadsheetml.pivotCacheDefinition+xml" PartName="/xl/pivotCache/pivotCacheDefinition20.xml"/>
  <Override ContentType="application/vnd.openxmlformats-officedocument.spreadsheetml.pivotCacheDefinition+xml" PartName="/xl/pivotCache/pivotCacheDefinition24.xml"/>
  <Override ContentType="application/vnd.openxmlformats-officedocument.spreadsheetml.pivotCacheDefinition+xml" PartName="/xl/pivotCache/pivotCacheDefinition5.xml"/>
  <Override ContentType="application/vnd.openxmlformats-officedocument.spreadsheetml.pivotCacheDefinition+xml" PartName="/xl/pivotCache/pivotCacheDefinition11.xml"/>
  <Override ContentType="application/vnd.openxmlformats-officedocument.spreadsheetml.pivotCacheDefinition+xml" PartName="/xl/pivotCache/pivotCacheDefinition29.xml"/>
  <Override ContentType="application/vnd.openxmlformats-officedocument.spreadsheetml.pivotCacheDefinition+xml" PartName="/xl/pivotCache/pivotCacheDefinition10.xml"/>
  <Override ContentType="application/vnd.openxmlformats-officedocument.spreadsheetml.pivotCacheDefinition+xml" PartName="/xl/pivotCache/pivotCacheDefinition15.xml"/>
  <Override ContentType="application/vnd.openxmlformats-officedocument.spreadsheetml.pivotCacheDefinition+xml" PartName="/xl/pivotCache/pivotCacheDefinition32.xml"/>
  <Override ContentType="application/vnd.openxmlformats-officedocument.spreadsheetml.pivotCacheDefinition+xml" PartName="/xl/pivotCache/pivotCacheDefinition31.xml"/>
  <Override ContentType="application/vnd.openxmlformats-officedocument.spreadsheetml.pivotCacheDefinition+xml" PartName="/xl/pivotCache/pivotCacheDefinition6.xml"/>
  <Override ContentType="application/vnd.openxmlformats-officedocument.spreadsheetml.pivotCacheDefinition+xml" PartName="/xl/pivotCache/pivotCacheDefinition17.xml"/>
  <Override ContentType="application/vnd.openxmlformats-officedocument.spreadsheetml.pivotCacheDefinition+xml" PartName="/xl/pivotCache/pivotCacheDefinition23.xml"/>
  <Override ContentType="application/vnd.openxmlformats-officedocument.spreadsheetml.pivotCacheDefinition+xml" PartName="/xl/pivotCache/pivotCacheDefinition14.xml"/>
  <Override ContentType="application/vnd.openxmlformats-officedocument.spreadsheetml.pivotCacheDefinition+xml" PartName="/xl/pivotCache/pivotCacheDefinition27.xml"/>
  <Override ContentType="application/vnd.openxmlformats-officedocument.spreadsheetml.pivotCacheDefinition+xml" PartName="/xl/pivotCache/pivotCacheDefinition22.xml"/>
  <Override ContentType="application/vnd.openxmlformats-officedocument.spreadsheetml.pivotCacheDefinition+xml" PartName="/xl/pivotCache/pivotCacheDefinition2.xml"/>
  <Override ContentType="application/vnd.openxmlformats-officedocument.spreadsheetml.table+xml" PartName="/xl/tables/table4.xml"/>
  <Override ContentType="application/vnd.openxmlformats-officedocument.spreadsheetml.table+xml" PartName="/xl/tables/table29.xml"/>
  <Override ContentType="application/vnd.openxmlformats-officedocument.spreadsheetml.table+xml" PartName="/xl/tables/table32.xml"/>
  <Override ContentType="application/vnd.openxmlformats-officedocument.spreadsheetml.table+xml" PartName="/xl/tables/table28.xml"/>
  <Override ContentType="application/vnd.openxmlformats-officedocument.spreadsheetml.table+xml" PartName="/xl/tables/table15.xml"/>
  <Override ContentType="application/vnd.openxmlformats-officedocument.spreadsheetml.table+xml" PartName="/xl/tables/table8.xml"/>
  <Override ContentType="application/vnd.openxmlformats-officedocument.spreadsheetml.table+xml" PartName="/xl/tables/table24.xml"/>
  <Override ContentType="application/vnd.openxmlformats-officedocument.spreadsheetml.table+xml" PartName="/xl/tables/table11.xml"/>
  <Override ContentType="application/vnd.openxmlformats-officedocument.spreadsheetml.table+xml" PartName="/xl/tables/table31.xml"/>
  <Override ContentType="application/vnd.openxmlformats-officedocument.spreadsheetml.table+xml" PartName="/xl/tables/table5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27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9.xml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1.xml"/>
  <Override ContentType="application/vnd.openxmlformats-officedocument.spreadsheetml.table+xml" PartName="/xl/tables/table30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26.xml"/>
  <Override ContentType="application/vnd.openxmlformats-officedocument.spreadsheetml.table+xml" PartName="/xl/tables/table6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2.xml"/>
  <Override ContentType="application/vnd.openxmlformats-officedocument.spreadsheetml.table+xml" PartName="/xl/tables/table25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ummary-March" sheetId="1" r:id="rId5"/>
    <sheet state="visible" name="March" sheetId="2" r:id="rId6"/>
    <sheet state="visible" name="Summary-April" sheetId="3" r:id="rId7"/>
    <sheet state="visible" name="April" sheetId="4" r:id="rId8"/>
    <sheet state="visible" name="Summary-May" sheetId="5" r:id="rId9"/>
    <sheet state="visible" name="May" sheetId="6" r:id="rId10"/>
    <sheet state="visible" name="Summary-June" sheetId="7" r:id="rId11"/>
    <sheet state="visible" name="June" sheetId="8" r:id="rId12"/>
  </sheets>
  <definedNames>
    <definedName hidden="1" localSheetId="3" name="_xlnm._FilterDatabase">April!$AX$1:$BD$986</definedName>
  </definedNames>
  <calcPr/>
  <pivotCaches>
    <pivotCache cacheId="0" r:id="rId13"/>
    <pivotCache cacheId="1" r:id="rId14"/>
    <pivotCache cacheId="2" r:id="rId15"/>
    <pivotCache cacheId="3" r:id="rId16"/>
    <pivotCache cacheId="4" r:id="rId17"/>
    <pivotCache cacheId="5" r:id="rId18"/>
    <pivotCache cacheId="6" r:id="rId19"/>
    <pivotCache cacheId="7" r:id="rId20"/>
    <pivotCache cacheId="8" r:id="rId21"/>
    <pivotCache cacheId="9" r:id="rId22"/>
    <pivotCache cacheId="10" r:id="rId23"/>
    <pivotCache cacheId="11" r:id="rId24"/>
    <pivotCache cacheId="12" r:id="rId25"/>
    <pivotCache cacheId="13" r:id="rId26"/>
    <pivotCache cacheId="14" r:id="rId27"/>
    <pivotCache cacheId="15" r:id="rId28"/>
    <pivotCache cacheId="16" r:id="rId29"/>
    <pivotCache cacheId="17" r:id="rId30"/>
    <pivotCache cacheId="18" r:id="rId31"/>
    <pivotCache cacheId="19" r:id="rId32"/>
    <pivotCache cacheId="20" r:id="rId33"/>
    <pivotCache cacheId="21" r:id="rId34"/>
    <pivotCache cacheId="22" r:id="rId35"/>
    <pivotCache cacheId="23" r:id="rId36"/>
    <pivotCache cacheId="24" r:id="rId37"/>
    <pivotCache cacheId="25" r:id="rId38"/>
    <pivotCache cacheId="26" r:id="rId39"/>
    <pivotCache cacheId="27" r:id="rId40"/>
    <pivotCache cacheId="28" r:id="rId41"/>
    <pivotCache cacheId="29" r:id="rId42"/>
    <pivotCache cacheId="30" r:id="rId43"/>
    <pivotCache cacheId="31" r:id="rId44"/>
  </pivotCache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  <author>tc={2f38e238-a26a-42f7-84f7-0630b16dd759}</author>
  </authors>
  <commentList>
    <comment authorId="0" ref="AJ54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  <comment authorId="1" xr:uid="{2f38e238-a26a-42f7-84f7-0630b16dd759}" ref="T2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Email address "info@ddelta.mx" is already connected to a contact whose entity I could not identified. Contact information: https://www.sketchup.pleteo.com/contacts/6668/activityLog?page=1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J54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</commentList>
</comments>
</file>

<file path=xl/sharedStrings.xml><?xml version="1.0" encoding="utf-8"?>
<sst xmlns="http://schemas.openxmlformats.org/spreadsheetml/2006/main" count="8191" uniqueCount="3635">
  <si>
    <t>Week 1</t>
  </si>
  <si>
    <t>Centro Caribe</t>
  </si>
  <si>
    <t>Cono Sur</t>
  </si>
  <si>
    <t>Investigator</t>
  </si>
  <si>
    <t>COUNTA of Investigator</t>
  </si>
  <si>
    <t>Country</t>
  </si>
  <si>
    <t>COUNTA of Country</t>
  </si>
  <si>
    <t>Grand Total</t>
  </si>
  <si>
    <t>Week 2</t>
  </si>
  <si>
    <t>Clara</t>
  </si>
  <si>
    <t>Costa Rica</t>
  </si>
  <si>
    <t>Argentina</t>
  </si>
  <si>
    <t>Noel</t>
  </si>
  <si>
    <t>El Salvador</t>
  </si>
  <si>
    <t>Daniela</t>
  </si>
  <si>
    <t>Bolivia</t>
  </si>
  <si>
    <t>Guatemala</t>
  </si>
  <si>
    <t>Eduardo</t>
  </si>
  <si>
    <t>Chile</t>
  </si>
  <si>
    <t>Honduras</t>
  </si>
  <si>
    <t>Mariadelaida</t>
  </si>
  <si>
    <t>Paraguay</t>
  </si>
  <si>
    <t>Mexico</t>
  </si>
  <si>
    <t>Peru</t>
  </si>
  <si>
    <t>Panama</t>
  </si>
  <si>
    <t>Uruguay</t>
  </si>
  <si>
    <t>Week 3</t>
  </si>
  <si>
    <t>Colombia</t>
  </si>
  <si>
    <t>Luis</t>
  </si>
  <si>
    <t>Domican Republic</t>
  </si>
  <si>
    <t>Ecuador</t>
  </si>
  <si>
    <t>Ximena</t>
  </si>
  <si>
    <t>Nicaragua</t>
  </si>
  <si>
    <t>Meta del Batch:</t>
  </si>
  <si>
    <t>Generated</t>
  </si>
  <si>
    <t>Remaining</t>
  </si>
  <si>
    <t>Colombia, Ecuador</t>
  </si>
  <si>
    <t>Bolivia, Paraguay, Uruguay</t>
  </si>
  <si>
    <t>Costa Rica, Republica Domicana, El Salvador</t>
  </si>
  <si>
    <t>Nicaraga, Guatemala, Panama, Honduras</t>
  </si>
  <si>
    <t>Target Batch</t>
  </si>
  <si>
    <t>Remaining for Goal</t>
  </si>
  <si>
    <t>Week 4</t>
  </si>
  <si>
    <t>Belice</t>
  </si>
  <si>
    <t>Dominican Republic</t>
  </si>
  <si>
    <t>Costa Rica, Dominican Republic, Panama</t>
  </si>
  <si>
    <t>Nicaraga</t>
  </si>
  <si>
    <t>El Savador</t>
  </si>
  <si>
    <t>External Case ID</t>
  </si>
  <si>
    <t>Case Name</t>
  </si>
  <si>
    <t>Date</t>
  </si>
  <si>
    <t>QA Notes</t>
  </si>
  <si>
    <t>Column 7</t>
  </si>
  <si>
    <t>Column 1</t>
  </si>
  <si>
    <t>1003782#1</t>
  </si>
  <si>
    <t>Franpan</t>
  </si>
  <si>
    <t>562159#1</t>
  </si>
  <si>
    <t>Uprosanluis</t>
  </si>
  <si>
    <t>1101510#1</t>
  </si>
  <si>
    <t xml:space="preserve">Pannello </t>
  </si>
  <si>
    <t>Add to previous batch</t>
  </si>
  <si>
    <t>3903087#1</t>
  </si>
  <si>
    <t>Barraca Julia Canelones</t>
  </si>
  <si>
    <t>1007164#1</t>
  </si>
  <si>
    <t>BCO Constructora</t>
  </si>
  <si>
    <t>4528116#1</t>
  </si>
  <si>
    <t>Grupotwm</t>
  </si>
  <si>
    <t>3893108#1</t>
  </si>
  <si>
    <t>Sumadesarrollos</t>
  </si>
  <si>
    <t>929957#1</t>
  </si>
  <si>
    <t>Tepsi</t>
  </si>
  <si>
    <t>1639681#1</t>
  </si>
  <si>
    <t>Camusatdom</t>
  </si>
  <si>
    <t>4417070#1</t>
  </si>
  <si>
    <t>Tilo</t>
  </si>
  <si>
    <t>519234#1</t>
  </si>
  <si>
    <t>Pendulum</t>
  </si>
  <si>
    <t>4225116#1</t>
  </si>
  <si>
    <t>Cooperativa De Ahorro Y Credito Gran Grigota Ltda</t>
  </si>
  <si>
    <t>4373405#1</t>
  </si>
  <si>
    <t>Peakintegratedmarketing</t>
  </si>
  <si>
    <t>2418287#1</t>
  </si>
  <si>
    <t>Sea White SA</t>
  </si>
  <si>
    <t>1427838#1</t>
  </si>
  <si>
    <t>Grupo Emo</t>
  </si>
  <si>
    <t>2453386#1</t>
  </si>
  <si>
    <t>EYDISA | Desarrollos Inmobiliarios</t>
  </si>
  <si>
    <t>2039153#1</t>
  </si>
  <si>
    <t>Servicios Industriales DASI SA de CV</t>
  </si>
  <si>
    <t>4342158#1</t>
  </si>
  <si>
    <t>Marine Geophysical Survey</t>
  </si>
  <si>
    <t>1142922#1</t>
  </si>
  <si>
    <t>Aesscorp</t>
  </si>
  <si>
    <t>3872707#1</t>
  </si>
  <si>
    <t>Austinebsah</t>
  </si>
  <si>
    <t>4390964#1</t>
  </si>
  <si>
    <t>Surcasas</t>
  </si>
  <si>
    <t>4322300#1</t>
  </si>
  <si>
    <t>Pgconstructora</t>
  </si>
  <si>
    <t>455006#1</t>
  </si>
  <si>
    <t>Lsba Studio</t>
  </si>
  <si>
    <t>4521637#1</t>
  </si>
  <si>
    <t>Eitservicios</t>
  </si>
  <si>
    <t>1362258#1</t>
  </si>
  <si>
    <t>Edifixpanama</t>
  </si>
  <si>
    <t>1629351#1</t>
  </si>
  <si>
    <t>Mecanizado Ituzaingo S.A.</t>
  </si>
  <si>
    <t>Disqualified</t>
  </si>
  <si>
    <t>1660465#1</t>
  </si>
  <si>
    <t>Birce, S.a. de C.v.</t>
  </si>
  <si>
    <t>1106774#1</t>
  </si>
  <si>
    <t>SACH SA</t>
  </si>
  <si>
    <t>1416788#1</t>
  </si>
  <si>
    <t>Intersyst Seguridad y Control S.A. De C.V.</t>
  </si>
  <si>
    <t>4490238#1</t>
  </si>
  <si>
    <t>Karinfalck</t>
  </si>
  <si>
    <t>571346#1</t>
  </si>
  <si>
    <t>Sertigua</t>
  </si>
  <si>
    <t>4498789#1</t>
  </si>
  <si>
    <t xml:space="preserve">Tejidosraquel
</t>
  </si>
  <si>
    <t>1611337#1</t>
  </si>
  <si>
    <t>Grupounik</t>
  </si>
  <si>
    <t>4320575#1</t>
  </si>
  <si>
    <t>Zd Galpones</t>
  </si>
  <si>
    <t>1102586#1</t>
  </si>
  <si>
    <t>D+U Desarrollos Urbitectonicos</t>
  </si>
  <si>
    <t>4495531#1</t>
  </si>
  <si>
    <t>Conci</t>
  </si>
  <si>
    <t>579818#1</t>
  </si>
  <si>
    <t>Media Branding Honduras</t>
  </si>
  <si>
    <t>963733#1</t>
  </si>
  <si>
    <t>Guzman Nacich S.A.I.C</t>
  </si>
  <si>
    <t>4551914#1</t>
  </si>
  <si>
    <t>vanguartec</t>
  </si>
  <si>
    <t>3397857#1</t>
  </si>
  <si>
    <t>Plaquimet Sa</t>
  </si>
  <si>
    <t>1004656#1</t>
  </si>
  <si>
    <t>MAXIMUEBLES</t>
  </si>
  <si>
    <t>4434909#1</t>
  </si>
  <si>
    <t>Diarmasa</t>
  </si>
  <si>
    <t>364592#1</t>
  </si>
  <si>
    <t>Cementos y Concretos Nacionales</t>
  </si>
  <si>
    <t>1857468#1</t>
  </si>
  <si>
    <t xml:space="preserve">Cbn Group S.A.
</t>
  </si>
  <si>
    <t>929260#1</t>
  </si>
  <si>
    <t>Dec Arquitectos</t>
  </si>
  <si>
    <t>3411221#1</t>
  </si>
  <si>
    <t>Lebenan</t>
  </si>
  <si>
    <t>928691#1</t>
  </si>
  <si>
    <t>Importadora Industrial Agricola S.A. IIASA</t>
  </si>
  <si>
    <t>1294919#1</t>
  </si>
  <si>
    <t>NASH Design S.A.</t>
  </si>
  <si>
    <t>4551326#1</t>
  </si>
  <si>
    <t>Pycmat</t>
  </si>
  <si>
    <t>897058#1</t>
  </si>
  <si>
    <t xml:space="preserve">Interieur Forma Sa
</t>
  </si>
  <si>
    <t>750266#1</t>
  </si>
  <si>
    <t>Testia</t>
  </si>
  <si>
    <t>4394988#1</t>
  </si>
  <si>
    <t>Ohaconstrucciones</t>
  </si>
  <si>
    <t>3051996#1</t>
  </si>
  <si>
    <t>Unicus</t>
  </si>
  <si>
    <t>4447328#1</t>
  </si>
  <si>
    <t>Conylec SRL</t>
  </si>
  <si>
    <t>1038481#1</t>
  </si>
  <si>
    <t>MGRUL ARQUITECTOS</t>
  </si>
  <si>
    <t>4431951#1</t>
  </si>
  <si>
    <t>Studiocofi</t>
  </si>
  <si>
    <t>490901#1</t>
  </si>
  <si>
    <t>Avance</t>
  </si>
  <si>
    <t>Entity already contacted. Rejected.</t>
  </si>
  <si>
    <t>2263652#1</t>
  </si>
  <si>
    <t>Emprend Metalurg Indust Srl</t>
  </si>
  <si>
    <t>1190384#1</t>
  </si>
  <si>
    <t>Hsf</t>
  </si>
  <si>
    <t>4434023#1</t>
  </si>
  <si>
    <t>DOLBI SA</t>
  </si>
  <si>
    <t xml:space="preserve">940466#1 </t>
  </si>
  <si>
    <t>Tracsa Cat</t>
  </si>
  <si>
    <t>1779836#1</t>
  </si>
  <si>
    <t xml:space="preserve">Carmont
</t>
  </si>
  <si>
    <t>755585#1</t>
  </si>
  <si>
    <t>Jrsombreros</t>
  </si>
  <si>
    <t>1195076#1</t>
  </si>
  <si>
    <t>IMPRESS SRL</t>
  </si>
  <si>
    <t>1676727#1</t>
  </si>
  <si>
    <t>Graca &amp; Partners Architects</t>
  </si>
  <si>
    <t>4487172#1</t>
  </si>
  <si>
    <t>Fcsenergia</t>
  </si>
  <si>
    <t>2984154#1</t>
  </si>
  <si>
    <t>Mercatus77</t>
  </si>
  <si>
    <t>2324670#1</t>
  </si>
  <si>
    <t>Kw Solar / San Rafael</t>
  </si>
  <si>
    <t>1405362#2</t>
  </si>
  <si>
    <t>Right Construction</t>
  </si>
  <si>
    <t>4429420#1</t>
  </si>
  <si>
    <t>Quintanacasa</t>
  </si>
  <si>
    <t>1812327#1</t>
  </si>
  <si>
    <t>Del Trópico S.A.</t>
  </si>
  <si>
    <t>3877784#1</t>
  </si>
  <si>
    <t>Azienda</t>
  </si>
  <si>
    <t>4551457#1</t>
  </si>
  <si>
    <t>Proledservice</t>
  </si>
  <si>
    <t xml:space="preserve">1624957#1
</t>
  </si>
  <si>
    <t>Aberturaslamorenia</t>
  </si>
  <si>
    <t>909208#1</t>
  </si>
  <si>
    <t>Sánchez y Martín</t>
  </si>
  <si>
    <t>1457032#2</t>
  </si>
  <si>
    <t>RR Construcciones S.A.</t>
  </si>
  <si>
    <t>591500#1</t>
  </si>
  <si>
    <t>Grupomazahua</t>
  </si>
  <si>
    <t>2464860#1</t>
  </si>
  <si>
    <t>Enrique SayaguÃ©s MÃ©ndez</t>
  </si>
  <si>
    <t>2441778#1</t>
  </si>
  <si>
    <t>Eberth Manuel Torres De La Fuente</t>
  </si>
  <si>
    <t>1982727#1</t>
  </si>
  <si>
    <t>Ingeniería y Servicios FIMA S.A</t>
  </si>
  <si>
    <t>649131#1</t>
  </si>
  <si>
    <t>CCEEA</t>
  </si>
  <si>
    <t>56787#3</t>
  </si>
  <si>
    <t>Centauro S.A</t>
  </si>
  <si>
    <t>611191#1</t>
  </si>
  <si>
    <t>COINICSA</t>
  </si>
  <si>
    <t>3514357#1</t>
  </si>
  <si>
    <t>Cymbet Corporation</t>
  </si>
  <si>
    <t xml:space="preserve">1915908#1 </t>
  </si>
  <si>
    <t>Furniture Mugui Guadalupe</t>
  </si>
  <si>
    <t>590934#1</t>
  </si>
  <si>
    <t xml:space="preserve">Expotrade Sa
</t>
  </si>
  <si>
    <t>565008#1</t>
  </si>
  <si>
    <t>Timberlacq</t>
  </si>
  <si>
    <t>1478572#1</t>
  </si>
  <si>
    <t>Arvo</t>
  </si>
  <si>
    <t>296761#1</t>
  </si>
  <si>
    <t>Zebra Studio</t>
  </si>
  <si>
    <t>2475999#1</t>
  </si>
  <si>
    <t>Francisco Ivan Luza BugueÃ±o Servicio de ingeneria</t>
  </si>
  <si>
    <t>4298820#1</t>
  </si>
  <si>
    <t xml:space="preserve">Tamosasv </t>
  </si>
  <si>
    <t>1812533#1</t>
  </si>
  <si>
    <t>Magnonepollio</t>
  </si>
  <si>
    <t>4071452#1</t>
  </si>
  <si>
    <t>Immsa</t>
  </si>
  <si>
    <t>3861523#1</t>
  </si>
  <si>
    <t>Directasa</t>
  </si>
  <si>
    <t>1097153#1</t>
  </si>
  <si>
    <t>Grupo Acuicola Mexicano</t>
  </si>
  <si>
    <t>4329429#1</t>
  </si>
  <si>
    <t>Sider</t>
  </si>
  <si>
    <t>1127342#1</t>
  </si>
  <si>
    <t>Madera y Vida</t>
  </si>
  <si>
    <t>1598562#1</t>
  </si>
  <si>
    <t>Autex S.A.</t>
  </si>
  <si>
    <t>1107069#1</t>
  </si>
  <si>
    <t>MAICO Tecnologia en Salud</t>
  </si>
  <si>
    <t>2514611#1</t>
  </si>
  <si>
    <t>Barrios Romina Soledad</t>
  </si>
  <si>
    <t>4398081#1</t>
  </si>
  <si>
    <t>Arquipiedras</t>
  </si>
  <si>
    <t>1349118#1</t>
  </si>
  <si>
    <t>ETXEA Arquitecto</t>
  </si>
  <si>
    <t>1031358#1</t>
  </si>
  <si>
    <t>Mosaicos Blangino</t>
  </si>
  <si>
    <t>523432#1</t>
  </si>
  <si>
    <t>Creativo Cuatro Arquitectos</t>
  </si>
  <si>
    <t>4199128#1</t>
  </si>
  <si>
    <t>Nini</t>
  </si>
  <si>
    <t>1448152#1</t>
  </si>
  <si>
    <t>891855089-7</t>
  </si>
  <si>
    <t>4410485#1</t>
  </si>
  <si>
    <t>Tierragroupintl</t>
  </si>
  <si>
    <t>1178809#1</t>
  </si>
  <si>
    <t>KB Advanced Engineering</t>
  </si>
  <si>
    <t>1107229#1</t>
  </si>
  <si>
    <t>Estancias y Cabaña Las Lilas</t>
  </si>
  <si>
    <t>2293913#1</t>
  </si>
  <si>
    <t>Gastrofoto</t>
  </si>
  <si>
    <t>1093148#1</t>
  </si>
  <si>
    <t>Traynor Luis Felipe</t>
  </si>
  <si>
    <t>877502#1</t>
  </si>
  <si>
    <t>Vividarch</t>
  </si>
  <si>
    <t>805655#2</t>
  </si>
  <si>
    <t>indumetsa ingenieros sac</t>
  </si>
  <si>
    <t>1999432#1</t>
  </si>
  <si>
    <t>TINSA EL SALVADOR</t>
  </si>
  <si>
    <t>4252989#1</t>
  </si>
  <si>
    <t>Bcgarq</t>
  </si>
  <si>
    <t>1178584#1</t>
  </si>
  <si>
    <t>Constructora Y Arrendadora San Sebastian</t>
  </si>
  <si>
    <t>4400085#1</t>
  </si>
  <si>
    <t>Estudiogsa</t>
  </si>
  <si>
    <t>1910413#1</t>
  </si>
  <si>
    <t>Mutetad</t>
  </si>
  <si>
    <t>4421938#1</t>
  </si>
  <si>
    <t xml:space="preserve">Lagolosina
</t>
  </si>
  <si>
    <t>4071463#1</t>
  </si>
  <si>
    <t>Firepropanama</t>
  </si>
  <si>
    <t>966358#1</t>
  </si>
  <si>
    <t>Piñeiro Martin</t>
  </si>
  <si>
    <t>4370634#1</t>
  </si>
  <si>
    <t>ICRG</t>
  </si>
  <si>
    <t>969884#1</t>
  </si>
  <si>
    <t>Vignoni Fernando Ariel</t>
  </si>
  <si>
    <t>604636#1</t>
  </si>
  <si>
    <t>Grupo Zicav S.A.S</t>
  </si>
  <si>
    <t>4416900#1</t>
  </si>
  <si>
    <t>Scraices</t>
  </si>
  <si>
    <t>2280841#1</t>
  </si>
  <si>
    <t>Disarq Arquitectos</t>
  </si>
  <si>
    <t>677237#1</t>
  </si>
  <si>
    <t>Constructora Endurance S.A.</t>
  </si>
  <si>
    <t>1348790#1</t>
  </si>
  <si>
    <t>Corporativo Arqualli</t>
  </si>
  <si>
    <t>3885758#1</t>
  </si>
  <si>
    <t>Muebleswohnen</t>
  </si>
  <si>
    <t>1005458#1</t>
  </si>
  <si>
    <t>Inproyecta</t>
  </si>
  <si>
    <t>4479426#1</t>
  </si>
  <si>
    <t>Rustikobaires</t>
  </si>
  <si>
    <t>568037#1</t>
  </si>
  <si>
    <t>Vestal Corporation</t>
  </si>
  <si>
    <t>1983257#1</t>
  </si>
  <si>
    <t>Nempre Producciones</t>
  </si>
  <si>
    <t>1950161#1</t>
  </si>
  <si>
    <t>Cimiento Decor</t>
  </si>
  <si>
    <t>4515856#1</t>
  </si>
  <si>
    <t>Yuditec</t>
  </si>
  <si>
    <t>4410025#1</t>
  </si>
  <si>
    <t>Pregoarquitectos</t>
  </si>
  <si>
    <t>4449376#1</t>
  </si>
  <si>
    <t>Ondyne</t>
  </si>
  <si>
    <t>424322#5</t>
  </si>
  <si>
    <t>Industrias Ferrotodo Ltda.</t>
  </si>
  <si>
    <t>1608827#1</t>
  </si>
  <si>
    <t>Wattsnbytes</t>
  </si>
  <si>
    <t>4449994#1</t>
  </si>
  <si>
    <t>Nova Construcciones</t>
  </si>
  <si>
    <t>3255733#1</t>
  </si>
  <si>
    <t>Verconstrucciones</t>
  </si>
  <si>
    <t>4449156#1</t>
  </si>
  <si>
    <t>Ingevial</t>
  </si>
  <si>
    <t>4442566#1</t>
  </si>
  <si>
    <t>Xelebra</t>
  </si>
  <si>
    <t>1077761#1</t>
  </si>
  <si>
    <t>IMAGO Producciones</t>
  </si>
  <si>
    <t>4515656#1</t>
  </si>
  <si>
    <t>Peyrous</t>
  </si>
  <si>
    <t>908988#1</t>
  </si>
  <si>
    <t>Sssslaco</t>
  </si>
  <si>
    <t>4445719#1</t>
  </si>
  <si>
    <t>Doa</t>
  </si>
  <si>
    <t>1614231#1</t>
  </si>
  <si>
    <t>Alpaca S.A.</t>
  </si>
  <si>
    <t>1127716#1</t>
  </si>
  <si>
    <t>Athos Construccion</t>
  </si>
  <si>
    <t>4442577#1</t>
  </si>
  <si>
    <t>Stampublicidad</t>
  </si>
  <si>
    <t>2290859#1</t>
  </si>
  <si>
    <t>Servigtec</t>
  </si>
  <si>
    <t>3259201#1</t>
  </si>
  <si>
    <t>Energy Sur S.A. (ENERGY SUR INGENIERIA S A)</t>
  </si>
  <si>
    <t>576546#1</t>
  </si>
  <si>
    <t>RICHIGER maquinarias</t>
  </si>
  <si>
    <t>1478094#1</t>
  </si>
  <si>
    <t>AF Suministros E.U.</t>
  </si>
  <si>
    <t>4491992#1</t>
  </si>
  <si>
    <t>Jardymantcorp</t>
  </si>
  <si>
    <t>4179060#1</t>
  </si>
  <si>
    <t>Quimicapatric</t>
  </si>
  <si>
    <t>4394968#1</t>
  </si>
  <si>
    <t>Axonpublicidad</t>
  </si>
  <si>
    <t>4471958#1</t>
  </si>
  <si>
    <t>Integraservices</t>
  </si>
  <si>
    <t>1079349#1</t>
  </si>
  <si>
    <t>Muebles León</t>
  </si>
  <si>
    <t>4514197#1</t>
  </si>
  <si>
    <t>Transportesict</t>
  </si>
  <si>
    <t>2321859#1</t>
  </si>
  <si>
    <t xml:space="preserve">Pendulo </t>
  </si>
  <si>
    <t>4426450#1</t>
  </si>
  <si>
    <t>Prismafachadas</t>
  </si>
  <si>
    <t>4407177#1</t>
  </si>
  <si>
    <t>Fenomix</t>
  </si>
  <si>
    <t>4427249#1</t>
  </si>
  <si>
    <t>Makepublicidad</t>
  </si>
  <si>
    <t>4480355#1</t>
  </si>
  <si>
    <t>Filterpore</t>
  </si>
  <si>
    <t>1094951#1</t>
  </si>
  <si>
    <t>Muebles Guachi</t>
  </si>
  <si>
    <t>2984534#1</t>
  </si>
  <si>
    <t>Maria Angelica Ortuzar Fabres</t>
  </si>
  <si>
    <t>4329194#1</t>
  </si>
  <si>
    <t>Primaarquitectos</t>
  </si>
  <si>
    <t>929224#1</t>
  </si>
  <si>
    <t>Agendarq</t>
  </si>
  <si>
    <t>4513095#1</t>
  </si>
  <si>
    <t>Inserteccl</t>
  </si>
  <si>
    <t>4319918#1</t>
  </si>
  <si>
    <t>Malespin</t>
  </si>
  <si>
    <t>4177672#1</t>
  </si>
  <si>
    <t>Kpschile</t>
  </si>
  <si>
    <t>1108827#1</t>
  </si>
  <si>
    <t>Hidroar SA</t>
  </si>
  <si>
    <t>4364305#1</t>
  </si>
  <si>
    <t>Draftingconsultants</t>
  </si>
  <si>
    <t>4516168#1</t>
  </si>
  <si>
    <t>Esafe</t>
  </si>
  <si>
    <t>4337104#1</t>
  </si>
  <si>
    <t>Sofiainteriorismo</t>
  </si>
  <si>
    <t>4426066#1</t>
  </si>
  <si>
    <t>Mkingenieria</t>
  </si>
  <si>
    <t>652039#1</t>
  </si>
  <si>
    <t>Obras Y Suministros Aea Sa</t>
  </si>
  <si>
    <t>930286#1</t>
  </si>
  <si>
    <t>Constructora Monape</t>
  </si>
  <si>
    <t>4520526#1</t>
  </si>
  <si>
    <t>Silentiumad</t>
  </si>
  <si>
    <t>4513032#1</t>
  </si>
  <si>
    <t>Dcreativacr</t>
  </si>
  <si>
    <t>4401309#1</t>
  </si>
  <si>
    <t>Bakerlab</t>
  </si>
  <si>
    <t>1037970#1</t>
  </si>
  <si>
    <t>Casino Puerto Santa Fe S.A.</t>
  </si>
  <si>
    <t>2393170#1</t>
  </si>
  <si>
    <t>Ingeaguas S.A.S</t>
  </si>
  <si>
    <t>4414303#1</t>
  </si>
  <si>
    <t>Sagitariogroup</t>
  </si>
  <si>
    <t>314232#1</t>
  </si>
  <si>
    <t>Arquitecturalista</t>
  </si>
  <si>
    <t>1445041#1</t>
  </si>
  <si>
    <t>Lily Schweizer (Imalab S.A.)</t>
  </si>
  <si>
    <t>Case Disqualified</t>
  </si>
  <si>
    <t>547185#1</t>
  </si>
  <si>
    <t>Guzmán &amp; Guzmán Inmobiliaria + Constructora</t>
  </si>
  <si>
    <t>307459#1</t>
  </si>
  <si>
    <t>Constructorariva</t>
  </si>
  <si>
    <t>4414292#1</t>
  </si>
  <si>
    <t>311arquitecturaydiseno</t>
  </si>
  <si>
    <t>879894#1</t>
  </si>
  <si>
    <t>Corredores de Seguros de Chile</t>
  </si>
  <si>
    <t>4327159#1</t>
  </si>
  <si>
    <t>Estudiotrivelloni</t>
  </si>
  <si>
    <t>925667#1</t>
  </si>
  <si>
    <t>Rittal México</t>
  </si>
  <si>
    <t>4320560#1</t>
  </si>
  <si>
    <t>Helados Artika</t>
  </si>
  <si>
    <t xml:space="preserve">4499045#1
</t>
  </si>
  <si>
    <t>Elmarujo</t>
  </si>
  <si>
    <t>3898025#1</t>
  </si>
  <si>
    <t>Arqcons</t>
  </si>
  <si>
    <t>1195022#1</t>
  </si>
  <si>
    <t>Arquitectocolombo</t>
  </si>
  <si>
    <t>584592#1</t>
  </si>
  <si>
    <t>Juan Carlos Rodrígue</t>
  </si>
  <si>
    <t>4331128#1</t>
  </si>
  <si>
    <t>Deimueble</t>
  </si>
  <si>
    <t xml:space="preserve">4396812#
</t>
  </si>
  <si>
    <t>Gruponature</t>
  </si>
  <si>
    <t>3923999#1</t>
  </si>
  <si>
    <t>Mineraparaiso</t>
  </si>
  <si>
    <t>732603#2</t>
  </si>
  <si>
    <t>GRUPO FARALLON S.A.</t>
  </si>
  <si>
    <t>1004333#1</t>
  </si>
  <si>
    <t>Ambiente Azul</t>
  </si>
  <si>
    <t>4413498#1</t>
  </si>
  <si>
    <t>Construtico</t>
  </si>
  <si>
    <t>4370414#1</t>
  </si>
  <si>
    <t>Skdrywallenperu</t>
  </si>
  <si>
    <t>3460320#1</t>
  </si>
  <si>
    <t>MD Informatics</t>
  </si>
  <si>
    <t>341279#1</t>
  </si>
  <si>
    <t>Tecoarquitectos</t>
  </si>
  <si>
    <t xml:space="preserve">4515785#1
</t>
  </si>
  <si>
    <t>Lssoluciones</t>
  </si>
  <si>
    <t>4522904#1</t>
  </si>
  <si>
    <t>Grupoingeniocr</t>
  </si>
  <si>
    <t>2190764#1</t>
  </si>
  <si>
    <t>Porto Seguro Uruguay</t>
  </si>
  <si>
    <t>1712747#1</t>
  </si>
  <si>
    <t>Rmconsulting</t>
  </si>
  <si>
    <t>1101706#1</t>
  </si>
  <si>
    <t>MobiOffice</t>
  </si>
  <si>
    <t>4520492#1</t>
  </si>
  <si>
    <t>Empresasimb</t>
  </si>
  <si>
    <t>1413571#1</t>
  </si>
  <si>
    <t>Clubnautico</t>
  </si>
  <si>
    <t>4197213#1</t>
  </si>
  <si>
    <t>Signouy</t>
  </si>
  <si>
    <t>3049213#1</t>
  </si>
  <si>
    <t>Soluciones de Alta Disponibilidad S.A.C.</t>
  </si>
  <si>
    <t>326208#1</t>
  </si>
  <si>
    <t>Bari Vigas , S.A. De C.V.</t>
  </si>
  <si>
    <t>4475650#1</t>
  </si>
  <si>
    <t>Serviciosvortex</t>
  </si>
  <si>
    <t>4376128#1</t>
  </si>
  <si>
    <t>Abcorp</t>
  </si>
  <si>
    <t>4430091#1</t>
  </si>
  <si>
    <t>Toyosa</t>
  </si>
  <si>
    <t>New case imported for investigation 608911#1</t>
  </si>
  <si>
    <t>1790200#2</t>
  </si>
  <si>
    <t xml:space="preserve">OK Computer EIRL
</t>
  </si>
  <si>
    <t>1144696#1</t>
  </si>
  <si>
    <t>Supergas LP</t>
  </si>
  <si>
    <t>4520750#1</t>
  </si>
  <si>
    <t>Redbakery</t>
  </si>
  <si>
    <t>4504484#1</t>
  </si>
  <si>
    <t>Ingenioconcreto</t>
  </si>
  <si>
    <t>4411272#1</t>
  </si>
  <si>
    <t>Odis</t>
  </si>
  <si>
    <t>1996189#1</t>
  </si>
  <si>
    <t xml:space="preserve">Fdscreativo
</t>
  </si>
  <si>
    <t>4425981#1</t>
  </si>
  <si>
    <t>Ingad</t>
  </si>
  <si>
    <t>4388655#1</t>
  </si>
  <si>
    <t>Stuhl</t>
  </si>
  <si>
    <t>4335027#1</t>
  </si>
  <si>
    <t>Gpsgroup</t>
  </si>
  <si>
    <t>3436953#1</t>
  </si>
  <si>
    <t>Emsturam</t>
  </si>
  <si>
    <t>4409813#1</t>
  </si>
  <si>
    <t>Urbanarquitectos</t>
  </si>
  <si>
    <t>455393#1</t>
  </si>
  <si>
    <t>Red de Carreteras de Occidente, S.A.B. de C.V.</t>
  </si>
  <si>
    <t>4389930#1</t>
  </si>
  <si>
    <t>Arqsystemstudio</t>
  </si>
  <si>
    <t>4410013#1</t>
  </si>
  <si>
    <t>Dipay</t>
  </si>
  <si>
    <t>2190819#1</t>
  </si>
  <si>
    <t>Pinturerías Miguel</t>
  </si>
  <si>
    <t>2034307#1</t>
  </si>
  <si>
    <t>Movenda Furniture</t>
  </si>
  <si>
    <t>758788#1</t>
  </si>
  <si>
    <t>Da Producciones</t>
  </si>
  <si>
    <t>3297533#2</t>
  </si>
  <si>
    <t>Arquines SAC</t>
  </si>
  <si>
    <t>4412211#1</t>
  </si>
  <si>
    <t>Mmasesoria</t>
  </si>
  <si>
    <t>4382989#1</t>
  </si>
  <si>
    <t>Wksinteriorismo</t>
  </si>
  <si>
    <t>1463939#1</t>
  </si>
  <si>
    <t>Constructora Oviedo Sac</t>
  </si>
  <si>
    <t>1629564#1</t>
  </si>
  <si>
    <t>Artek</t>
  </si>
  <si>
    <t>4342114#1</t>
  </si>
  <si>
    <t>Aruma</t>
  </si>
  <si>
    <t>4510955#1</t>
  </si>
  <si>
    <t>Kosmasdesign</t>
  </si>
  <si>
    <t>3885650#1</t>
  </si>
  <si>
    <t>Logger Adriel</t>
  </si>
  <si>
    <t>710139#1</t>
  </si>
  <si>
    <t>Dyaconssac</t>
  </si>
  <si>
    <t>311469#1</t>
  </si>
  <si>
    <t>Nodilusa s.a. de c.v. (ok)</t>
  </si>
  <si>
    <t>4431661#1</t>
  </si>
  <si>
    <t>Serprovisa</t>
  </si>
  <si>
    <t>4419625#1</t>
  </si>
  <si>
    <t>Serviciosjbl</t>
  </si>
  <si>
    <t>3274648#1</t>
  </si>
  <si>
    <t>Thermolam</t>
  </si>
  <si>
    <t>1710030#1</t>
  </si>
  <si>
    <t>LGM Asociados</t>
  </si>
  <si>
    <t>4298514#1</t>
  </si>
  <si>
    <t>Palmasahn</t>
  </si>
  <si>
    <t>2334075#1</t>
  </si>
  <si>
    <t>Caleb Heber Juarez Cabeza</t>
  </si>
  <si>
    <t>928157#1</t>
  </si>
  <si>
    <t>Gamma Rendering</t>
  </si>
  <si>
    <t>4394769#1</t>
  </si>
  <si>
    <t>Capselectric</t>
  </si>
  <si>
    <t>Otisa</t>
  </si>
  <si>
    <t>1082759#1</t>
  </si>
  <si>
    <t>Ediconconsulting</t>
  </si>
  <si>
    <t>4338979#1</t>
  </si>
  <si>
    <t>Wallesac</t>
  </si>
  <si>
    <t>4362029#1</t>
  </si>
  <si>
    <t>Artron</t>
  </si>
  <si>
    <t>4408664#1</t>
  </si>
  <si>
    <t>Elqui</t>
  </si>
  <si>
    <t>4431186#1</t>
  </si>
  <si>
    <t>Izara</t>
  </si>
  <si>
    <t>873964#1</t>
  </si>
  <si>
    <t>KOBREX SA DE CV</t>
  </si>
  <si>
    <t>4421642#1</t>
  </si>
  <si>
    <t>Pionero</t>
  </si>
  <si>
    <t>1208479#1</t>
  </si>
  <si>
    <t>Metta Architectural Studio</t>
  </si>
  <si>
    <t>4386296#1</t>
  </si>
  <si>
    <t>Jkinversionesg</t>
  </si>
  <si>
    <t>3125359#1</t>
  </si>
  <si>
    <t>Eventrade Productora de Eventos</t>
  </si>
  <si>
    <t>4381487#1</t>
  </si>
  <si>
    <t>Gramarte</t>
  </si>
  <si>
    <t>4361169#1</t>
  </si>
  <si>
    <t>Seproesperu</t>
  </si>
  <si>
    <t>3858484#1</t>
  </si>
  <si>
    <t>Conelectricas R.L</t>
  </si>
  <si>
    <t>4427349#1</t>
  </si>
  <si>
    <t>Shizen</t>
  </si>
  <si>
    <t>2472716#4</t>
  </si>
  <si>
    <t>Summa Gold Corporation SAC</t>
  </si>
  <si>
    <t>4411751#1</t>
  </si>
  <si>
    <t>Puntoarquitectonico</t>
  </si>
  <si>
    <t>4338006#1</t>
  </si>
  <si>
    <t>J3tr</t>
  </si>
  <si>
    <t>613089#1</t>
  </si>
  <si>
    <t>RM Arquitectura e Ingenieria</t>
  </si>
  <si>
    <t>4437421#1</t>
  </si>
  <si>
    <t>Kuelap</t>
  </si>
  <si>
    <t>1672823#1</t>
  </si>
  <si>
    <t>Representaciones Alimenticias SAC</t>
  </si>
  <si>
    <t>4401771#1</t>
  </si>
  <si>
    <t>Cubiconcept</t>
  </si>
  <si>
    <t>686560#3</t>
  </si>
  <si>
    <t>Pablo Ignacio Ravanal Garcia</t>
  </si>
  <si>
    <t>527150#</t>
  </si>
  <si>
    <t>Bilcocr</t>
  </si>
  <si>
    <t>4397355#1</t>
  </si>
  <si>
    <t>Ecohogar</t>
  </si>
  <si>
    <t>4433243#1</t>
  </si>
  <si>
    <t>SERMEIND Fabricaciones Industriales</t>
  </si>
  <si>
    <t>4433783#1</t>
  </si>
  <si>
    <t>Bondenergy</t>
  </si>
  <si>
    <t>4427477#1</t>
  </si>
  <si>
    <t xml:space="preserve">Ajarquitectos
</t>
  </si>
  <si>
    <t>4472639#1</t>
  </si>
  <si>
    <t>Habitatdelosandes</t>
  </si>
  <si>
    <t>947936#2</t>
  </si>
  <si>
    <t>Constructora MECH SRL</t>
  </si>
  <si>
    <t>1924868#1</t>
  </si>
  <si>
    <t>Empsa</t>
  </si>
  <si>
    <t>1313428#1</t>
  </si>
  <si>
    <t>Eduardo Capdevila</t>
  </si>
  <si>
    <t>1744879#1</t>
  </si>
  <si>
    <t>Carlos Ibáñez Arriendo de Maquinarias Ltda.</t>
  </si>
  <si>
    <t>2148126#1</t>
  </si>
  <si>
    <t>JFR Arquitectos</t>
  </si>
  <si>
    <t>4332106#1</t>
  </si>
  <si>
    <t>Servifabrickvhr</t>
  </si>
  <si>
    <t>1777771#1</t>
  </si>
  <si>
    <t>Builder Company</t>
  </si>
  <si>
    <t>1129274#1</t>
  </si>
  <si>
    <t>Jcharquitectos</t>
  </si>
  <si>
    <t>660886#1</t>
  </si>
  <si>
    <t xml:space="preserve">Acostavallet
</t>
  </si>
  <si>
    <t>Duplicate case. Other case has Kaznar tag. Rejected.</t>
  </si>
  <si>
    <t>905529#1</t>
  </si>
  <si>
    <t>Hunter Douglas de Mexico S.A. de C.V.</t>
  </si>
  <si>
    <t>4382516#1</t>
  </si>
  <si>
    <t>Campamentosdioses</t>
  </si>
  <si>
    <t>4463488#1</t>
  </si>
  <si>
    <t>Thegroup</t>
  </si>
  <si>
    <t>530901#1</t>
  </si>
  <si>
    <t>Factory Corp - Pty</t>
  </si>
  <si>
    <t>4415136#1</t>
  </si>
  <si>
    <t>Galucorp</t>
  </si>
  <si>
    <t>2918579#1</t>
  </si>
  <si>
    <t>OPE Publicidad Gráfica</t>
  </si>
  <si>
    <t>3871147#1</t>
  </si>
  <si>
    <t>Sonimagenes del Peru</t>
  </si>
  <si>
    <t>3459538#1</t>
  </si>
  <si>
    <t>Thm</t>
  </si>
  <si>
    <t>1859832#2</t>
  </si>
  <si>
    <t>Water System Management - Wasyma</t>
  </si>
  <si>
    <t>4332805#1</t>
  </si>
  <si>
    <t>Serccolorsacperu</t>
  </si>
  <si>
    <t>2131475#1</t>
  </si>
  <si>
    <t>Luconsa</t>
  </si>
  <si>
    <t>2050599#1</t>
  </si>
  <si>
    <t>Estudio de Arquitectura y Diseño Fernando Daniel Lopez</t>
  </si>
  <si>
    <t>4209021#1</t>
  </si>
  <si>
    <t>Mades</t>
  </si>
  <si>
    <t>2278235#1</t>
  </si>
  <si>
    <t>INPROCSA S.A. DE C.V.</t>
  </si>
  <si>
    <t>4411486#1</t>
  </si>
  <si>
    <t>Xgroup</t>
  </si>
  <si>
    <t>1972893#1</t>
  </si>
  <si>
    <t>Cosmo Residences</t>
  </si>
  <si>
    <t>709824#1</t>
  </si>
  <si>
    <t>Afema Sa</t>
  </si>
  <si>
    <t>2922082#1</t>
  </si>
  <si>
    <t>Materiales Cerro Cora</t>
  </si>
  <si>
    <t>561674#1</t>
  </si>
  <si>
    <t>PTY Network INC</t>
  </si>
  <si>
    <t>4415952#1</t>
  </si>
  <si>
    <t>Metalpack</t>
  </si>
  <si>
    <t>2313652#1</t>
  </si>
  <si>
    <t>Sistemas Ocho Cuartos</t>
  </si>
  <si>
    <t>4478744#1</t>
  </si>
  <si>
    <t>Ingenierialc</t>
  </si>
  <si>
    <t>2025150#1</t>
  </si>
  <si>
    <t>Totalitysrl</t>
  </si>
  <si>
    <t>1641324#1</t>
  </si>
  <si>
    <t>GRC Ingenieros</t>
  </si>
  <si>
    <t>4520998#1</t>
  </si>
  <si>
    <t>Evercreative</t>
  </si>
  <si>
    <t>1005437#1</t>
  </si>
  <si>
    <t>ERGO mobiliario</t>
  </si>
  <si>
    <t>4517470#1</t>
  </si>
  <si>
    <t>Bernardis</t>
  </si>
  <si>
    <t>1955945#2</t>
  </si>
  <si>
    <t>Control Total Peru S.A.</t>
  </si>
  <si>
    <t>313934#1</t>
  </si>
  <si>
    <t>Furniturecitypanama</t>
  </si>
  <si>
    <t>4503766#1</t>
  </si>
  <si>
    <t>Livingstore</t>
  </si>
  <si>
    <t>4212171#1</t>
  </si>
  <si>
    <t>Ficade</t>
  </si>
  <si>
    <t>4519133#1</t>
  </si>
  <si>
    <t>Lbcompany</t>
  </si>
  <si>
    <t>3408492#1</t>
  </si>
  <si>
    <t>Arasu</t>
  </si>
  <si>
    <t>3172732#2</t>
  </si>
  <si>
    <t>Grupo Muratori</t>
  </si>
  <si>
    <t>2277489#1</t>
  </si>
  <si>
    <t>Patricio Andres Brevis Saravia</t>
  </si>
  <si>
    <t>4393290#1</t>
  </si>
  <si>
    <t>Plamat</t>
  </si>
  <si>
    <t>4370767#1</t>
  </si>
  <si>
    <t>Gruporecreo</t>
  </si>
  <si>
    <t>4524752#1</t>
  </si>
  <si>
    <t>Estudiosoledadanda</t>
  </si>
  <si>
    <t>4471614#1</t>
  </si>
  <si>
    <t>Cygsachile</t>
  </si>
  <si>
    <t>4385972#1</t>
  </si>
  <si>
    <t>Inarq</t>
  </si>
  <si>
    <t>2278808#1</t>
  </si>
  <si>
    <t>Almacén Extraportuario El Sauce S.A.</t>
  </si>
  <si>
    <t>4298992#1</t>
  </si>
  <si>
    <t>Himesa</t>
  </si>
  <si>
    <t>4333719#1</t>
  </si>
  <si>
    <t>Irabu</t>
  </si>
  <si>
    <t>2198678#1</t>
  </si>
  <si>
    <t>Palmar Corporación</t>
  </si>
  <si>
    <t>4395535#1</t>
  </si>
  <si>
    <t>Ingeetronic</t>
  </si>
  <si>
    <t>4443273#1</t>
  </si>
  <si>
    <t>Estudio105</t>
  </si>
  <si>
    <t>3858064#1</t>
  </si>
  <si>
    <t>Proyeca</t>
  </si>
  <si>
    <t>4464421#1</t>
  </si>
  <si>
    <t>Pandastudio</t>
  </si>
  <si>
    <t>4340329#1</t>
  </si>
  <si>
    <t>CYVSA Perú</t>
  </si>
  <si>
    <t>4436085#1</t>
  </si>
  <si>
    <t>Mgasac</t>
  </si>
  <si>
    <t>4421435#1</t>
  </si>
  <si>
    <t>Arqu</t>
  </si>
  <si>
    <t>4380912#1</t>
  </si>
  <si>
    <t>Agenciamontesion</t>
  </si>
  <si>
    <t>3256289#1</t>
  </si>
  <si>
    <t>Auditax Consulting</t>
  </si>
  <si>
    <t>4342652#1</t>
  </si>
  <si>
    <t>Kompressur</t>
  </si>
  <si>
    <t>3518869#1</t>
  </si>
  <si>
    <t>Woka</t>
  </si>
  <si>
    <t>4382121#1</t>
  </si>
  <si>
    <t>Acdgroup</t>
  </si>
  <si>
    <t>3860082#1</t>
  </si>
  <si>
    <t>Glassart</t>
  </si>
  <si>
    <t>1196417#1</t>
  </si>
  <si>
    <t>Estudio Test / 3D Architectural Visualization</t>
  </si>
  <si>
    <t>1540158#2</t>
  </si>
  <si>
    <t>RESY Ingeniería y Construcción</t>
  </si>
  <si>
    <t>4330645#1</t>
  </si>
  <si>
    <t>Triarkec</t>
  </si>
  <si>
    <t>4495346#1</t>
  </si>
  <si>
    <t xml:space="preserve">Alderaan
</t>
  </si>
  <si>
    <t>3898963#1</t>
  </si>
  <si>
    <t>Acondicionamiento Integral S.A</t>
  </si>
  <si>
    <t>1346985#1</t>
  </si>
  <si>
    <t>Inproyen</t>
  </si>
  <si>
    <t>1339837#2</t>
  </si>
  <si>
    <t>Consultora Pasqui</t>
  </si>
  <si>
    <t>4490045#1</t>
  </si>
  <si>
    <t>Ypfbrefinacion</t>
  </si>
  <si>
    <t>1105105#1</t>
  </si>
  <si>
    <t>Ocho Arquitectura y Diseño</t>
  </si>
  <si>
    <t>4511570#1</t>
  </si>
  <si>
    <t>Gioacchinobrindicci</t>
  </si>
  <si>
    <t>2207427#1</t>
  </si>
  <si>
    <t>Fenedur</t>
  </si>
  <si>
    <t>4296128#1</t>
  </si>
  <si>
    <t>Jagingenieros</t>
  </si>
  <si>
    <t>4506067#1</t>
  </si>
  <si>
    <t>Sunfersa</t>
  </si>
  <si>
    <t>586340#1</t>
  </si>
  <si>
    <t>ZAZÓNestudio</t>
  </si>
  <si>
    <t>4428194#1</t>
  </si>
  <si>
    <t>Hiberniamisiones</t>
  </si>
  <si>
    <t>4407998#1</t>
  </si>
  <si>
    <t>Zulu</t>
  </si>
  <si>
    <t>4453320#1</t>
  </si>
  <si>
    <t>Absoluteproperties</t>
  </si>
  <si>
    <t>4518184#1</t>
  </si>
  <si>
    <t>Atijastorres</t>
  </si>
  <si>
    <t>4454334#1</t>
  </si>
  <si>
    <t>Waa</t>
  </si>
  <si>
    <t>760391#1</t>
  </si>
  <si>
    <t>Dimetrica Arquitectos</t>
  </si>
  <si>
    <t>4368039#1</t>
  </si>
  <si>
    <t>Inmobiliaria Pajuelo</t>
  </si>
  <si>
    <t>4333404#1</t>
  </si>
  <si>
    <t>Kywi</t>
  </si>
  <si>
    <t>4389723#1</t>
  </si>
  <si>
    <t>Blarq</t>
  </si>
  <si>
    <t>4447848#1</t>
  </si>
  <si>
    <t>Americashg</t>
  </si>
  <si>
    <t>4340434#1</t>
  </si>
  <si>
    <t xml:space="preserve">Lopezingenieros
</t>
  </si>
  <si>
    <t>4458359#1</t>
  </si>
  <si>
    <t>Casadediseno</t>
  </si>
  <si>
    <t>4442171#1</t>
  </si>
  <si>
    <t>ueno Seguros</t>
  </si>
  <si>
    <t>4425241#1</t>
  </si>
  <si>
    <t>Centroinox</t>
  </si>
  <si>
    <t>3567394#1</t>
  </si>
  <si>
    <t>Andes Alimentos &amp;. Bebidas SAC</t>
  </si>
  <si>
    <t>4490757#1</t>
  </si>
  <si>
    <t>Konkretos</t>
  </si>
  <si>
    <t>1998257#1</t>
  </si>
  <si>
    <t>Metales Procesados S.R.L</t>
  </si>
  <si>
    <t>4382747#1</t>
  </si>
  <si>
    <t>Eltriangulo</t>
  </si>
  <si>
    <t>1914618#1</t>
  </si>
  <si>
    <t>Kusiruaq</t>
  </si>
  <si>
    <t>4529343#1</t>
  </si>
  <si>
    <t>Avantiingenieria</t>
  </si>
  <si>
    <t>3898082#1</t>
  </si>
  <si>
    <t>Etsa</t>
  </si>
  <si>
    <t>3271879#1</t>
  </si>
  <si>
    <t>A10</t>
  </si>
  <si>
    <t>4417754#1</t>
  </si>
  <si>
    <t>Fernandolaura</t>
  </si>
  <si>
    <t>4518844#1</t>
  </si>
  <si>
    <t>Bvserviciosyconstrucciones</t>
  </si>
  <si>
    <t>2023399#1</t>
  </si>
  <si>
    <t>Mnz</t>
  </si>
  <si>
    <t>943691#1</t>
  </si>
  <si>
    <t>DesaCafe S.A</t>
  </si>
  <si>
    <t>1004756#1</t>
  </si>
  <si>
    <t xml:space="preserve">Emme Arquitectura </t>
  </si>
  <si>
    <t>4406668#1</t>
  </si>
  <si>
    <t>Somosemkey</t>
  </si>
  <si>
    <t>4341168#1</t>
  </si>
  <si>
    <t>Fkl Muebles Importados</t>
  </si>
  <si>
    <t>4458897#1</t>
  </si>
  <si>
    <t>Jvc7group</t>
  </si>
  <si>
    <t>1009016#1</t>
  </si>
  <si>
    <t>TURQUESA mobiliario + diseño</t>
  </si>
  <si>
    <t>4393513#1</t>
  </si>
  <si>
    <t>Grupolc</t>
  </si>
  <si>
    <t>4504270#1</t>
  </si>
  <si>
    <t>Herasc</t>
  </si>
  <si>
    <t>4531337#1</t>
  </si>
  <si>
    <t>Xtrememining</t>
  </si>
  <si>
    <t>1855482#1</t>
  </si>
  <si>
    <t>Ducon S.A.S.</t>
  </si>
  <si>
    <t>4400476#1</t>
  </si>
  <si>
    <t>Valnicoltda</t>
  </si>
  <si>
    <t>4504495#1</t>
  </si>
  <si>
    <t>Prosal</t>
  </si>
  <si>
    <t>1195608#1</t>
  </si>
  <si>
    <t>Airtec S.A.</t>
  </si>
  <si>
    <t>3400649#1</t>
  </si>
  <si>
    <t>Thisisown</t>
  </si>
  <si>
    <t>4429826#1</t>
  </si>
  <si>
    <t>Latorre</t>
  </si>
  <si>
    <t>687360#2</t>
  </si>
  <si>
    <t>Grupo Coydisa</t>
  </si>
  <si>
    <t>4415834#1</t>
  </si>
  <si>
    <t>Firplak</t>
  </si>
  <si>
    <t>4435923#1</t>
  </si>
  <si>
    <t>Almamkt</t>
  </si>
  <si>
    <t>3874112#1</t>
  </si>
  <si>
    <t>Metamateriales</t>
  </si>
  <si>
    <t>4477446#1</t>
  </si>
  <si>
    <t>Regaliagroup</t>
  </si>
  <si>
    <t>4440974#1</t>
  </si>
  <si>
    <t>Empacor S.A</t>
  </si>
  <si>
    <t>4388157#1</t>
  </si>
  <si>
    <t>Black</t>
  </si>
  <si>
    <t>1937332#1</t>
  </si>
  <si>
    <t>Roberto Scarfullery</t>
  </si>
  <si>
    <t>1078882#1</t>
  </si>
  <si>
    <t>METODO33</t>
  </si>
  <si>
    <t>3460570#1</t>
  </si>
  <si>
    <t>SATURDAY</t>
  </si>
  <si>
    <t>966457#1</t>
  </si>
  <si>
    <t>Enviro Consultores</t>
  </si>
  <si>
    <t>1695457#1</t>
  </si>
  <si>
    <t>Salitre Swimwear</t>
  </si>
  <si>
    <t>4510416#1</t>
  </si>
  <si>
    <t>Kaizendesign</t>
  </si>
  <si>
    <t>4344384#1</t>
  </si>
  <si>
    <t>Ciprian</t>
  </si>
  <si>
    <t>613103#1</t>
  </si>
  <si>
    <t>GyS Control Industrial S.A.C.</t>
  </si>
  <si>
    <t>654525#1</t>
  </si>
  <si>
    <t>Ecuatoriana De Productos Quimicos C.A.</t>
  </si>
  <si>
    <t>4497060#1</t>
  </si>
  <si>
    <t>Naturaldepot</t>
  </si>
  <si>
    <t>1172064#1</t>
  </si>
  <si>
    <t>Valentine &amp; Kebartas</t>
  </si>
  <si>
    <t>1535348#1</t>
  </si>
  <si>
    <t>PROHABI</t>
  </si>
  <si>
    <t>4373030#1</t>
  </si>
  <si>
    <t>Gpslion</t>
  </si>
  <si>
    <t>4516906#1</t>
  </si>
  <si>
    <t>Phyl</t>
  </si>
  <si>
    <t>4431634#1</t>
  </si>
  <si>
    <t>Tusimpresionespa</t>
  </si>
  <si>
    <t>923873#1</t>
  </si>
  <si>
    <t>Globalmanagemententerprise</t>
  </si>
  <si>
    <t>4476068#1</t>
  </si>
  <si>
    <t>Kartos</t>
  </si>
  <si>
    <t>4363400#1</t>
  </si>
  <si>
    <t>Caisa</t>
  </si>
  <si>
    <t>925127#1</t>
  </si>
  <si>
    <t>Barrail Hnos. S.A. Building</t>
  </si>
  <si>
    <t xml:space="preserve">768099#2
</t>
  </si>
  <si>
    <t>Acostacosta</t>
  </si>
  <si>
    <t>3872757#1</t>
  </si>
  <si>
    <t>Forums Corporate Event Planning</t>
  </si>
  <si>
    <t>4342109#1</t>
  </si>
  <si>
    <t>Lacasitadeallado</t>
  </si>
  <si>
    <t xml:space="preserve">1626344#1
</t>
  </si>
  <si>
    <t>Jerco</t>
  </si>
  <si>
    <t>2466065#1</t>
  </si>
  <si>
    <t>Qatari Company</t>
  </si>
  <si>
    <t>1693363#1</t>
  </si>
  <si>
    <t>Studioadd</t>
  </si>
  <si>
    <t>658897#1</t>
  </si>
  <si>
    <t>Leterago Del Ecuador S.A.</t>
  </si>
  <si>
    <t>4425339#1</t>
  </si>
  <si>
    <t>Rockdrillgroup</t>
  </si>
  <si>
    <t>1448925#1</t>
  </si>
  <si>
    <t>Daniel Alvarez-1017127594</t>
  </si>
  <si>
    <t>1253314#1</t>
  </si>
  <si>
    <t>Vekia</t>
  </si>
  <si>
    <t>1143523#1</t>
  </si>
  <si>
    <t xml:space="preserve">Studio NOA
</t>
  </si>
  <si>
    <t>3251534#1</t>
  </si>
  <si>
    <t>Vinaki</t>
  </si>
  <si>
    <t>Acostavallet</t>
  </si>
  <si>
    <t>2985736#1</t>
  </si>
  <si>
    <t>Sillas y Pupitres de Colombia SAS</t>
  </si>
  <si>
    <t>1062972#1</t>
  </si>
  <si>
    <t>M2 Studio</t>
  </si>
  <si>
    <t>4415138#1</t>
  </si>
  <si>
    <t>Skywaterconstrucciones</t>
  </si>
  <si>
    <t>Belize</t>
  </si>
  <si>
    <t>Argentina, Uruguay</t>
  </si>
  <si>
    <t>Dominican Republic, Panama, Costa Rica</t>
  </si>
  <si>
    <t>Nicaragua, Guatemala, El Salvador, Belize, Honduras</t>
  </si>
  <si>
    <t>Ecuador, Colombia</t>
  </si>
  <si>
    <t>Bolivia, Paraguay</t>
  </si>
  <si>
    <t>Country QA'd</t>
  </si>
  <si>
    <t>COUNTA of QA'd</t>
  </si>
  <si>
    <t>Alexis</t>
  </si>
  <si>
    <t>Diana</t>
  </si>
  <si>
    <t>QA del Batch MMC:</t>
  </si>
  <si>
    <t>QA del Batch CS:</t>
  </si>
  <si>
    <t>QA'd</t>
  </si>
  <si>
    <t>4410861#1</t>
  </si>
  <si>
    <t>Arqveras</t>
  </si>
  <si>
    <t>676939#1</t>
  </si>
  <si>
    <t>IDESA group, S.A. De C.V.</t>
  </si>
  <si>
    <t xml:space="preserve">4440159#1
</t>
  </si>
  <si>
    <t>Comercial Cisneaustral Ltda.</t>
  </si>
  <si>
    <t>4385435#1</t>
  </si>
  <si>
    <t>Famaq</t>
  </si>
  <si>
    <t>3885757#1</t>
  </si>
  <si>
    <t>Metalurgica Andrea</t>
  </si>
  <si>
    <t>4324234#1</t>
  </si>
  <si>
    <t>multiservicios industriales leto</t>
  </si>
  <si>
    <t>4425220#1</t>
  </si>
  <si>
    <t>Imi</t>
  </si>
  <si>
    <t>Additional machines were added to the case</t>
  </si>
  <si>
    <t>339979#1</t>
  </si>
  <si>
    <t>AEdix</t>
  </si>
  <si>
    <t xml:space="preserve">1940617#1
</t>
  </si>
  <si>
    <t>América Pampa Agroindustrial SA</t>
  </si>
  <si>
    <t>Case disqualified, not enough data or information to associate the machine with the entity</t>
  </si>
  <si>
    <t>4396985#1</t>
  </si>
  <si>
    <t>Construccionessecaba</t>
  </si>
  <si>
    <t>2465255#1</t>
  </si>
  <si>
    <t>Camisar Fernando Gabriel</t>
  </si>
  <si>
    <t>4410547#1</t>
  </si>
  <si>
    <t>Ferrarapacific</t>
  </si>
  <si>
    <t>1547407#1</t>
  </si>
  <si>
    <t>Isq</t>
  </si>
  <si>
    <t>Updated and new target entity. 
Notified for correction.</t>
  </si>
  <si>
    <t xml:space="preserve">4513828#1
</t>
  </si>
  <si>
    <t>Allind</t>
  </si>
  <si>
    <t>4478625#1</t>
  </si>
  <si>
    <t>Supernovaequipamientos</t>
  </si>
  <si>
    <t>4393554#1</t>
  </si>
  <si>
    <t>Catarsisarquitectura</t>
  </si>
  <si>
    <t>1827653#1</t>
  </si>
  <si>
    <t>Hermanar</t>
  </si>
  <si>
    <t>4482376#1</t>
  </si>
  <si>
    <t>Roconsultores</t>
  </si>
  <si>
    <t>706034#1</t>
  </si>
  <si>
    <t>Ingmetalica</t>
  </si>
  <si>
    <t xml:space="preserve">2230616#1
</t>
  </si>
  <si>
    <t>Grupo Industrial Garoma S.A. de C.V.</t>
  </si>
  <si>
    <t>2477368#1</t>
  </si>
  <si>
    <t>Cayber Comercial</t>
  </si>
  <si>
    <t>4405672#1</t>
  </si>
  <si>
    <t>Profilglasspty</t>
  </si>
  <si>
    <t>4413390#1</t>
  </si>
  <si>
    <t>Helpasa</t>
  </si>
  <si>
    <t>4472103#1</t>
  </si>
  <si>
    <t>Grupohb</t>
  </si>
  <si>
    <t>1778249#1</t>
  </si>
  <si>
    <t>Cobinsa</t>
  </si>
  <si>
    <t>1913944#1</t>
  </si>
  <si>
    <t>Vangard Concept Offices - VCO</t>
  </si>
  <si>
    <t>963223#1</t>
  </si>
  <si>
    <t>Ddserviciosindustriales</t>
  </si>
  <si>
    <t>4390664#1</t>
  </si>
  <si>
    <t>Tutierramx</t>
  </si>
  <si>
    <t>906929#1</t>
  </si>
  <si>
    <t>Millerzell</t>
  </si>
  <si>
    <t>1577767#1</t>
  </si>
  <si>
    <t>Electrogaza</t>
  </si>
  <si>
    <t>380364#1</t>
  </si>
  <si>
    <t>CuatroCuatros</t>
  </si>
  <si>
    <t>4418667#1</t>
  </si>
  <si>
    <t>Mcgowensa</t>
  </si>
  <si>
    <t xml:space="preserve">4457611#1
</t>
  </si>
  <si>
    <t>Industriaslym</t>
  </si>
  <si>
    <t>4385291#1</t>
  </si>
  <si>
    <t>Bluevisiontechnologies</t>
  </si>
  <si>
    <t>1724897#1</t>
  </si>
  <si>
    <t>Symbar</t>
  </si>
  <si>
    <t>Disqualified. No events on the target company country</t>
  </si>
  <si>
    <t>4373727#1</t>
  </si>
  <si>
    <t>Stef</t>
  </si>
  <si>
    <t>4331634#1</t>
  </si>
  <si>
    <t>CORTINAS DE ACERO FACQRO</t>
  </si>
  <si>
    <t>3439465#1</t>
  </si>
  <si>
    <t>ATC SYSTEMS PANAMA</t>
  </si>
  <si>
    <t>4454022#1</t>
  </si>
  <si>
    <t>Emersus</t>
  </si>
  <si>
    <t>4369830#1</t>
  </si>
  <si>
    <t>Guayacan</t>
  </si>
  <si>
    <t>1760990#1</t>
  </si>
  <si>
    <t>Canorolon</t>
  </si>
  <si>
    <t>4511566#1</t>
  </si>
  <si>
    <t>Anunciosunipolares</t>
  </si>
  <si>
    <t>658058#1</t>
  </si>
  <si>
    <t>Mivak</t>
  </si>
  <si>
    <t>4383634#1</t>
  </si>
  <si>
    <t>Reyesinterior</t>
  </si>
  <si>
    <t>4395910#1</t>
  </si>
  <si>
    <t>Utiliteam</t>
  </si>
  <si>
    <t>4414276#1</t>
  </si>
  <si>
    <t>Industec</t>
  </si>
  <si>
    <t>4432958#1</t>
  </si>
  <si>
    <t>Doblec</t>
  </si>
  <si>
    <t>4400485#1</t>
  </si>
  <si>
    <t>Akemusic</t>
  </si>
  <si>
    <t>4445727#1</t>
  </si>
  <si>
    <t>Redexplorer</t>
  </si>
  <si>
    <t>1330570#1</t>
  </si>
  <si>
    <t>Jorge Alan Rodriguez Hernandez</t>
  </si>
  <si>
    <t>4440839#1</t>
  </si>
  <si>
    <t>Equipro</t>
  </si>
  <si>
    <t>1996675#1</t>
  </si>
  <si>
    <t>Divex S.A.</t>
  </si>
  <si>
    <t xml:space="preserve">
4435468#1</t>
  </si>
  <si>
    <t>Maplima</t>
  </si>
  <si>
    <t xml:space="preserve">	41272085</t>
  </si>
  <si>
    <t>Signode International IP Holdings LLC</t>
  </si>
  <si>
    <t>3899341#1</t>
  </si>
  <si>
    <t>Gruponk</t>
  </si>
  <si>
    <t>4486005#1</t>
  </si>
  <si>
    <t>Munsa</t>
  </si>
  <si>
    <t>2253543#1</t>
  </si>
  <si>
    <t>iDric</t>
  </si>
  <si>
    <t>4448961#1</t>
  </si>
  <si>
    <t>Securus SA</t>
  </si>
  <si>
    <t>4390155#1</t>
  </si>
  <si>
    <t>Asapalsa</t>
  </si>
  <si>
    <t>326343#1</t>
  </si>
  <si>
    <t>Pgarq</t>
  </si>
  <si>
    <t>2919963#1</t>
  </si>
  <si>
    <t>Pentagonolegal</t>
  </si>
  <si>
    <t>1779923#1</t>
  </si>
  <si>
    <t>AGS Arquitectura</t>
  </si>
  <si>
    <t>4516738#1</t>
  </si>
  <si>
    <t>Ibsei</t>
  </si>
  <si>
    <t>4414935#1</t>
  </si>
  <si>
    <t>Intratta</t>
  </si>
  <si>
    <t>4487154#1</t>
  </si>
  <si>
    <t>Brunorenders</t>
  </si>
  <si>
    <t>4337086#1</t>
  </si>
  <si>
    <t>Emconstruccion</t>
  </si>
  <si>
    <t>1793592#1</t>
  </si>
  <si>
    <t>Masdar Jardines Verticales</t>
  </si>
  <si>
    <t>4427846#1</t>
  </si>
  <si>
    <t>Barraganbr</t>
  </si>
  <si>
    <t>1857529#1</t>
  </si>
  <si>
    <t>Vaccarezza y Tenesini Arquitectos</t>
  </si>
  <si>
    <t>2291551#1</t>
  </si>
  <si>
    <t>Nnarquitecura</t>
  </si>
  <si>
    <t>QA - Disqualified (Data)</t>
  </si>
  <si>
    <t xml:space="preserve">4486007#1
</t>
  </si>
  <si>
    <t>Pavelum</t>
  </si>
  <si>
    <t>4398393#1</t>
  </si>
  <si>
    <t>Labignoniaposada</t>
  </si>
  <si>
    <t>3400165#1</t>
  </si>
  <si>
    <t>Multiserviciosindustriales</t>
  </si>
  <si>
    <t>4472312#1</t>
  </si>
  <si>
    <t>Servicoop</t>
  </si>
  <si>
    <t>As a cooperative this entity is constituted as a non profit</t>
  </si>
  <si>
    <t>4328282#1</t>
  </si>
  <si>
    <t>Offimodular</t>
  </si>
  <si>
    <t>4433262#1</t>
  </si>
  <si>
    <t>Arcoequipos</t>
  </si>
  <si>
    <t>4445729#1</t>
  </si>
  <si>
    <t>Green matters México</t>
  </si>
  <si>
    <t>1142247#1</t>
  </si>
  <si>
    <t>MobiliArte</t>
  </si>
  <si>
    <t>4465348#1</t>
  </si>
  <si>
    <t>Markova</t>
  </si>
  <si>
    <t>3400160#1</t>
  </si>
  <si>
    <t>Effes</t>
  </si>
  <si>
    <t>4442784#1</t>
  </si>
  <si>
    <t>Quimicaeg</t>
  </si>
  <si>
    <t>1007455#1</t>
  </si>
  <si>
    <t>Inversiones Ovimay</t>
  </si>
  <si>
    <t>2490810#1</t>
  </si>
  <si>
    <t>Ambientes Virtuales punto Com</t>
  </si>
  <si>
    <t>4374292#1</t>
  </si>
  <si>
    <t>Hohprecht</t>
  </si>
  <si>
    <t>3533403#1</t>
  </si>
  <si>
    <t>Logma Distribuidora De Cartoes E Recargas</t>
  </si>
  <si>
    <t>4468324#1</t>
  </si>
  <si>
    <t>Apex</t>
  </si>
  <si>
    <t>4339894#1</t>
  </si>
  <si>
    <t>ICA Inversiones</t>
  </si>
  <si>
    <t>4436822#1</t>
  </si>
  <si>
    <t>RK Arquitectura</t>
  </si>
  <si>
    <t>4530835#1</t>
  </si>
  <si>
    <t>Rosso</t>
  </si>
  <si>
    <t>4396486#1</t>
  </si>
  <si>
    <t>Enconcreto</t>
  </si>
  <si>
    <t>4494109#1</t>
  </si>
  <si>
    <t>Alfran</t>
  </si>
  <si>
    <t>1077102#1</t>
  </si>
  <si>
    <t>Vicasa Desarrollos</t>
  </si>
  <si>
    <t>945918#1</t>
  </si>
  <si>
    <t>Chic to Chic - Ambientaciones</t>
  </si>
  <si>
    <t xml:space="preserve">928330#1
</t>
  </si>
  <si>
    <t>NVX Solar</t>
  </si>
  <si>
    <t>Case Rejected.</t>
  </si>
  <si>
    <t>4443023#1</t>
  </si>
  <si>
    <t>Cosmaca</t>
  </si>
  <si>
    <t>1913397#1</t>
  </si>
  <si>
    <t>Advance Business Service</t>
  </si>
  <si>
    <t>4379083#1</t>
  </si>
  <si>
    <t>Redesunidas</t>
  </si>
  <si>
    <t>3870707#1</t>
  </si>
  <si>
    <t>Visiong</t>
  </si>
  <si>
    <t>315336#1</t>
  </si>
  <si>
    <t>Saemisch</t>
  </si>
  <si>
    <t>4402003#1</t>
  </si>
  <si>
    <t>Typetech</t>
  </si>
  <si>
    <t xml:space="preserve">4372006#1
</t>
  </si>
  <si>
    <t>Sebsaingenieria</t>
  </si>
  <si>
    <t>3899486#1</t>
  </si>
  <si>
    <t>Crisner</t>
  </si>
  <si>
    <t>4529510#1</t>
  </si>
  <si>
    <t>Inversionesbriko</t>
  </si>
  <si>
    <t>4490205#1</t>
  </si>
  <si>
    <t>Alutraficled</t>
  </si>
  <si>
    <t>4460538#1</t>
  </si>
  <si>
    <t>Phh</t>
  </si>
  <si>
    <t>4521454#1</t>
  </si>
  <si>
    <t>Grupomedrar</t>
  </si>
  <si>
    <t>4392763#1</t>
  </si>
  <si>
    <t>Mobiliok</t>
  </si>
  <si>
    <t xml:space="preserve">1797980#1
</t>
  </si>
  <si>
    <t>Rentamaquinas.com</t>
  </si>
  <si>
    <t>Case rejected</t>
  </si>
  <si>
    <t>4374900#1</t>
  </si>
  <si>
    <t>Herracruz</t>
  </si>
  <si>
    <t>551688#1</t>
  </si>
  <si>
    <t>sgs1847</t>
  </si>
  <si>
    <t>4473992#1</t>
  </si>
  <si>
    <t>Verde.Esperanza</t>
  </si>
  <si>
    <t>4344373#1</t>
  </si>
  <si>
    <t>Direktorgroup</t>
  </si>
  <si>
    <t>4360623#1</t>
  </si>
  <si>
    <t>Palosxpress</t>
  </si>
  <si>
    <t>1106080#1</t>
  </si>
  <si>
    <t>Olivierirey</t>
  </si>
  <si>
    <t>3412174#1</t>
  </si>
  <si>
    <t>CYG</t>
  </si>
  <si>
    <t>4436645#1</t>
  </si>
  <si>
    <t>Pazacasa</t>
  </si>
  <si>
    <t>4528685#1</t>
  </si>
  <si>
    <t>Proinsa</t>
  </si>
  <si>
    <t>4416011#1</t>
  </si>
  <si>
    <t>Woodstore</t>
  </si>
  <si>
    <t>2489523#1</t>
  </si>
  <si>
    <t>Cim06</t>
  </si>
  <si>
    <t>4450664#1</t>
  </si>
  <si>
    <t>Leoncontractors</t>
  </si>
  <si>
    <t>4414023#1</t>
  </si>
  <si>
    <t>Ecosurbahia</t>
  </si>
  <si>
    <t>4389778#1</t>
  </si>
  <si>
    <t>Kualiprosis</t>
  </si>
  <si>
    <t>654323#1</t>
  </si>
  <si>
    <t>MetalYeso, S.L</t>
  </si>
  <si>
    <t>review</t>
  </si>
  <si>
    <t>4521195#1</t>
  </si>
  <si>
    <t>Origamiwood</t>
  </si>
  <si>
    <t>4448941#1</t>
  </si>
  <si>
    <t>Fulgor</t>
  </si>
  <si>
    <t>4320727#1</t>
  </si>
  <si>
    <t>Dbic</t>
  </si>
  <si>
    <t>1287925#1</t>
  </si>
  <si>
    <t>GIA S.A. de C.V.</t>
  </si>
  <si>
    <t>4499283#1</t>
  </si>
  <si>
    <t>Mchsrl</t>
  </si>
  <si>
    <t>An Additional machinea was added to the case</t>
  </si>
  <si>
    <t>1094538#1</t>
  </si>
  <si>
    <t>Gadea Buildings Systems</t>
  </si>
  <si>
    <t>4446538#1</t>
  </si>
  <si>
    <t>FUNIBLÚ - FUNNY PUFF</t>
  </si>
  <si>
    <t xml:space="preserve">4470161#1
</t>
  </si>
  <si>
    <t>Cementeriolaresurreccion</t>
  </si>
  <si>
    <t>4489713#1</t>
  </si>
  <si>
    <t>Gestionpublicitaria</t>
  </si>
  <si>
    <t>4327733#1</t>
  </si>
  <si>
    <t>Agmelsalvador</t>
  </si>
  <si>
    <t>739379#1</t>
  </si>
  <si>
    <t>PARQ - Progresivo de Arquitectura</t>
  </si>
  <si>
    <t>1194407#1</t>
  </si>
  <si>
    <t>Diez Martin Ignacio</t>
  </si>
  <si>
    <t>4342126#1</t>
  </si>
  <si>
    <t>Studiocincocr</t>
  </si>
  <si>
    <t>1600484#3</t>
  </si>
  <si>
    <t>Gimnasiolaspalmas</t>
  </si>
  <si>
    <t>4467163#1</t>
  </si>
  <si>
    <t>Teisapanama</t>
  </si>
  <si>
    <t>4441339#1</t>
  </si>
  <si>
    <t>Suseincosas</t>
  </si>
  <si>
    <t>900155#1</t>
  </si>
  <si>
    <t>Sistemas Tecnicos De Guatemala</t>
  </si>
  <si>
    <t xml:space="preserve">4445106#1
</t>
  </si>
  <si>
    <t>Gaveaingenieria</t>
  </si>
  <si>
    <t>4385647#1</t>
  </si>
  <si>
    <t>Armatasrl</t>
  </si>
  <si>
    <t>931220#1</t>
  </si>
  <si>
    <t>Enpapr</t>
  </si>
  <si>
    <t>4341174#1</t>
  </si>
  <si>
    <t>Owlvisionsas</t>
  </si>
  <si>
    <t xml:space="preserve">4465936#1
</t>
  </si>
  <si>
    <t>Invelaconstructora</t>
  </si>
  <si>
    <t>4369932#1</t>
  </si>
  <si>
    <t>Oparquitectos</t>
  </si>
  <si>
    <t>4361088#1</t>
  </si>
  <si>
    <t>Arferdinand</t>
  </si>
  <si>
    <t xml:space="preserve">4416481#1
</t>
  </si>
  <si>
    <t>Indusjervahos</t>
  </si>
  <si>
    <t>4387994#1</t>
  </si>
  <si>
    <t>Gcsa</t>
  </si>
  <si>
    <t>4377849#1</t>
  </si>
  <si>
    <t>Nuevocarnic</t>
  </si>
  <si>
    <t>4339991#1</t>
  </si>
  <si>
    <t>Fenber Ingenieria Sa</t>
  </si>
  <si>
    <t>4453558#1</t>
  </si>
  <si>
    <t>Zayercom</t>
  </si>
  <si>
    <t>4361157#1</t>
  </si>
  <si>
    <t>Besthealth</t>
  </si>
  <si>
    <t>4333223#1</t>
  </si>
  <si>
    <t>Perez y Antebi - Abogados | Attorneys at Law | Law Firm Panama (Perez y Antebi - Firma Abogados Panama)</t>
  </si>
  <si>
    <t>4339129#1</t>
  </si>
  <si>
    <t>FORUM Constructora</t>
  </si>
  <si>
    <t>4436988#1</t>
  </si>
  <si>
    <t>Mesonesdecocinas</t>
  </si>
  <si>
    <t xml:space="preserve">657682#1
</t>
  </si>
  <si>
    <t>Casa Möbel</t>
  </si>
  <si>
    <t>Case Rejected</t>
  </si>
  <si>
    <t>4491782#1</t>
  </si>
  <si>
    <t>Xyzdesarrollos</t>
  </si>
  <si>
    <t xml:space="preserve">4426007#1
</t>
  </si>
  <si>
    <t>Sagrisa</t>
  </si>
  <si>
    <t>4373941#1</t>
  </si>
  <si>
    <t>Confiteriacentral</t>
  </si>
  <si>
    <t>4383357#1</t>
  </si>
  <si>
    <t>Itechsv</t>
  </si>
  <si>
    <t>2074280#1</t>
  </si>
  <si>
    <t>Netit S.A. DE C.V.</t>
  </si>
  <si>
    <t>4518258#1</t>
  </si>
  <si>
    <t>Multiref</t>
  </si>
  <si>
    <t>4365738#1</t>
  </si>
  <si>
    <t>Equioffi</t>
  </si>
  <si>
    <t>4363792#1</t>
  </si>
  <si>
    <t>METROLOGIA Y SERVICIOS S.A.S.</t>
  </si>
  <si>
    <t>4431495#1</t>
  </si>
  <si>
    <t>Articoimportaciones</t>
  </si>
  <si>
    <t>4397550#1</t>
  </si>
  <si>
    <t xml:space="preserve">Ceacustica
</t>
  </si>
  <si>
    <t>1348664#1</t>
  </si>
  <si>
    <t>Diagramstudio</t>
  </si>
  <si>
    <t>4517228#1</t>
  </si>
  <si>
    <t>Proyectoscr</t>
  </si>
  <si>
    <t>4461130#1</t>
  </si>
  <si>
    <t>Btoconstructora</t>
  </si>
  <si>
    <t xml:space="preserve">1914016#1
</t>
  </si>
  <si>
    <t>Grupo Inmobiliario Estrena SC</t>
  </si>
  <si>
    <t>4339113#1</t>
  </si>
  <si>
    <t>San Luis Construcciones</t>
  </si>
  <si>
    <t>4432062#1</t>
  </si>
  <si>
    <t>Rivieramanagement</t>
  </si>
  <si>
    <t>4446726#1</t>
  </si>
  <si>
    <t>Calles Amarillas SRL</t>
  </si>
  <si>
    <t>935040#3</t>
  </si>
  <si>
    <t>Tejada i Torres - Arquitectura • Agrimensura • Construcción</t>
  </si>
  <si>
    <t>4462897#1</t>
  </si>
  <si>
    <t>Mtsmultiservicios</t>
  </si>
  <si>
    <t>216981#5</t>
  </si>
  <si>
    <t>Hb Sadelec Estructuras Metalicas S.A.</t>
  </si>
  <si>
    <t>1251937#1</t>
  </si>
  <si>
    <t>Mirage Appliances Inc</t>
  </si>
  <si>
    <t>3860483#1</t>
  </si>
  <si>
    <t>Qqmedical</t>
  </si>
  <si>
    <t>4430426#1</t>
  </si>
  <si>
    <t>Shoemat</t>
  </si>
  <si>
    <t>4426065#1</t>
  </si>
  <si>
    <t>Arayaconstrucciones</t>
  </si>
  <si>
    <t>4438511#1</t>
  </si>
  <si>
    <t>Elsauco</t>
  </si>
  <si>
    <t>1657454#1</t>
  </si>
  <si>
    <t>Constructora Civiltec</t>
  </si>
  <si>
    <t>4510410#1</t>
  </si>
  <si>
    <t>Cicentro</t>
  </si>
  <si>
    <t>574307#1</t>
  </si>
  <si>
    <t>Lrcorp</t>
  </si>
  <si>
    <t>4420756#1</t>
  </si>
  <si>
    <t>Grupocolper</t>
  </si>
  <si>
    <t>4431698#1</t>
  </si>
  <si>
    <t>Perezvelascoarquitectos</t>
  </si>
  <si>
    <t>1855786#1</t>
  </si>
  <si>
    <t>Ignacio Montaldo</t>
  </si>
  <si>
    <t>4423878#1</t>
  </si>
  <si>
    <t>Amenities</t>
  </si>
  <si>
    <t xml:space="preserve">1026414#1
</t>
  </si>
  <si>
    <t xml:space="preserve">Constructora Cobaci
</t>
  </si>
  <si>
    <t>4451894#1</t>
  </si>
  <si>
    <t>Resof</t>
  </si>
  <si>
    <t>581732#1</t>
  </si>
  <si>
    <t>Gonet México</t>
  </si>
  <si>
    <t>2920329#1</t>
  </si>
  <si>
    <t>Agencia de aduanas Mariano Roldan</t>
  </si>
  <si>
    <t>4422192#1</t>
  </si>
  <si>
    <t>Mbkcst</t>
  </si>
  <si>
    <t>4381827#1</t>
  </si>
  <si>
    <t>Arqkul</t>
  </si>
  <si>
    <t>4469209#1</t>
  </si>
  <si>
    <t>Gruasvillarreal</t>
  </si>
  <si>
    <t>1563910#1</t>
  </si>
  <si>
    <t>Urbantop</t>
  </si>
  <si>
    <t>4445465#1</t>
  </si>
  <si>
    <t>Ciamsoluciones</t>
  </si>
  <si>
    <t xml:space="preserve">960351#1
</t>
  </si>
  <si>
    <t>Rapsa</t>
  </si>
  <si>
    <t>Case rejected.</t>
  </si>
  <si>
    <t>4470171#1</t>
  </si>
  <si>
    <t>Soldmant</t>
  </si>
  <si>
    <t>4372037#1</t>
  </si>
  <si>
    <t>Itysa</t>
  </si>
  <si>
    <t>4395102#1</t>
  </si>
  <si>
    <t xml:space="preserve">Verdical
</t>
  </si>
  <si>
    <t>4475383#1</t>
  </si>
  <si>
    <t>Mimar</t>
  </si>
  <si>
    <t>4499210#1</t>
  </si>
  <si>
    <t>Picoarquitectos</t>
  </si>
  <si>
    <t>4448486#1</t>
  </si>
  <si>
    <t>Otif</t>
  </si>
  <si>
    <t xml:space="preserve">1127489#1
</t>
  </si>
  <si>
    <t>ARSAGAL TECNOLOGIA APLICADA EN INFORMATICA SA DE CV</t>
  </si>
  <si>
    <t>4505403#1</t>
  </si>
  <si>
    <t>Librebra</t>
  </si>
  <si>
    <t xml:space="preserve">4479003#1
</t>
  </si>
  <si>
    <t xml:space="preserve">4479003#1
</t>
  </si>
  <si>
    <t>4391511#1</t>
  </si>
  <si>
    <t>Ecofast</t>
  </si>
  <si>
    <t>4490521#1</t>
  </si>
  <si>
    <t>Nuur</t>
  </si>
  <si>
    <t>1679857#1</t>
  </si>
  <si>
    <t>YosyDesign</t>
  </si>
  <si>
    <t>4422057#1</t>
  </si>
  <si>
    <t>Morphodiseno</t>
  </si>
  <si>
    <t>4341816#1</t>
  </si>
  <si>
    <t>Viventa Desarrollos S.A</t>
  </si>
  <si>
    <t>4492227#1</t>
  </si>
  <si>
    <t>Acllogistica</t>
  </si>
  <si>
    <t>4402335#1</t>
  </si>
  <si>
    <t>Altermob</t>
  </si>
  <si>
    <t>4393737#1</t>
  </si>
  <si>
    <t>Apiros</t>
  </si>
  <si>
    <t>4475779#1</t>
  </si>
  <si>
    <t>Pdoeg</t>
  </si>
  <si>
    <t>4322254#1</t>
  </si>
  <si>
    <t>M&amp;.M Engineering</t>
  </si>
  <si>
    <t>4470998#1</t>
  </si>
  <si>
    <t>Dimomuebles</t>
  </si>
  <si>
    <t xml:space="preserve">1078725#1
</t>
  </si>
  <si>
    <t>Arista Design</t>
  </si>
  <si>
    <t>4445675#1</t>
  </si>
  <si>
    <t>Ecofusionb</t>
  </si>
  <si>
    <t>4431180#1</t>
  </si>
  <si>
    <t>Altecingenieria</t>
  </si>
  <si>
    <t>4427091#1</t>
  </si>
  <si>
    <t>Performa</t>
  </si>
  <si>
    <t>3880949#1</t>
  </si>
  <si>
    <t>Nur</t>
  </si>
  <si>
    <t>882890#1</t>
  </si>
  <si>
    <t>3dsign-arquitectura</t>
  </si>
  <si>
    <t>4435235#1</t>
  </si>
  <si>
    <t>ESMetals</t>
  </si>
  <si>
    <t xml:space="preserve">938829#1
</t>
  </si>
  <si>
    <t>Lumika Brillante Solucion S.A. de C.V.</t>
  </si>
  <si>
    <t>4472154#1</t>
  </si>
  <si>
    <t>Daiog</t>
  </si>
  <si>
    <t>4371620#1</t>
  </si>
  <si>
    <t>Mdconsultores</t>
  </si>
  <si>
    <t>3900435#1</t>
  </si>
  <si>
    <t>entraenlanube.com</t>
  </si>
  <si>
    <t>4447515#1</t>
  </si>
  <si>
    <t>Carpas &amp;. Estructuras Móviles</t>
  </si>
  <si>
    <t xml:space="preserve">4324158#1
</t>
  </si>
  <si>
    <t>Inversionescastroverde</t>
  </si>
  <si>
    <t>4485878#1</t>
  </si>
  <si>
    <t>Octopusforce</t>
  </si>
  <si>
    <t xml:space="preserve">2431619#1
</t>
  </si>
  <si>
    <t>Sistemas Cubicos</t>
  </si>
  <si>
    <t>4433909#1</t>
  </si>
  <si>
    <t>3gen</t>
  </si>
  <si>
    <t>4382766#1</t>
  </si>
  <si>
    <t>Orvelectric</t>
  </si>
  <si>
    <t>QA - Disqualified (Contact Profiling)</t>
  </si>
  <si>
    <t>4436649#1</t>
  </si>
  <si>
    <t>La Meca Concept</t>
  </si>
  <si>
    <t>4472601#1</t>
  </si>
  <si>
    <t>Covertek</t>
  </si>
  <si>
    <t xml:space="preserve">603320#1
</t>
  </si>
  <si>
    <t>Master Choice S.A. de C.V.</t>
  </si>
  <si>
    <t>4372563#1</t>
  </si>
  <si>
    <t>Myspaceds</t>
  </si>
  <si>
    <t>4502737#1</t>
  </si>
  <si>
    <t>Incapro</t>
  </si>
  <si>
    <t>4490636#1</t>
  </si>
  <si>
    <t>Scafor</t>
  </si>
  <si>
    <t xml:space="preserve">1013343#1
</t>
  </si>
  <si>
    <t>Caobadoors S.A.</t>
  </si>
  <si>
    <t>4529098#1</t>
  </si>
  <si>
    <t>Parquesanto</t>
  </si>
  <si>
    <t>4437631#1</t>
  </si>
  <si>
    <t>LBC COCINAS INTEGRALES</t>
  </si>
  <si>
    <t xml:space="preserve">4530988#1
</t>
  </si>
  <si>
    <t>Sicisa11</t>
  </si>
  <si>
    <t>4492012#1</t>
  </si>
  <si>
    <t>Multiserviciosbic</t>
  </si>
  <si>
    <t>4460331#1</t>
  </si>
  <si>
    <t>Abx</t>
  </si>
  <si>
    <t>1432526#1</t>
  </si>
  <si>
    <t>dwg studio sac</t>
  </si>
  <si>
    <t>4378168#1</t>
  </si>
  <si>
    <t>Envaseshv</t>
  </si>
  <si>
    <t>4497270#1</t>
  </si>
  <si>
    <t>Indusur</t>
  </si>
  <si>
    <t>4448047#1</t>
  </si>
  <si>
    <t>Renovable</t>
  </si>
  <si>
    <t>4484498#1</t>
  </si>
  <si>
    <t>Empresasestrada</t>
  </si>
  <si>
    <t>1182060#1</t>
  </si>
  <si>
    <t>Tinkko Coworking</t>
  </si>
  <si>
    <t>4442942#1</t>
  </si>
  <si>
    <t>Conamesv</t>
  </si>
  <si>
    <t>4482262#1</t>
  </si>
  <si>
    <t>Reparame</t>
  </si>
  <si>
    <t>1777798#1</t>
  </si>
  <si>
    <t>KATaero</t>
  </si>
  <si>
    <t>4460049#1</t>
  </si>
  <si>
    <t>Tinajeroarquitectura</t>
  </si>
  <si>
    <t>2428334#1</t>
  </si>
  <si>
    <t>Wesol</t>
  </si>
  <si>
    <t>4451709#1</t>
  </si>
  <si>
    <t>Casasespacios</t>
  </si>
  <si>
    <t>3891699#1</t>
  </si>
  <si>
    <t>Fgoyes</t>
  </si>
  <si>
    <t xml:space="preserve">4438766#1
</t>
  </si>
  <si>
    <t>Consudespro</t>
  </si>
  <si>
    <t>4416785#1</t>
  </si>
  <si>
    <t>Excolbi</t>
  </si>
  <si>
    <t>3940227#1</t>
  </si>
  <si>
    <t>Tcsa</t>
  </si>
  <si>
    <t>3257064#1</t>
  </si>
  <si>
    <t>Jethandling</t>
  </si>
  <si>
    <t>996187#1</t>
  </si>
  <si>
    <t>HVACalderón Diseño, S.A. de C.V.</t>
  </si>
  <si>
    <t xml:space="preserve">4419473#1
</t>
  </si>
  <si>
    <t>Sycbelding</t>
  </si>
  <si>
    <t>4368825#1</t>
  </si>
  <si>
    <t>GSM Globalite S.A. - Safety para tareas MRO (Mantenimiento, Reparación y Operaciones)</t>
  </si>
  <si>
    <t>4437266#1</t>
  </si>
  <si>
    <t>Afdcr</t>
  </si>
  <si>
    <t>1911275#1, 4334727#1</t>
  </si>
  <si>
    <t xml:space="preserve">Multiexport Foods
</t>
  </si>
  <si>
    <t>4388738#1</t>
  </si>
  <si>
    <t>Maesolution</t>
  </si>
  <si>
    <t>4447843#1</t>
  </si>
  <si>
    <t>Missionpetroleum</t>
  </si>
  <si>
    <t>1067514#1</t>
  </si>
  <si>
    <t>A3D Visualización</t>
  </si>
  <si>
    <t>4529341#1</t>
  </si>
  <si>
    <t>Stmp</t>
  </si>
  <si>
    <t>4368388#1</t>
  </si>
  <si>
    <t>Santacatalina</t>
  </si>
  <si>
    <t>4425237#1</t>
  </si>
  <si>
    <t>Verdeaquacr</t>
  </si>
  <si>
    <t>4340535#1</t>
  </si>
  <si>
    <t>Electrical</t>
  </si>
  <si>
    <t>4386113#1</t>
  </si>
  <si>
    <t>Sydm</t>
  </si>
  <si>
    <t>2295237#1</t>
  </si>
  <si>
    <t>Rectiequipos</t>
  </si>
  <si>
    <t>4399058#1</t>
  </si>
  <si>
    <t>Autosasa</t>
  </si>
  <si>
    <t>3122364#1</t>
  </si>
  <si>
    <t>Wellcr</t>
  </si>
  <si>
    <t>4431670#1</t>
  </si>
  <si>
    <t>Gasgreen</t>
  </si>
  <si>
    <t>4441811#1</t>
  </si>
  <si>
    <t>Globaldoorscr</t>
  </si>
  <si>
    <t>4341641#1</t>
  </si>
  <si>
    <t>Enerside</t>
  </si>
  <si>
    <t>4390638#1</t>
  </si>
  <si>
    <t>Ipsmty</t>
  </si>
  <si>
    <t>4466559#1</t>
  </si>
  <si>
    <t>Mauriciosalazar</t>
  </si>
  <si>
    <t>3939708#1</t>
  </si>
  <si>
    <t>Corinfar</t>
  </si>
  <si>
    <t>911249#2</t>
  </si>
  <si>
    <t xml:space="preserve">AVANCE - Avalúos, inspeccione
</t>
  </si>
  <si>
    <t>3563324#1</t>
  </si>
  <si>
    <t>Sertecinecuador</t>
  </si>
  <si>
    <t>4430812#1</t>
  </si>
  <si>
    <t>Blockcr</t>
  </si>
  <si>
    <t>4434946#1</t>
  </si>
  <si>
    <t xml:space="preserve">Cedric
</t>
  </si>
  <si>
    <t>4432926#1</t>
  </si>
  <si>
    <t xml:space="preserve">Ncreativefactory
</t>
  </si>
  <si>
    <t>4376102#1</t>
  </si>
  <si>
    <t>Imaster</t>
  </si>
  <si>
    <t>4319513#1</t>
  </si>
  <si>
    <t>CADELGA</t>
  </si>
  <si>
    <t>769449#2</t>
  </si>
  <si>
    <t>Empresa Electrica De Guatemala</t>
  </si>
  <si>
    <t>4338716#1</t>
  </si>
  <si>
    <t>The Coach</t>
  </si>
  <si>
    <t>4330592#1</t>
  </si>
  <si>
    <t>Thekitchen</t>
  </si>
  <si>
    <t>4447014#1</t>
  </si>
  <si>
    <t>Drogueria Hofmann Sac</t>
  </si>
  <si>
    <t>4382296#1</t>
  </si>
  <si>
    <t>Promospublicidad</t>
  </si>
  <si>
    <t>4402047#1</t>
  </si>
  <si>
    <t>Renderstudiogg</t>
  </si>
  <si>
    <t>4470997#1</t>
  </si>
  <si>
    <t>Burosa</t>
  </si>
  <si>
    <t>4378695#1</t>
  </si>
  <si>
    <t>Imviqsa</t>
  </si>
  <si>
    <t>1078706#1</t>
  </si>
  <si>
    <t>Dicertcorp</t>
  </si>
  <si>
    <t>4460507#1</t>
  </si>
  <si>
    <t>Berkeleycr</t>
  </si>
  <si>
    <t>4479606#1</t>
  </si>
  <si>
    <t>Latinproducts</t>
  </si>
  <si>
    <t>587848#1</t>
  </si>
  <si>
    <t>Compuprisma</t>
  </si>
  <si>
    <t>1081773#1</t>
  </si>
  <si>
    <t>Jaime Leiva Cardenas</t>
  </si>
  <si>
    <t>4493840#1</t>
  </si>
  <si>
    <t>Siman</t>
  </si>
  <si>
    <t>1715621#1</t>
  </si>
  <si>
    <t>INVERSIERRA S.A</t>
  </si>
  <si>
    <t>4448506#1</t>
  </si>
  <si>
    <t>Kitchenelizar</t>
  </si>
  <si>
    <t>4476077#1</t>
  </si>
  <si>
    <t>Concreacero</t>
  </si>
  <si>
    <t>387403#1</t>
  </si>
  <si>
    <t>aura architects</t>
  </si>
  <si>
    <t>2207682#1</t>
  </si>
  <si>
    <t>Hector Aquiles Mansilla Alvarez</t>
  </si>
  <si>
    <t>3582959#1</t>
  </si>
  <si>
    <t>Casalilas</t>
  </si>
  <si>
    <t>1915087#1</t>
  </si>
  <si>
    <t>Sepanel, S.A. de C.V.</t>
  </si>
  <si>
    <t>1982868#1</t>
  </si>
  <si>
    <t>Rally Ltda.</t>
  </si>
  <si>
    <t>4468880#1</t>
  </si>
  <si>
    <t>Asfaltosmecsa</t>
  </si>
  <si>
    <t>4413669#1</t>
  </si>
  <si>
    <t>Crcsas</t>
  </si>
  <si>
    <t>4377683#1</t>
  </si>
  <si>
    <t>Trimansa</t>
  </si>
  <si>
    <t>4521734#1</t>
  </si>
  <si>
    <t>Designconexion</t>
  </si>
  <si>
    <t>1676075#1</t>
  </si>
  <si>
    <t xml:space="preserve">IDS Mechatronics
</t>
  </si>
  <si>
    <t>4382544#1</t>
  </si>
  <si>
    <t>Iatigmc</t>
  </si>
  <si>
    <t>2416702#1</t>
  </si>
  <si>
    <t>It (Juan Carlos Sotomayor Correa)</t>
  </si>
  <si>
    <t>3586563#1</t>
  </si>
  <si>
    <t>Tazzer</t>
  </si>
  <si>
    <t>4432648#1</t>
  </si>
  <si>
    <t>Dielco</t>
  </si>
  <si>
    <t>217110#2</t>
  </si>
  <si>
    <t>Popcase Marketing, S.A. De C.V.</t>
  </si>
  <si>
    <t>4458957#1</t>
  </si>
  <si>
    <t>Utmagistralsalud</t>
  </si>
  <si>
    <t>906417#1</t>
  </si>
  <si>
    <t>Lcinfra</t>
  </si>
  <si>
    <t>2476717#1</t>
  </si>
  <si>
    <t>NEUBOX</t>
  </si>
  <si>
    <t>4499547#1</t>
  </si>
  <si>
    <t>Prietoschaffer</t>
  </si>
  <si>
    <t xml:space="preserve">561835#1
</t>
  </si>
  <si>
    <t>Koop Sheet Metal</t>
  </si>
  <si>
    <t>4395005#1</t>
  </si>
  <si>
    <t>Constructoravalu</t>
  </si>
  <si>
    <t>4338265#1</t>
  </si>
  <si>
    <t xml:space="preserve">Kohyoungamerica
</t>
  </si>
  <si>
    <t>719223#2</t>
  </si>
  <si>
    <t>Unispan Colombia S.A.S</t>
  </si>
  <si>
    <t>1658317#1</t>
  </si>
  <si>
    <t>BTG Americas</t>
  </si>
  <si>
    <t>4527770#1</t>
  </si>
  <si>
    <t>Katerinajofre</t>
  </si>
  <si>
    <t>4387695#1</t>
  </si>
  <si>
    <t>Iemmsa</t>
  </si>
  <si>
    <t>1096910#1</t>
  </si>
  <si>
    <t>A Urbano Construcciones</t>
  </si>
  <si>
    <t>2010682#1</t>
  </si>
  <si>
    <t>Rotugra Construcciones, S.A. De C.V.</t>
  </si>
  <si>
    <t>4417782#1</t>
  </si>
  <si>
    <t>Esdeco</t>
  </si>
  <si>
    <t>1913389#1</t>
  </si>
  <si>
    <t>Empresa de Servicios en Energías Renovables S.A.</t>
  </si>
  <si>
    <t>703756#2</t>
  </si>
  <si>
    <t>Gpromec</t>
  </si>
  <si>
    <t>1743644#1</t>
  </si>
  <si>
    <t>Miguel Angel Lopez</t>
  </si>
  <si>
    <t>4335905#1</t>
  </si>
  <si>
    <t>Brutal Agencia</t>
  </si>
  <si>
    <t>4277621#1</t>
  </si>
  <si>
    <t>The Panama Clinic Medical S.A.</t>
  </si>
  <si>
    <t>4438107#1</t>
  </si>
  <si>
    <t>Kostazul</t>
  </si>
  <si>
    <t>1362439#1</t>
  </si>
  <si>
    <t>CAPISA</t>
  </si>
  <si>
    <t>4250876#1</t>
  </si>
  <si>
    <t>Eepg</t>
  </si>
  <si>
    <t>1074504#1</t>
  </si>
  <si>
    <t>Ieworldwide</t>
  </si>
  <si>
    <t>4381847#1</t>
  </si>
  <si>
    <t>Amalgama</t>
  </si>
  <si>
    <t>4450547#</t>
  </si>
  <si>
    <t>Fvdistribuciones</t>
  </si>
  <si>
    <t>4413897#1</t>
  </si>
  <si>
    <t>Mayerli.Ordones</t>
  </si>
  <si>
    <t>325181#1</t>
  </si>
  <si>
    <t>Zeller &amp; Moye</t>
  </si>
  <si>
    <t>4435484#1</t>
  </si>
  <si>
    <t>Libreriasbookcenter</t>
  </si>
  <si>
    <t xml:space="preserve">2218622#1
</t>
  </si>
  <si>
    <t>Polyken S.A. de C.V.</t>
  </si>
  <si>
    <t>4448827#1</t>
  </si>
  <si>
    <t xml:space="preserve">Transgesa
</t>
  </si>
  <si>
    <t>4447726#1</t>
  </si>
  <si>
    <t>Dcbcostarica</t>
  </si>
  <si>
    <t>4519919#1</t>
  </si>
  <si>
    <t>Atticadesign</t>
  </si>
  <si>
    <t>2000411#1</t>
  </si>
  <si>
    <t>Grupoconstructorss</t>
  </si>
  <si>
    <t>4410588#1</t>
  </si>
  <si>
    <t>Abecosistemas</t>
  </si>
  <si>
    <t>4432955#1</t>
  </si>
  <si>
    <t>Sycomex</t>
  </si>
  <si>
    <t>4449005#1</t>
  </si>
  <si>
    <t xml:space="preserve">Invexsa SpA
</t>
  </si>
  <si>
    <t>4525285#1</t>
  </si>
  <si>
    <t>Airbrush</t>
  </si>
  <si>
    <t>4514847#1</t>
  </si>
  <si>
    <t>Monadconstruccion</t>
  </si>
  <si>
    <t>2336238#1</t>
  </si>
  <si>
    <t>Sistemas Europeos de Cancelería S.A. de C.V.</t>
  </si>
  <si>
    <t>1294314#1</t>
  </si>
  <si>
    <t>De Bracamonte, Haaker &amp; Castellares Abogados</t>
  </si>
  <si>
    <t xml:space="preserve">4335906#1
</t>
  </si>
  <si>
    <t>JR Inmobiliaria Bienes Raíces</t>
  </si>
  <si>
    <t>4439829#1</t>
  </si>
  <si>
    <t>Ziontec Servicios SpA</t>
  </si>
  <si>
    <t>322331#1</t>
  </si>
  <si>
    <t>Vientoencontra</t>
  </si>
  <si>
    <t>4520359#1</t>
  </si>
  <si>
    <t>Nexabpo</t>
  </si>
  <si>
    <t>4461329#1</t>
  </si>
  <si>
    <t>Gservicecorp</t>
  </si>
  <si>
    <t>1659533#1</t>
  </si>
  <si>
    <t>Bacata Ingenieros</t>
  </si>
  <si>
    <t>4332496#1</t>
  </si>
  <si>
    <t>Depromix</t>
  </si>
  <si>
    <t>1577995#1</t>
  </si>
  <si>
    <t>Rodrigo Eduardo Hunrichse Poblete</t>
  </si>
  <si>
    <t>4469856#1</t>
  </si>
  <si>
    <t>Eymsa</t>
  </si>
  <si>
    <t>4521326#1</t>
  </si>
  <si>
    <t>Imporrepuestos</t>
  </si>
  <si>
    <t>2142385#1</t>
  </si>
  <si>
    <t>Ingeniería Electromecánica Friman S.A. de C.V. INELEF</t>
  </si>
  <si>
    <t>419913#1</t>
  </si>
  <si>
    <t>Grundfos México</t>
  </si>
  <si>
    <t>3638359#2</t>
  </si>
  <si>
    <t>NuevoSur</t>
  </si>
  <si>
    <t>4209361#1</t>
  </si>
  <si>
    <t>RESTAURANTE DON CARLOS - QUETZALTENANGO.</t>
  </si>
  <si>
    <t>4392229#1</t>
  </si>
  <si>
    <t>Fleteya</t>
  </si>
  <si>
    <t>3273935#1</t>
  </si>
  <si>
    <t>Fyttsa</t>
  </si>
  <si>
    <t>3443029#1</t>
  </si>
  <si>
    <t>Realtyworld</t>
  </si>
  <si>
    <t>4459069#1</t>
  </si>
  <si>
    <t>Erarquitecto</t>
  </si>
  <si>
    <t>4428783#1</t>
  </si>
  <si>
    <t>Plasticinalab</t>
  </si>
  <si>
    <t>3563251#1</t>
  </si>
  <si>
    <t>Andamik</t>
  </si>
  <si>
    <t>4475879#1</t>
  </si>
  <si>
    <t>Disintair</t>
  </si>
  <si>
    <t>3881267#1</t>
  </si>
  <si>
    <t>Panamalighting</t>
  </si>
  <si>
    <t>4374348#1</t>
  </si>
  <si>
    <t>Escenariumevents</t>
  </si>
  <si>
    <t>4389404#1</t>
  </si>
  <si>
    <t>Novocolor</t>
  </si>
  <si>
    <t>4415137#1</t>
  </si>
  <si>
    <t xml:space="preserve">Flexseal
</t>
  </si>
  <si>
    <t>1549052#1</t>
  </si>
  <si>
    <t>ESAVE</t>
  </si>
  <si>
    <t>4458358#1</t>
  </si>
  <si>
    <t>Beone</t>
  </si>
  <si>
    <t>1612152#1</t>
  </si>
  <si>
    <t>MPS Dominicana</t>
  </si>
  <si>
    <t>4332273#1</t>
  </si>
  <si>
    <t>Aduanadonoso</t>
  </si>
  <si>
    <t>4449575#1</t>
  </si>
  <si>
    <t>Nmhn</t>
  </si>
  <si>
    <t>4427874#1</t>
  </si>
  <si>
    <t>Macservicios</t>
  </si>
  <si>
    <t>3545723#1</t>
  </si>
  <si>
    <t>Teknik</t>
  </si>
  <si>
    <t>4434407#1</t>
  </si>
  <si>
    <t>Esquisse Group</t>
  </si>
  <si>
    <t>900778#1</t>
  </si>
  <si>
    <t>Tendencia S.A</t>
  </si>
  <si>
    <t>4333029#1</t>
  </si>
  <si>
    <t xml:space="preserve">Site Chile S.A.
</t>
  </si>
  <si>
    <t>4302182#1</t>
  </si>
  <si>
    <t>Opgash</t>
  </si>
  <si>
    <t>4377765#1</t>
  </si>
  <si>
    <t>Chilerayo</t>
  </si>
  <si>
    <t>1797816#1</t>
  </si>
  <si>
    <t>Intech</t>
  </si>
  <si>
    <t>4461279#1</t>
  </si>
  <si>
    <t>Inerciachile</t>
  </si>
  <si>
    <t>1029478#1</t>
  </si>
  <si>
    <t>Ingeniería Atlántico</t>
  </si>
  <si>
    <t>4463109#1</t>
  </si>
  <si>
    <t>Arqcattaneo</t>
  </si>
  <si>
    <t>4330507#1</t>
  </si>
  <si>
    <t>CORPORATIVO SITPE SOLUCIONES</t>
  </si>
  <si>
    <t>4432049#1</t>
  </si>
  <si>
    <t>Sungrowamericas</t>
  </si>
  <si>
    <t>2075885#1</t>
  </si>
  <si>
    <t>Sublima</t>
  </si>
  <si>
    <t>4372560#1</t>
  </si>
  <si>
    <t>Gygarquitectos</t>
  </si>
  <si>
    <t>907979#1</t>
  </si>
  <si>
    <t>Prosi PVS Chemicals, SA de CV</t>
  </si>
  <si>
    <t>4434408#1</t>
  </si>
  <si>
    <t>Marini estudio</t>
  </si>
  <si>
    <t>4369007#1</t>
  </si>
  <si>
    <t>Ramcorproducciones</t>
  </si>
  <si>
    <t>4398545#1</t>
  </si>
  <si>
    <t>Kombuchu</t>
  </si>
  <si>
    <t>926507#1</t>
  </si>
  <si>
    <t>Impleind</t>
  </si>
  <si>
    <t>4178743#1</t>
  </si>
  <si>
    <t>Impagro</t>
  </si>
  <si>
    <t>2380481#1</t>
  </si>
  <si>
    <t>Grupo Profesional Planeacion y Proyectos, S.A. de C.V.</t>
  </si>
  <si>
    <t>3890328#1</t>
  </si>
  <si>
    <t>Transportes Montalvan S.A</t>
  </si>
  <si>
    <t>3399269#1</t>
  </si>
  <si>
    <t>Rodinox</t>
  </si>
  <si>
    <t>3124560#1</t>
  </si>
  <si>
    <t>Ccisupply</t>
  </si>
  <si>
    <t>1592105#1</t>
  </si>
  <si>
    <t>Francisco Jose Miguel Gonzales</t>
  </si>
  <si>
    <t>4335017#1</t>
  </si>
  <si>
    <t>Fadimet</t>
  </si>
  <si>
    <t>4331267#1</t>
  </si>
  <si>
    <t>Alumina Argentina</t>
  </si>
  <si>
    <t>1708720#1</t>
  </si>
  <si>
    <t>Agsa</t>
  </si>
  <si>
    <t>4382315#1</t>
  </si>
  <si>
    <t>Elpalaciodelascocinasfontibon</t>
  </si>
  <si>
    <t>2356249#1</t>
  </si>
  <si>
    <t>Fecaza</t>
  </si>
  <si>
    <t>4372481#1</t>
  </si>
  <si>
    <t>Silvera</t>
  </si>
  <si>
    <t>2291550#1</t>
  </si>
  <si>
    <t>Immresource</t>
  </si>
  <si>
    <t>4386973#1</t>
  </si>
  <si>
    <t>Co-Ol Limitada</t>
  </si>
  <si>
    <t>964684#1</t>
  </si>
  <si>
    <t>CARIFEX, srl.</t>
  </si>
  <si>
    <t>4523418#1</t>
  </si>
  <si>
    <t>Forcenter</t>
  </si>
  <si>
    <t>2367354#6</t>
  </si>
  <si>
    <t>Mexican Institute of Petroleum (Instituto Mexicano del Petróleo)</t>
  </si>
  <si>
    <t>Case related with 199099#5.</t>
  </si>
  <si>
    <t>4435571#1</t>
  </si>
  <si>
    <t>Eldeber</t>
  </si>
  <si>
    <t>3887062#1</t>
  </si>
  <si>
    <t>Santiagocountryclub</t>
  </si>
  <si>
    <t>4447719#1</t>
  </si>
  <si>
    <t>Clonsa</t>
  </si>
  <si>
    <t>4382471#1</t>
  </si>
  <si>
    <t>Aswshanghai</t>
  </si>
  <si>
    <t>4521174#1</t>
  </si>
  <si>
    <t>Unionbatsa</t>
  </si>
  <si>
    <t>4528937#1</t>
  </si>
  <si>
    <t>Geaeco</t>
  </si>
  <si>
    <t>4432951#1</t>
  </si>
  <si>
    <t>Ruahtec</t>
  </si>
  <si>
    <t>2357872#1</t>
  </si>
  <si>
    <t>Proffinox SA de CV</t>
  </si>
  <si>
    <t>4361363#1</t>
  </si>
  <si>
    <t>Inmocredex</t>
  </si>
  <si>
    <t>4458907#1</t>
  </si>
  <si>
    <t>Chaconarq</t>
  </si>
  <si>
    <t>4527957#1</t>
  </si>
  <si>
    <t>Natpro</t>
  </si>
  <si>
    <t>4399038#1</t>
  </si>
  <si>
    <t xml:space="preserve">Cao
</t>
  </si>
  <si>
    <t>4458938#1</t>
  </si>
  <si>
    <t>Conexsteel</t>
  </si>
  <si>
    <t>3439403#1</t>
  </si>
  <si>
    <t>1&amp;.1 Internet Inc</t>
  </si>
  <si>
    <t>4418476#1</t>
  </si>
  <si>
    <t>Metalbuild</t>
  </si>
  <si>
    <t>4503276#1</t>
  </si>
  <si>
    <t>Zofracro</t>
  </si>
  <si>
    <t>4525063#1</t>
  </si>
  <si>
    <t>Dibell</t>
  </si>
  <si>
    <t>4464177#1</t>
  </si>
  <si>
    <t>Grundic</t>
  </si>
  <si>
    <t>4431098#1</t>
  </si>
  <si>
    <t>Grafcolors</t>
  </si>
  <si>
    <t>Rejected</t>
  </si>
  <si>
    <t>424723#1</t>
  </si>
  <si>
    <t>Cunadi Tours</t>
  </si>
  <si>
    <t>4500412#1</t>
  </si>
  <si>
    <t>Huasi</t>
  </si>
  <si>
    <t>4458116#1</t>
  </si>
  <si>
    <t>Azure</t>
  </si>
  <si>
    <t>4435988#1</t>
  </si>
  <si>
    <t>Nuevacostanera</t>
  </si>
  <si>
    <t>4491553#1</t>
  </si>
  <si>
    <t>Diversoestudio</t>
  </si>
  <si>
    <t>1599217#1</t>
  </si>
  <si>
    <t>Perú Abogados</t>
  </si>
  <si>
    <t>3404257#1</t>
  </si>
  <si>
    <t>Pinfra</t>
  </si>
  <si>
    <t>4448490#1</t>
  </si>
  <si>
    <t>Arpay Branding Solutions</t>
  </si>
  <si>
    <t>4432101#1</t>
  </si>
  <si>
    <t>Paragasgt</t>
  </si>
  <si>
    <t>4521743#1</t>
  </si>
  <si>
    <t>Quelimpio</t>
  </si>
  <si>
    <t>4488793#1</t>
  </si>
  <si>
    <t>Duepei</t>
  </si>
  <si>
    <t>4385499#1</t>
  </si>
  <si>
    <t xml:space="preserve">Mueblesronny
</t>
  </si>
  <si>
    <t>4463694#1</t>
  </si>
  <si>
    <t>Continueit</t>
  </si>
  <si>
    <t>4329207#1</t>
  </si>
  <si>
    <t>Cedivenbo</t>
  </si>
  <si>
    <t>4390782#1</t>
  </si>
  <si>
    <t>Dcl</t>
  </si>
  <si>
    <t>4521305#1</t>
  </si>
  <si>
    <t>Xelena</t>
  </si>
  <si>
    <t>4433661#1</t>
  </si>
  <si>
    <t>Giapower</t>
  </si>
  <si>
    <t>2487390#1</t>
  </si>
  <si>
    <t>Jean Pierre Bautista Martinez</t>
  </si>
  <si>
    <t>Same entity as case 729090#1</t>
  </si>
  <si>
    <t>4400315#1</t>
  </si>
  <si>
    <t>Toscanacabos</t>
  </si>
  <si>
    <t>1950258#1</t>
  </si>
  <si>
    <t>Ingenieria y Servicios Medeiros Ltda (RODNEY JABES MEDEIROS RENEDO)</t>
  </si>
  <si>
    <t>4495385#1</t>
  </si>
  <si>
    <t>Imodu</t>
  </si>
  <si>
    <t>4468376#1</t>
  </si>
  <si>
    <t>Mitsuba</t>
  </si>
  <si>
    <t>4391156#1</t>
  </si>
  <si>
    <t>Galu</t>
  </si>
  <si>
    <t>729090#1</t>
  </si>
  <si>
    <t>Grupo Modulor S.A.C</t>
  </si>
  <si>
    <t>Duplicate</t>
  </si>
  <si>
    <t>4393387#1</t>
  </si>
  <si>
    <t>Reltic</t>
  </si>
  <si>
    <t>1765044#1</t>
  </si>
  <si>
    <t>Decoll</t>
  </si>
  <si>
    <t>4449804#1</t>
  </si>
  <si>
    <t>Maderas Ibericas</t>
  </si>
  <si>
    <t>4446320#1</t>
  </si>
  <si>
    <t>SCHWARTZ VRENA SRL</t>
  </si>
  <si>
    <t>4378648#1</t>
  </si>
  <si>
    <t>Impulsolar</t>
  </si>
  <si>
    <t>4451041#1</t>
  </si>
  <si>
    <t>Calmanrep</t>
  </si>
  <si>
    <t>4386405#1</t>
  </si>
  <si>
    <t>Grupoamasb</t>
  </si>
  <si>
    <t>1972937#1</t>
  </si>
  <si>
    <t>Mariolara</t>
  </si>
  <si>
    <t>4449261#1</t>
  </si>
  <si>
    <t>Tecdimcsa</t>
  </si>
  <si>
    <t>4444558#1</t>
  </si>
  <si>
    <t>Acontri</t>
  </si>
  <si>
    <t>4428165#1</t>
  </si>
  <si>
    <t>Climaproyectos</t>
  </si>
  <si>
    <t>4431437#1</t>
  </si>
  <si>
    <t xml:space="preserve">Bistrocomunica
</t>
  </si>
  <si>
    <t>1914486#1</t>
  </si>
  <si>
    <t>Grupo 365</t>
  </si>
  <si>
    <t>3409283#1</t>
  </si>
  <si>
    <t xml:space="preserve">Open Comet
</t>
  </si>
  <si>
    <t>4447897#1</t>
  </si>
  <si>
    <t>Cixsa</t>
  </si>
  <si>
    <t>4392588#1</t>
  </si>
  <si>
    <t xml:space="preserve">Antaestudio
</t>
  </si>
  <si>
    <t>4415545#1</t>
  </si>
  <si>
    <t xml:space="preserve">Proyecto5
</t>
  </si>
  <si>
    <t>1061885#1</t>
  </si>
  <si>
    <t>Supervisiones Tecnicas y Control de Calidad, SA de CV</t>
  </si>
  <si>
    <t>4383859#1</t>
  </si>
  <si>
    <t>Hzgroup</t>
  </si>
  <si>
    <t>4443806#1</t>
  </si>
  <si>
    <t>Ophtech</t>
  </si>
  <si>
    <t>2243173#1</t>
  </si>
  <si>
    <t>daniel pineda</t>
  </si>
  <si>
    <t>2403914#1</t>
  </si>
  <si>
    <t>Latin America Trips</t>
  </si>
  <si>
    <t>4341651#1</t>
  </si>
  <si>
    <t>ACCIONA INGENIERIA Y DESARROLLO EMPRESARIAL S.A. DE C.V.</t>
  </si>
  <si>
    <t>4315599#1</t>
  </si>
  <si>
    <t>Ewwo</t>
  </si>
  <si>
    <t>4424605#1</t>
  </si>
  <si>
    <t>Qualicons</t>
  </si>
  <si>
    <t>4335299#1</t>
  </si>
  <si>
    <t>MAPFRE - BHD Seguros</t>
  </si>
  <si>
    <t>4385071#1</t>
  </si>
  <si>
    <t>Layer</t>
  </si>
  <si>
    <t>2024541#1</t>
  </si>
  <si>
    <t>Empresa De Seguridad Kanan Seguridad Fisica y Electrónica</t>
  </si>
  <si>
    <t>4445783#1</t>
  </si>
  <si>
    <t>Estudio Manissero Contadores Públicos</t>
  </si>
  <si>
    <t>4440302#1</t>
  </si>
  <si>
    <t>Conexyner SRL</t>
  </si>
  <si>
    <t>4414443#1</t>
  </si>
  <si>
    <t>Lagranvia2</t>
  </si>
  <si>
    <t>4413777#1</t>
  </si>
  <si>
    <t>Feingenieria</t>
  </si>
  <si>
    <t>2252306#1</t>
  </si>
  <si>
    <t>Grupo Lighting</t>
  </si>
  <si>
    <t>4460527#1</t>
  </si>
  <si>
    <t>Interquimicasa</t>
  </si>
  <si>
    <t>4523216#1</t>
  </si>
  <si>
    <t>Asiloexpress</t>
  </si>
  <si>
    <t>3856686#1</t>
  </si>
  <si>
    <t>Corporacion Mercantil Salvadorena S.A. De C.V</t>
  </si>
  <si>
    <t>1655604#1</t>
  </si>
  <si>
    <t xml:space="preserve">Vorwerk - Chile
</t>
  </si>
  <si>
    <t>3473880#1</t>
  </si>
  <si>
    <t>HYDROCALSAN SA de CV</t>
  </si>
  <si>
    <t>1073823#1, 853030#2</t>
  </si>
  <si>
    <t>EXACTOPERU Marketing Inmobiliario, construction and real estate Kallpa - sales departments</t>
  </si>
  <si>
    <t>4460102#1</t>
  </si>
  <si>
    <t>Grupoadipsa</t>
  </si>
  <si>
    <t>4434387#1</t>
  </si>
  <si>
    <t>Hedmarkdc</t>
  </si>
  <si>
    <t>4460743#1</t>
  </si>
  <si>
    <t>Zanolo</t>
  </si>
  <si>
    <t>3252089#1</t>
  </si>
  <si>
    <t>Eleganciacloset</t>
  </si>
  <si>
    <t>4375200#1</t>
  </si>
  <si>
    <t>Remansaperu</t>
  </si>
  <si>
    <t>4470747#1</t>
  </si>
  <si>
    <t>Grupocap</t>
  </si>
  <si>
    <t>4179265#1</t>
  </si>
  <si>
    <t>Aiser</t>
  </si>
  <si>
    <t>4434133#1</t>
  </si>
  <si>
    <t>Eprecosrl</t>
  </si>
  <si>
    <t>2379086#1</t>
  </si>
  <si>
    <t>Davyek</t>
  </si>
  <si>
    <t>4375329#1</t>
  </si>
  <si>
    <t>Steelasesor</t>
  </si>
  <si>
    <t>4526562#1</t>
  </si>
  <si>
    <t>Mayoreodelistmocr</t>
  </si>
  <si>
    <t>381116#1</t>
  </si>
  <si>
    <t>Carpenterswoodworks</t>
  </si>
  <si>
    <t>4467179#1</t>
  </si>
  <si>
    <t>Carroceriasculpina</t>
  </si>
  <si>
    <t>3257401#1</t>
  </si>
  <si>
    <t>Muebles Arcano</t>
  </si>
  <si>
    <t>4417095#1</t>
  </si>
  <si>
    <t>Caletadesarrollos</t>
  </si>
  <si>
    <t>4480724#1</t>
  </si>
  <si>
    <t>Itqscr</t>
  </si>
  <si>
    <t>1091867#1</t>
  </si>
  <si>
    <t>Farmers Trading Center</t>
  </si>
  <si>
    <t>4319402#1</t>
  </si>
  <si>
    <t>Transchemicalsa</t>
  </si>
  <si>
    <t>3256185#1</t>
  </si>
  <si>
    <t>Forest</t>
  </si>
  <si>
    <t>3581383#1</t>
  </si>
  <si>
    <t>Proanalisis S.A</t>
  </si>
  <si>
    <t>4448757#1</t>
  </si>
  <si>
    <t>Koolmovilcr</t>
  </si>
  <si>
    <t>1179284#1</t>
  </si>
  <si>
    <t>Hummingbird Distributors</t>
  </si>
  <si>
    <t>4422196#1</t>
  </si>
  <si>
    <t>Serelmeg</t>
  </si>
  <si>
    <t>2441200#1</t>
  </si>
  <si>
    <t>Creafs</t>
  </si>
  <si>
    <t>4431418#1</t>
  </si>
  <si>
    <t>Dxelectronica</t>
  </si>
  <si>
    <t>4503645#1</t>
  </si>
  <si>
    <t>Unoconsulting</t>
  </si>
  <si>
    <t>4515980#1</t>
  </si>
  <si>
    <t>Sieesacr</t>
  </si>
  <si>
    <t>4465868#1</t>
  </si>
  <si>
    <t>Conmebol</t>
  </si>
  <si>
    <t>Case related with case 4187140#1
and was attended by Kasznar. Rejected</t>
  </si>
  <si>
    <t>4325520#1</t>
  </si>
  <si>
    <t>Incsolar</t>
  </si>
  <si>
    <t>4419648#1</t>
  </si>
  <si>
    <t>Mirasolespinturerias</t>
  </si>
  <si>
    <t>4502771#1</t>
  </si>
  <si>
    <t>Cemiing</t>
  </si>
  <si>
    <t>4446647#1</t>
  </si>
  <si>
    <t>Cenitcr</t>
  </si>
  <si>
    <t>4448964#1</t>
  </si>
  <si>
    <t>Fábrica Boliviana de Envases</t>
  </si>
  <si>
    <t>Repeated</t>
  </si>
  <si>
    <t>4375880#1</t>
  </si>
  <si>
    <t>Savycapital</t>
  </si>
  <si>
    <t>2266165#1</t>
  </si>
  <si>
    <t>Guerrero Arquitectos</t>
  </si>
  <si>
    <t>4503799#1</t>
  </si>
  <si>
    <t>Inghenia</t>
  </si>
  <si>
    <t>4423943#1</t>
  </si>
  <si>
    <t>Fundatec</t>
  </si>
  <si>
    <t>4335098#1</t>
  </si>
  <si>
    <t>Govyndaya</t>
  </si>
  <si>
    <t>4371554#1</t>
  </si>
  <si>
    <t>Tiendadeeventos</t>
  </si>
  <si>
    <t>4465898#1</t>
  </si>
  <si>
    <t>Euroseatingamerica</t>
  </si>
  <si>
    <t>1175608#1</t>
  </si>
  <si>
    <t>CONAME - Comercial Americana de Construcciones</t>
  </si>
  <si>
    <t>4453364#1</t>
  </si>
  <si>
    <t>Hidroelectrogas</t>
  </si>
  <si>
    <t>4412446#1</t>
  </si>
  <si>
    <t>Cittyarquitectos</t>
  </si>
  <si>
    <t>4384889#1</t>
  </si>
  <si>
    <t>Secapcontratistas</t>
  </si>
  <si>
    <t>4520740#1</t>
  </si>
  <si>
    <t>Pconsulting</t>
  </si>
  <si>
    <t>451200#1</t>
  </si>
  <si>
    <t>Seza</t>
  </si>
  <si>
    <t>4484481#1</t>
  </si>
  <si>
    <t xml:space="preserve">Arquiespacio
</t>
  </si>
  <si>
    <t>4341937#1</t>
  </si>
  <si>
    <t>Irondeers</t>
  </si>
  <si>
    <t>4203639#1</t>
  </si>
  <si>
    <t>Cortinasindustriales</t>
  </si>
  <si>
    <t>3550634#1</t>
  </si>
  <si>
    <t>Ilkaax</t>
  </si>
  <si>
    <t>776156#1</t>
  </si>
  <si>
    <t>Reimersfeed</t>
  </si>
  <si>
    <t>1027121#1</t>
  </si>
  <si>
    <t>Casa Grande Hotel</t>
  </si>
  <si>
    <t>4330147#1</t>
  </si>
  <si>
    <t>Assden Mexico</t>
  </si>
  <si>
    <t>Notified to reinvestigate after updating case.</t>
  </si>
  <si>
    <t>4320404#1</t>
  </si>
  <si>
    <t>Estudio Quijano Y Asociados</t>
  </si>
  <si>
    <t>3519161#1</t>
  </si>
  <si>
    <t>D artesano</t>
  </si>
  <si>
    <t>4490214#1</t>
  </si>
  <si>
    <t>Dtamet</t>
  </si>
  <si>
    <t>4395229#1</t>
  </si>
  <si>
    <t>4ce</t>
  </si>
  <si>
    <t>1679668#1</t>
  </si>
  <si>
    <t>Imprenta Editora Gráfica Real SAC</t>
  </si>
  <si>
    <t>QA Disqualified</t>
  </si>
  <si>
    <t>3548011#1</t>
  </si>
  <si>
    <t>Althera Energia Sustentable</t>
  </si>
  <si>
    <t>4479016#1</t>
  </si>
  <si>
    <t>Helmut</t>
  </si>
  <si>
    <t>4396421#1</t>
  </si>
  <si>
    <t>Bicuaarquitectura</t>
  </si>
  <si>
    <t>4332684#1</t>
  </si>
  <si>
    <t xml:space="preserve">Imaginate.pe
</t>
  </si>
  <si>
    <t>3550055#1</t>
  </si>
  <si>
    <t xml:space="preserve">Navarretearq
</t>
  </si>
  <si>
    <t>4471806#1</t>
  </si>
  <si>
    <t>Topeurbano</t>
  </si>
  <si>
    <t>4382478#1</t>
  </si>
  <si>
    <t>Ferreteriaytlapaleriamaxitlapalero</t>
  </si>
  <si>
    <t>4370860#1</t>
  </si>
  <si>
    <t>Cademil Porcelanatos</t>
  </si>
  <si>
    <t>4462880#1</t>
  </si>
  <si>
    <t>Mejingenieria</t>
  </si>
  <si>
    <t>1098597#1</t>
  </si>
  <si>
    <t>Planaltodevelopments</t>
  </si>
  <si>
    <t>2477194#1</t>
  </si>
  <si>
    <t>Obinci</t>
  </si>
  <si>
    <t>4425826#1</t>
  </si>
  <si>
    <t>Montani</t>
  </si>
  <si>
    <t>Brought from week 3 to complete the batch.</t>
  </si>
  <si>
    <t>3564445#1</t>
  </si>
  <si>
    <t xml:space="preserve">GAS IMPERIAL
</t>
  </si>
  <si>
    <t>4371128#1</t>
  </si>
  <si>
    <t>Creatamuebles</t>
  </si>
  <si>
    <t>4425543#1</t>
  </si>
  <si>
    <t>Naturalatexfoam</t>
  </si>
  <si>
    <t>959032#1</t>
  </si>
  <si>
    <t>Timbermandesigns</t>
  </si>
  <si>
    <t>4483032#1</t>
  </si>
  <si>
    <t>Hdlgt</t>
  </si>
  <si>
    <t>4422736#1</t>
  </si>
  <si>
    <t>Ipdvhn</t>
  </si>
  <si>
    <t>4413048#1</t>
  </si>
  <si>
    <t>Andares</t>
  </si>
  <si>
    <t>4407859#1</t>
  </si>
  <si>
    <t>Grupodiepsa</t>
  </si>
  <si>
    <t>4429730#1</t>
  </si>
  <si>
    <t>Industriatapicera</t>
  </si>
  <si>
    <t>2176942#1</t>
  </si>
  <si>
    <t>Saugaservices</t>
  </si>
  <si>
    <t>4360530#1</t>
  </si>
  <si>
    <t>Coopunased</t>
  </si>
  <si>
    <t>4427908#1</t>
  </si>
  <si>
    <t>Remaxrd</t>
  </si>
  <si>
    <t>3533935#1</t>
  </si>
  <si>
    <t>Jkmingenieriasa</t>
  </si>
  <si>
    <t>4499556#1</t>
  </si>
  <si>
    <t>vesta S.A</t>
  </si>
  <si>
    <t>4331169#1</t>
  </si>
  <si>
    <t>Thermo King De Panama</t>
  </si>
  <si>
    <t>4337375#1</t>
  </si>
  <si>
    <t>Copasapma</t>
  </si>
  <si>
    <t>4319475#1</t>
  </si>
  <si>
    <t>Grupochavon</t>
  </si>
  <si>
    <t>2180850#1</t>
  </si>
  <si>
    <t>nacionsushi</t>
  </si>
  <si>
    <t>2132857#1</t>
  </si>
  <si>
    <t>Traber Group S.A. de C.V.</t>
  </si>
  <si>
    <t>4393185#1</t>
  </si>
  <si>
    <t>Gc1holding</t>
  </si>
  <si>
    <t>4201472#1</t>
  </si>
  <si>
    <t>Artesanostijax</t>
  </si>
  <si>
    <t>3861317#1</t>
  </si>
  <si>
    <t>Onqoc</t>
  </si>
  <si>
    <t>4507728#1</t>
  </si>
  <si>
    <t>Harida</t>
  </si>
  <si>
    <t>1607442#1</t>
  </si>
  <si>
    <t>Becosa</t>
  </si>
  <si>
    <t>4452404#1</t>
  </si>
  <si>
    <t>Coimprit</t>
  </si>
  <si>
    <t>556392#1</t>
  </si>
  <si>
    <t>Empresa Hospitalaria Cemesa S.A./Centro Medico</t>
  </si>
  <si>
    <t>448910#1</t>
  </si>
  <si>
    <t>Taller de Urbanismo MX</t>
  </si>
  <si>
    <t>3398017#1</t>
  </si>
  <si>
    <t>Phoenixcalibration</t>
  </si>
  <si>
    <t>1089886#1</t>
  </si>
  <si>
    <t>Pingol, S.A. de C.V.</t>
  </si>
  <si>
    <t>4337293#1</t>
  </si>
  <si>
    <t>Alexandercel</t>
  </si>
  <si>
    <t>304353#1</t>
  </si>
  <si>
    <t>Servicio De Comunicacion En Linea Sa De Cv</t>
  </si>
  <si>
    <t>458033#1</t>
  </si>
  <si>
    <t>Seis Arquitectos S.A.</t>
  </si>
  <si>
    <t>617495#1</t>
  </si>
  <si>
    <t>Grupo Kamar Impulsora</t>
  </si>
  <si>
    <t xml:space="preserve">1309206#
</t>
  </si>
  <si>
    <t>Gta</t>
  </si>
  <si>
    <t>2035128#1</t>
  </si>
  <si>
    <t>Fenabel</t>
  </si>
  <si>
    <t>4371356#1</t>
  </si>
  <si>
    <t>Welsysco</t>
  </si>
  <si>
    <t>1827895#1</t>
  </si>
  <si>
    <t>Bombas Suarez S.A. de C.V.</t>
  </si>
  <si>
    <t>4395620#1</t>
  </si>
  <si>
    <t>Copre</t>
  </si>
  <si>
    <t>1627433#1</t>
  </si>
  <si>
    <t>Jogo</t>
  </si>
  <si>
    <t>4418462#1</t>
  </si>
  <si>
    <t>Gozaka</t>
  </si>
  <si>
    <t>1908896#1</t>
  </si>
  <si>
    <t>Bansbach Instrumentos Musicales</t>
  </si>
  <si>
    <t>4397361#1</t>
  </si>
  <si>
    <t>Redmarketinglab</t>
  </si>
  <si>
    <t>381113#1</t>
  </si>
  <si>
    <t>ICESA S.A.</t>
  </si>
  <si>
    <t>4509882#1</t>
  </si>
  <si>
    <t>Vadesigncr</t>
  </si>
  <si>
    <t>707921#1</t>
  </si>
  <si>
    <t>Edica</t>
  </si>
  <si>
    <t>4371794#1</t>
  </si>
  <si>
    <t>Azuliverdecr</t>
  </si>
  <si>
    <t>1076989#1</t>
  </si>
  <si>
    <t>Cymca</t>
  </si>
  <si>
    <t>4302342#1</t>
  </si>
  <si>
    <t>ICICOR Costa Rica S.A</t>
  </si>
  <si>
    <t>926633#1</t>
  </si>
  <si>
    <t>Hipotecario</t>
  </si>
  <si>
    <t>Disqualified (Data)</t>
  </si>
  <si>
    <t>3879155#1</t>
  </si>
  <si>
    <t>Bcingenieria</t>
  </si>
  <si>
    <t>1254786#1</t>
  </si>
  <si>
    <t>Fundidora Del Norte</t>
  </si>
  <si>
    <t>4327176#1</t>
  </si>
  <si>
    <t>Alumicentro</t>
  </si>
  <si>
    <t>1796135#1</t>
  </si>
  <si>
    <t>LEYDE</t>
  </si>
  <si>
    <t>917699#1</t>
  </si>
  <si>
    <t>Rimet</t>
  </si>
  <si>
    <t>337459#1</t>
  </si>
  <si>
    <t>Storecheck SA de CV</t>
  </si>
  <si>
    <t>4432095#1</t>
  </si>
  <si>
    <t>Grid</t>
  </si>
  <si>
    <t>1657508#1</t>
  </si>
  <si>
    <t>Perforadora Latina</t>
  </si>
  <si>
    <t>4439789#1</t>
  </si>
  <si>
    <t>Proindasv</t>
  </si>
  <si>
    <t>689099#2</t>
  </si>
  <si>
    <t>Ser San Antonio</t>
  </si>
  <si>
    <t>4394566#1</t>
  </si>
  <si>
    <t>Dipreco</t>
  </si>
  <si>
    <t>4640912#1</t>
  </si>
  <si>
    <t>MD Estructural SC</t>
  </si>
  <si>
    <t>905187#1</t>
  </si>
  <si>
    <t>Grupomacroaws</t>
  </si>
  <si>
    <t>1177349#1</t>
  </si>
  <si>
    <t>Food Equipment Service</t>
  </si>
  <si>
    <t>4522226#1</t>
  </si>
  <si>
    <t>Reycodelvalle</t>
  </si>
  <si>
    <t>2293257#1</t>
  </si>
  <si>
    <t>NPunto Arquitectura</t>
  </si>
  <si>
    <t>387724#1</t>
  </si>
  <si>
    <t>Unosquare, LLC</t>
  </si>
  <si>
    <t>1097950#1</t>
  </si>
  <si>
    <t>Artdesingsa</t>
  </si>
  <si>
    <t>806328#2</t>
  </si>
  <si>
    <t>Strukturat LTD</t>
  </si>
  <si>
    <t>1069991#1</t>
  </si>
  <si>
    <t>Stadium Source</t>
  </si>
  <si>
    <t>1742670#1</t>
  </si>
  <si>
    <t>MARE Desing Center</t>
  </si>
  <si>
    <t>995577#1</t>
  </si>
  <si>
    <t>Goattechs</t>
  </si>
  <si>
    <t>1044380#1</t>
  </si>
  <si>
    <t>Colegioguadalupano</t>
  </si>
  <si>
    <t>655644#1</t>
  </si>
  <si>
    <t>Estudios Tecnicos y Economicos S.A. de C.V.</t>
  </si>
  <si>
    <t>1281635#1</t>
  </si>
  <si>
    <t>Rajesh Nandwani</t>
  </si>
  <si>
    <t>294359#1</t>
  </si>
  <si>
    <t>Maderas Sostenibles</t>
  </si>
  <si>
    <t>There is another case related to the entity. Case ID 3893431#1. Status Closed - Not Won (Exhausted).</t>
  </si>
  <si>
    <t>1913530#1</t>
  </si>
  <si>
    <t>Constructora VIDES</t>
  </si>
  <si>
    <t>1079959#1</t>
  </si>
  <si>
    <t>Proyser Constructora S.A.</t>
  </si>
  <si>
    <t>1259830#1</t>
  </si>
  <si>
    <t>Revinterior</t>
  </si>
  <si>
    <t>561023#1</t>
  </si>
  <si>
    <t>Refriprosa</t>
  </si>
  <si>
    <t>4491328#1</t>
  </si>
  <si>
    <t>Preserof</t>
  </si>
  <si>
    <t>4446722#1</t>
  </si>
  <si>
    <t>Total Gráficos</t>
  </si>
  <si>
    <t>4485605#1</t>
  </si>
  <si>
    <t>Generacreative</t>
  </si>
  <si>
    <t>4441055#1</t>
  </si>
  <si>
    <t>Pasogaivt</t>
  </si>
  <si>
    <t>3875961#1</t>
  </si>
  <si>
    <t>Bajacontenedores</t>
  </si>
  <si>
    <t>1908005#1</t>
  </si>
  <si>
    <t>Avis</t>
  </si>
  <si>
    <t>998529#1</t>
  </si>
  <si>
    <t>Adan Salazar</t>
  </si>
  <si>
    <t>There is a previous case related to the entity. Case ID 671806#1. Status Closed - Not Won (Lost).</t>
  </si>
  <si>
    <t>925102#1</t>
  </si>
  <si>
    <t>INNOVAK</t>
  </si>
  <si>
    <t>3259643#1</t>
  </si>
  <si>
    <t>Rayhsa Vallejo, Sa De Cv</t>
  </si>
  <si>
    <t>4503154#1</t>
  </si>
  <si>
    <t>Olliviermadero</t>
  </si>
  <si>
    <t>Week 1
May 4-8</t>
  </si>
  <si>
    <t>Rafael</t>
  </si>
  <si>
    <t>Enrique</t>
  </si>
  <si>
    <t>MIX</t>
  </si>
  <si>
    <t>Uruguay, Bolivia, Paraguay</t>
  </si>
  <si>
    <t xml:space="preserve">Week 2
May 11-15
</t>
  </si>
  <si>
    <t>Aegis/Mariadelaida</t>
  </si>
  <si>
    <t>Aegis/Noel</t>
  </si>
  <si>
    <t>Francisco</t>
  </si>
  <si>
    <t>Golden</t>
  </si>
  <si>
    <t xml:space="preserve">Week 3
May 18-22
</t>
  </si>
  <si>
    <t>Maria Celeste</t>
  </si>
  <si>
    <t>Week 4
May 25-29</t>
  </si>
  <si>
    <t>Antonella</t>
  </si>
  <si>
    <t>1437462#3</t>
  </si>
  <si>
    <t>Grupo ERA</t>
  </si>
  <si>
    <t>2333929#1</t>
  </si>
  <si>
    <t>Colegiopalermochico</t>
  </si>
  <si>
    <t>661630#1</t>
  </si>
  <si>
    <t>carlosk Arroyo Landero</t>
  </si>
  <si>
    <t>3437653#1</t>
  </si>
  <si>
    <t>Ohioestudio</t>
  </si>
  <si>
    <t>4015529#1</t>
  </si>
  <si>
    <t>Indutex</t>
  </si>
  <si>
    <t>4427081#1</t>
  </si>
  <si>
    <t>Rta</t>
  </si>
  <si>
    <t>3868839#1</t>
  </si>
  <si>
    <t>Fulzer</t>
  </si>
  <si>
    <t xml:space="preserve">2063801#1
</t>
  </si>
  <si>
    <t>Cubic 33 Group - Perú</t>
  </si>
  <si>
    <t>4640913#1</t>
  </si>
  <si>
    <t>Impulsa Arquitectos</t>
  </si>
  <si>
    <t>758698#1</t>
  </si>
  <si>
    <t>Boetto Y Buttigliengo S A</t>
  </si>
  <si>
    <t>+3 machines</t>
  </si>
  <si>
    <t>3405988#1</t>
  </si>
  <si>
    <t>AmericaNet</t>
  </si>
  <si>
    <t>2062222#1</t>
  </si>
  <si>
    <t>SURSOLAR</t>
  </si>
  <si>
    <t xml:space="preserve">Disqualified (Data)
</t>
  </si>
  <si>
    <t>1013337#1</t>
  </si>
  <si>
    <t>Brenntag El Salvador S.A.De C.V.</t>
  </si>
  <si>
    <t>4400955#1</t>
  </si>
  <si>
    <t>Moreraconstrucciones</t>
  </si>
  <si>
    <t>4373005#1</t>
  </si>
  <si>
    <t>Asevensa</t>
  </si>
  <si>
    <t>441408#1</t>
  </si>
  <si>
    <t>Ciemsa S.A.</t>
  </si>
  <si>
    <t>4640916#1</t>
  </si>
  <si>
    <t>Diseño y Gestión Inmobiliaria</t>
  </si>
  <si>
    <t>654052#1</t>
  </si>
  <si>
    <t>Estudiosaenz</t>
  </si>
  <si>
    <t>1562762#1</t>
  </si>
  <si>
    <t>Tangente Arquitectura Local</t>
  </si>
  <si>
    <t>1625290#1</t>
  </si>
  <si>
    <t>Daismol - Ingeniería &amp; Construcción</t>
  </si>
  <si>
    <t>1563144#1</t>
  </si>
  <si>
    <t>Jaime Martinez Dominguez</t>
  </si>
  <si>
    <t>4414433#1</t>
  </si>
  <si>
    <t>Lamicolorvalle</t>
  </si>
  <si>
    <t>4360904#1</t>
  </si>
  <si>
    <t>Guavaservices</t>
  </si>
  <si>
    <t>1545697#1</t>
  </si>
  <si>
    <t>Koga Impact Lab</t>
  </si>
  <si>
    <t>3879144#1</t>
  </si>
  <si>
    <t>Lisso S.A Finished Center</t>
  </si>
  <si>
    <t>983146#1</t>
  </si>
  <si>
    <t>Mko01</t>
  </si>
  <si>
    <t>70045#4</t>
  </si>
  <si>
    <t>Herramientas Y Sist. Computo S.A.</t>
  </si>
  <si>
    <t>1384662#2</t>
  </si>
  <si>
    <t>Suma Publicidad S.R.L.</t>
  </si>
  <si>
    <t>4192144#1</t>
  </si>
  <si>
    <t>Cospersv</t>
  </si>
  <si>
    <t>3048872#1</t>
  </si>
  <si>
    <t>Vochoarq</t>
  </si>
  <si>
    <t>3518866#1</t>
  </si>
  <si>
    <t>acromax dominicana</t>
  </si>
  <si>
    <t>4569001#1</t>
  </si>
  <si>
    <t>Aquaclean</t>
  </si>
  <si>
    <t>653893#1</t>
  </si>
  <si>
    <t>Arqlabs</t>
  </si>
  <si>
    <t>722742#1</t>
  </si>
  <si>
    <t>Klonal S R L</t>
  </si>
  <si>
    <t>1044365#1</t>
  </si>
  <si>
    <t>Puntoasterisco, S.C.</t>
  </si>
  <si>
    <t>Disqualified (Contact Profiling)</t>
  </si>
  <si>
    <t>714639#1, 1697445#1</t>
  </si>
  <si>
    <t>Minera SOTRAMI SA</t>
  </si>
  <si>
    <t>303110#1</t>
  </si>
  <si>
    <t>iCorp Mexico</t>
  </si>
  <si>
    <t xml:space="preserve">No approved machine with last event since 2023.
</t>
  </si>
  <si>
    <t>4529628#1</t>
  </si>
  <si>
    <t>Magromer</t>
  </si>
  <si>
    <t>1645237#1</t>
  </si>
  <si>
    <t>Luxurybi2re</t>
  </si>
  <si>
    <t>Case disqualified, not enough data or information to associate machine with entity</t>
  </si>
  <si>
    <t>1412798#1</t>
  </si>
  <si>
    <t>Unjbg</t>
  </si>
  <si>
    <t>953282#1</t>
  </si>
  <si>
    <t>REC RENTAS DE ESPACIOS COMERCIALES</t>
  </si>
  <si>
    <t>47508#4</t>
  </si>
  <si>
    <t>Aceitera General Deheza S.A.</t>
  </si>
  <si>
    <t>3893313#1</t>
  </si>
  <si>
    <t>Accordecoracion</t>
  </si>
  <si>
    <t>557859#1</t>
  </si>
  <si>
    <t>LA JOYA</t>
  </si>
  <si>
    <t>554427#1</t>
  </si>
  <si>
    <t>ALB Energia S.C.</t>
  </si>
  <si>
    <t>4529677#1</t>
  </si>
  <si>
    <t>Panamer</t>
  </si>
  <si>
    <t xml:space="preserve">4454629#1
</t>
  </si>
  <si>
    <t>Prk</t>
  </si>
  <si>
    <t>4440252#1</t>
  </si>
  <si>
    <t>Universidad Nacional Ciro Alegría</t>
  </si>
  <si>
    <t>915187#1</t>
  </si>
  <si>
    <t>LICCO ESD SA de CV</t>
  </si>
  <si>
    <t>1007631#1</t>
  </si>
  <si>
    <t>Rodriguez Viviana Claudia</t>
  </si>
  <si>
    <t>3 machines</t>
  </si>
  <si>
    <t>966388#1</t>
  </si>
  <si>
    <t>yersan.com</t>
  </si>
  <si>
    <t>1986947#1</t>
  </si>
  <si>
    <t>Decorbell Interiores E.I.R.L.</t>
  </si>
  <si>
    <t>693667#1</t>
  </si>
  <si>
    <t>Pinnacle Properties Puerto Vallarta</t>
  </si>
  <si>
    <t>4516554#1</t>
  </si>
  <si>
    <t>Olivaresarqdesign</t>
  </si>
  <si>
    <t>1873215#1</t>
  </si>
  <si>
    <t>Macshop SA de CV</t>
  </si>
  <si>
    <t>1150173#2</t>
  </si>
  <si>
    <t>Ball Horticultural</t>
  </si>
  <si>
    <t>4463453#1</t>
  </si>
  <si>
    <t>2concepts</t>
  </si>
  <si>
    <t>691796#1</t>
  </si>
  <si>
    <t>Chediack José J. Saica</t>
  </si>
  <si>
    <t>1695529#1</t>
  </si>
  <si>
    <t>Enko Arquitectura</t>
  </si>
  <si>
    <t>Disqualified (data)</t>
  </si>
  <si>
    <t>3454271#1</t>
  </si>
  <si>
    <t>Mifarma S.A.C.</t>
  </si>
  <si>
    <t>2490966#1</t>
  </si>
  <si>
    <t>Roberto Lara Hernandez</t>
  </si>
  <si>
    <t>4448375#1</t>
  </si>
  <si>
    <t>Miguelllao</t>
  </si>
  <si>
    <t>3896252#1</t>
  </si>
  <si>
    <t>Instrumet</t>
  </si>
  <si>
    <t>4521636#1</t>
  </si>
  <si>
    <t>Antoniomorales</t>
  </si>
  <si>
    <t>159200#3</t>
  </si>
  <si>
    <t>Envases Del Plata (Inf)</t>
  </si>
  <si>
    <t>4375210#1</t>
  </si>
  <si>
    <t>Merino Group</t>
  </si>
  <si>
    <t>2333677#1</t>
  </si>
  <si>
    <t>Ada Chafloque Cespedes</t>
  </si>
  <si>
    <t>1463031#1</t>
  </si>
  <si>
    <t>Nextia consultoría y obras</t>
  </si>
  <si>
    <t xml:space="preserve">Recent events show no relation to the entity as they occur in a different city and show username Jose Luis which could not be linked to the entity.
</t>
  </si>
  <si>
    <t>1580675#1</t>
  </si>
  <si>
    <t>Boletin Laboral Ediciones Ltda.</t>
  </si>
  <si>
    <t xml:space="preserve">1625685#1
</t>
  </si>
  <si>
    <t>Alejandra Rodriguez Jimenez</t>
  </si>
  <si>
    <t>755586#1</t>
  </si>
  <si>
    <t>NKstudios</t>
  </si>
  <si>
    <t>Duplicate case found, sent to investigate as multiple case to expand</t>
  </si>
  <si>
    <t>4447260#1</t>
  </si>
  <si>
    <t>Wattsantos Arquitectos</t>
  </si>
  <si>
    <t>1463073#1</t>
  </si>
  <si>
    <t>Puma Energy</t>
  </si>
  <si>
    <t>1796719#1</t>
  </si>
  <si>
    <t>Indéa Capital Partners</t>
  </si>
  <si>
    <t>427655#1</t>
  </si>
  <si>
    <t>BOGA Visual</t>
  </si>
  <si>
    <t>1826525#1</t>
  </si>
  <si>
    <t>maxiled de occidente s de rl de cv</t>
  </si>
  <si>
    <t>1255935#1</t>
  </si>
  <si>
    <t>Altos de Araguaney</t>
  </si>
  <si>
    <t>Case disqualified, recent events do not show evidence related to the target entity.</t>
  </si>
  <si>
    <t>1497637#1</t>
  </si>
  <si>
    <t>D1ES</t>
  </si>
  <si>
    <t>New case found, sent to investigate as multiple case to expand</t>
  </si>
  <si>
    <t>4426122#1</t>
  </si>
  <si>
    <t>Sicemmc</t>
  </si>
  <si>
    <t>3047489#1</t>
  </si>
  <si>
    <t>Packall</t>
  </si>
  <si>
    <t>308482#1</t>
  </si>
  <si>
    <t>NaturalFilms</t>
  </si>
  <si>
    <t>No Case notes</t>
  </si>
  <si>
    <t>946254#1</t>
  </si>
  <si>
    <t>Estudios Hidrogeologicos GEOTOTAL SAS</t>
  </si>
  <si>
    <t>572792#1</t>
  </si>
  <si>
    <t>Agave Arquitectos</t>
  </si>
  <si>
    <t>1124609#1</t>
  </si>
  <si>
    <t>Edificio Workennedy S.A.</t>
  </si>
  <si>
    <t>1692364#1</t>
  </si>
  <si>
    <t>Conuee</t>
  </si>
  <si>
    <t>4517167#1</t>
  </si>
  <si>
    <t>Ironside</t>
  </si>
  <si>
    <t>1495617#1</t>
  </si>
  <si>
    <t>Adarga Consultores en Seguros</t>
  </si>
  <si>
    <t>680686#1</t>
  </si>
  <si>
    <t>Kospo Power Services ltda</t>
  </si>
  <si>
    <t>957874#1, 711207#1</t>
  </si>
  <si>
    <t>Jesus Alfonso Espinoza</t>
  </si>
  <si>
    <t>1108158#1</t>
  </si>
  <si>
    <t>Condominio los Olivos de MaipÃº</t>
  </si>
  <si>
    <t>Additional cases related to the entity have to be reviewed: 449086#1 and 3895815#1</t>
  </si>
  <si>
    <t>1266392#1</t>
  </si>
  <si>
    <t>Arq&amp;Rest</t>
  </si>
  <si>
    <t>1989605#2</t>
  </si>
  <si>
    <t>Laboratorios Roemmers</t>
  </si>
  <si>
    <t>4322656#1</t>
  </si>
  <si>
    <t>vilego</t>
  </si>
  <si>
    <t>4640917#1</t>
  </si>
  <si>
    <t>Universidad Jean Piaget (CECAPRO)</t>
  </si>
  <si>
    <t>Ruvixx Strategic Old Accounts</t>
  </si>
  <si>
    <t>2951413#1</t>
  </si>
  <si>
    <t>Cesar Fernendo Rosales Juseppe</t>
  </si>
  <si>
    <t>298987#1</t>
  </si>
  <si>
    <t>Capitalizarme.com</t>
  </si>
  <si>
    <t>1897145#1</t>
  </si>
  <si>
    <t>Richam</t>
  </si>
  <si>
    <t>2454457#1</t>
  </si>
  <si>
    <t>Orsini Mariano Hernan</t>
  </si>
  <si>
    <t>3473025#1</t>
  </si>
  <si>
    <t>Sorjic</t>
  </si>
  <si>
    <t>1334623#2</t>
  </si>
  <si>
    <t>Profesionales Asociados LTDA</t>
  </si>
  <si>
    <t>1249782#1</t>
  </si>
  <si>
    <t>Fmodernas</t>
  </si>
  <si>
    <t>4474253#1</t>
  </si>
  <si>
    <t>Gruponts</t>
  </si>
  <si>
    <t>1071255#1</t>
  </si>
  <si>
    <t>Soluciones Conarq</t>
  </si>
  <si>
    <t>555918#1, 698500#1</t>
  </si>
  <si>
    <t>Tecnoedil S.A. Constructora</t>
  </si>
  <si>
    <t>Kasznar</t>
  </si>
  <si>
    <t>4370386#1</t>
  </si>
  <si>
    <t>Menro</t>
  </si>
  <si>
    <t>4449088#1</t>
  </si>
  <si>
    <t>SUMAK Ingeniería</t>
  </si>
  <si>
    <t>1656922#1</t>
  </si>
  <si>
    <t>Iaccom</t>
  </si>
  <si>
    <t>4600843#1</t>
  </si>
  <si>
    <t>Kgbsas</t>
  </si>
  <si>
    <t>572551#1</t>
  </si>
  <si>
    <t>Proenergy Energia Renovable</t>
  </si>
  <si>
    <t>4523712#1</t>
  </si>
  <si>
    <t>Intra</t>
  </si>
  <si>
    <t>557607#1</t>
  </si>
  <si>
    <t>Planlife Edificaciones</t>
  </si>
  <si>
    <t>685483#2</t>
  </si>
  <si>
    <t>Estudios y Supervision del Sureste ESSSA</t>
  </si>
  <si>
    <t xml:space="preserve">Case disqualified, not enough data or information to associate the machine with the entity.
</t>
  </si>
  <si>
    <t>3403196#1</t>
  </si>
  <si>
    <t>Zatecsf</t>
  </si>
  <si>
    <t>3476649#1</t>
  </si>
  <si>
    <t>MOE PANAMA Visual Merchandising Orgánico &amp;. Estructural ...</t>
  </si>
  <si>
    <t>4542491#1</t>
  </si>
  <si>
    <t>Praderas del Valle Srl</t>
  </si>
  <si>
    <t>2142718#1</t>
  </si>
  <si>
    <t>Roto Cristales y Partes</t>
  </si>
  <si>
    <t>4485660#1</t>
  </si>
  <si>
    <t>Skava</t>
  </si>
  <si>
    <t>564760#1</t>
  </si>
  <si>
    <t>Wesdap</t>
  </si>
  <si>
    <t>1400546#1</t>
  </si>
  <si>
    <t xml:space="preserve">Elements
</t>
  </si>
  <si>
    <t>1419090#1</t>
  </si>
  <si>
    <t>Kitchenlabs</t>
  </si>
  <si>
    <t>4448281#1</t>
  </si>
  <si>
    <t>Oscarlopez</t>
  </si>
  <si>
    <t>1461456#1</t>
  </si>
  <si>
    <t>Metralum</t>
  </si>
  <si>
    <t>4622156#1</t>
  </si>
  <si>
    <t>Ahkbol</t>
  </si>
  <si>
    <t>797209#1</t>
  </si>
  <si>
    <t>Francisco Javier Garcia Moreno Elizondo</t>
  </si>
  <si>
    <t>4486389#1</t>
  </si>
  <si>
    <t>Sealsautomatizacion</t>
  </si>
  <si>
    <t>2514461#1</t>
  </si>
  <si>
    <t>Empire Technologies</t>
  </si>
  <si>
    <t>1172611#1</t>
  </si>
  <si>
    <t>Chimuasa</t>
  </si>
  <si>
    <t>2333981#1</t>
  </si>
  <si>
    <t>Costquim</t>
  </si>
  <si>
    <t>2022243#1</t>
  </si>
  <si>
    <t>OSMO Service Argentina</t>
  </si>
  <si>
    <t>2078623#1</t>
  </si>
  <si>
    <t>Pgf Arquitectura</t>
  </si>
  <si>
    <t>4604263#1</t>
  </si>
  <si>
    <t>148celsiainternet</t>
  </si>
  <si>
    <t>686907#2</t>
  </si>
  <si>
    <t>Grupo Construcciones y Servicios S.A. de C.V.</t>
  </si>
  <si>
    <t>4486643#1</t>
  </si>
  <si>
    <t>Runo</t>
  </si>
  <si>
    <t>3443870#1</t>
  </si>
  <si>
    <t>Caldero</t>
  </si>
  <si>
    <t>4152842#1</t>
  </si>
  <si>
    <t>Coresam</t>
  </si>
  <si>
    <t>2463451#1</t>
  </si>
  <si>
    <t>Adnmexa</t>
  </si>
  <si>
    <t>Disqualified due to a lack of recent events associated with the company.</t>
  </si>
  <si>
    <t>4447817#1</t>
  </si>
  <si>
    <t>Testori S.R.L.</t>
  </si>
  <si>
    <t>2294958#1</t>
  </si>
  <si>
    <t>CarpinTecno</t>
  </si>
  <si>
    <t>2442948#1</t>
  </si>
  <si>
    <t>INSTITUTO POLITÉCNICO MODELO</t>
  </si>
  <si>
    <t>2142939#1</t>
  </si>
  <si>
    <t>Landa Suberville</t>
  </si>
  <si>
    <t>4487512#1</t>
  </si>
  <si>
    <t>Tpgcabrera</t>
  </si>
  <si>
    <t>1328219#1</t>
  </si>
  <si>
    <t>Cendcom</t>
  </si>
  <si>
    <t>Wrong wntity name, changed name to correct name</t>
  </si>
  <si>
    <t>236419#3</t>
  </si>
  <si>
    <t>Ememsa Empresa Metal Mecanica S.A.</t>
  </si>
  <si>
    <t>367105#1</t>
  </si>
  <si>
    <t>Victoria Pasten</t>
  </si>
  <si>
    <t>2953675#1</t>
  </si>
  <si>
    <t>Florencia Moreno Cisternas</t>
  </si>
  <si>
    <t>4340547#1</t>
  </si>
  <si>
    <t>Equibal Panamá</t>
  </si>
  <si>
    <t>4527079#1</t>
  </si>
  <si>
    <t>Tiferet</t>
  </si>
  <si>
    <t>Additional case for Universidad de Buenos Aires</t>
  </si>
  <si>
    <t>915029#1</t>
  </si>
  <si>
    <t>Landa Arquitectos</t>
  </si>
  <si>
    <t>4491404#1</t>
  </si>
  <si>
    <t>Andor</t>
  </si>
  <si>
    <t>928101#1</t>
  </si>
  <si>
    <t>Modulac Servicios S.A. de C.V</t>
  </si>
  <si>
    <t>1414177#1, 662475#1</t>
  </si>
  <si>
    <t>Puerto Montt</t>
  </si>
  <si>
    <t>Multiple case.</t>
  </si>
  <si>
    <t>4447922#1</t>
  </si>
  <si>
    <t>Crearquitectos</t>
  </si>
  <si>
    <t>3257020#1</t>
  </si>
  <si>
    <t>Vidrios Arango.</t>
  </si>
  <si>
    <t>3439401#1</t>
  </si>
  <si>
    <t>Acerocyc</t>
  </si>
  <si>
    <t>796585#2</t>
  </si>
  <si>
    <t>Catholic University of Uruguay</t>
  </si>
  <si>
    <t>Additional case identified. It has to be completed to launch the entity</t>
  </si>
  <si>
    <t>656124#1</t>
  </si>
  <si>
    <t>Art.chitecture</t>
  </si>
  <si>
    <t>4496092#1</t>
  </si>
  <si>
    <t>Gpbarq</t>
  </si>
  <si>
    <t>1530425#1</t>
  </si>
  <si>
    <t>Idea Arquitectura</t>
  </si>
  <si>
    <t>616479#1, 603517#1</t>
  </si>
  <si>
    <t xml:space="preserve">VStudios 3D
</t>
  </si>
  <si>
    <t>High potential.</t>
  </si>
  <si>
    <t>4417775#1</t>
  </si>
  <si>
    <t>Gepesamx</t>
  </si>
  <si>
    <t>3255722#1</t>
  </si>
  <si>
    <t>crecerweb</t>
  </si>
  <si>
    <t xml:space="preserve">4424119#1
</t>
  </si>
  <si>
    <t>Cubic33group</t>
  </si>
  <si>
    <t>4548512#1</t>
  </si>
  <si>
    <t>Despromin</t>
  </si>
  <si>
    <t>4589849#1</t>
  </si>
  <si>
    <t>Jdestudio</t>
  </si>
  <si>
    <t>887687#1</t>
  </si>
  <si>
    <t>Maddalena Jorge Hugo</t>
  </si>
  <si>
    <t>798575#1</t>
  </si>
  <si>
    <t>Switch It MX</t>
  </si>
  <si>
    <t>1446547#1</t>
  </si>
  <si>
    <t>ThemeFusion</t>
  </si>
  <si>
    <t>4506244#1</t>
  </si>
  <si>
    <t>F3rr1nd</t>
  </si>
  <si>
    <t>4364752#1</t>
  </si>
  <si>
    <t>Powerchinasolar</t>
  </si>
  <si>
    <t>760397#1</t>
  </si>
  <si>
    <t>DIPRO Innovation Design</t>
  </si>
  <si>
    <t>4196083#1</t>
  </si>
  <si>
    <t>Larproyectos</t>
  </si>
  <si>
    <t>1970161#1</t>
  </si>
  <si>
    <t>Telaio Networks SA de CV</t>
  </si>
  <si>
    <t>937794#1</t>
  </si>
  <si>
    <t>VISUAR S.A.</t>
  </si>
  <si>
    <t>533601#1</t>
  </si>
  <si>
    <t>Avon de COsta Rica</t>
  </si>
  <si>
    <t>419950#1</t>
  </si>
  <si>
    <t>Diarq (Dieguez Y Cã_x008d_A. Ltda.)</t>
  </si>
  <si>
    <t>4519216#1</t>
  </si>
  <si>
    <t>Garcaps</t>
  </si>
  <si>
    <t>1103820#1</t>
  </si>
  <si>
    <t>Isoarquitectura</t>
  </si>
  <si>
    <t>4599740#1</t>
  </si>
  <si>
    <t>Ventosarquitectos</t>
  </si>
  <si>
    <t>3890335#1</t>
  </si>
  <si>
    <t>Ambientes Funcionales S.R.L</t>
  </si>
  <si>
    <t>2028766#3</t>
  </si>
  <si>
    <t>Valtre</t>
  </si>
  <si>
    <t>1157817#1</t>
  </si>
  <si>
    <t>MARKETING PERSONAL S A</t>
  </si>
  <si>
    <t>2217248#1</t>
  </si>
  <si>
    <t>Posco De Mexico Sa De Cv</t>
  </si>
  <si>
    <t>1077251#1</t>
  </si>
  <si>
    <t>PAISAJE VIVO</t>
  </si>
  <si>
    <t>4511902#1</t>
  </si>
  <si>
    <t>Ambakiti</t>
  </si>
  <si>
    <t>2279858#1</t>
  </si>
  <si>
    <t>Imp International Global Trading Ltda</t>
  </si>
  <si>
    <t>1193869#1</t>
  </si>
  <si>
    <t>Atento</t>
  </si>
  <si>
    <t>4342386#1</t>
  </si>
  <si>
    <t>VAPEU SRL. Empresa Constructora</t>
  </si>
  <si>
    <t>4376402#1</t>
  </si>
  <si>
    <t>Coopermex</t>
  </si>
  <si>
    <t>4315213#1</t>
  </si>
  <si>
    <t>Ingeade</t>
  </si>
  <si>
    <t>1911888#1</t>
  </si>
  <si>
    <t>Florencio Hernandez Martinez</t>
  </si>
  <si>
    <t>999630#1</t>
  </si>
  <si>
    <t>Square Constructores Y Consultores Sac</t>
  </si>
  <si>
    <t>4521612#1</t>
  </si>
  <si>
    <t>Kuzapark</t>
  </si>
  <si>
    <t>3052575#1</t>
  </si>
  <si>
    <t>Juan Pablo Sepulveda Oberleiter</t>
  </si>
  <si>
    <t>4590727#1</t>
  </si>
  <si>
    <t>Latrinidad</t>
  </si>
  <si>
    <t>4298791#1</t>
  </si>
  <si>
    <t>Colamp</t>
  </si>
  <si>
    <t>4376241#1</t>
  </si>
  <si>
    <t>Eternadesarrollos</t>
  </si>
  <si>
    <t>1694790#1</t>
  </si>
  <si>
    <t>CasaLuker S.A.-890.800.718-1</t>
  </si>
  <si>
    <t>798041#1</t>
  </si>
  <si>
    <t>Servicios Gala, S.A. de C.V.</t>
  </si>
  <si>
    <t>764109#1</t>
  </si>
  <si>
    <t>Coasin</t>
  </si>
  <si>
    <t>Multinational Organization</t>
  </si>
  <si>
    <t>4516336#1</t>
  </si>
  <si>
    <t>Proyectomuseo</t>
  </si>
  <si>
    <t>3455175#1</t>
  </si>
  <si>
    <t>Maestranzaverco</t>
  </si>
  <si>
    <t>1249732#1</t>
  </si>
  <si>
    <t>Cahsa</t>
  </si>
  <si>
    <t>1359636#1</t>
  </si>
  <si>
    <t>Ancla</t>
  </si>
  <si>
    <t>4386535#1</t>
  </si>
  <si>
    <t>Eenergia</t>
  </si>
  <si>
    <t>1629571#1</t>
  </si>
  <si>
    <t>Ubicca Group</t>
  </si>
  <si>
    <t>1287738#1</t>
  </si>
  <si>
    <t>Garnier BBDO</t>
  </si>
  <si>
    <t>2379511#1</t>
  </si>
  <si>
    <t>Constructora Aconcagua ltda.</t>
  </si>
  <si>
    <t>4502261#1</t>
  </si>
  <si>
    <t>Proconman</t>
  </si>
  <si>
    <t>4383940#1</t>
  </si>
  <si>
    <t>Insidebay</t>
  </si>
  <si>
    <t>3648129#2</t>
  </si>
  <si>
    <t>Callcom</t>
  </si>
  <si>
    <t>3267144#3</t>
  </si>
  <si>
    <t>Lasalleconocoto</t>
  </si>
  <si>
    <t>4380535#1</t>
  </si>
  <si>
    <t>Maquinadosat</t>
  </si>
  <si>
    <t>1128338#1</t>
  </si>
  <si>
    <t>Orientoil</t>
  </si>
  <si>
    <t>611209#1</t>
  </si>
  <si>
    <t>Corpinto</t>
  </si>
  <si>
    <t>1192183#1</t>
  </si>
  <si>
    <t>Forero Conde y Cía. Ltda.</t>
  </si>
  <si>
    <t>2954709#1</t>
  </si>
  <si>
    <t>KEY Soluciones de Limpieza Guatemala</t>
  </si>
  <si>
    <t>This entity is already in an engagement process.</t>
  </si>
  <si>
    <t>178061#1</t>
  </si>
  <si>
    <t>Raveconstrucciones</t>
  </si>
  <si>
    <t>1497782#1</t>
  </si>
  <si>
    <t>Union Technologies</t>
  </si>
  <si>
    <t>1173012#1</t>
  </si>
  <si>
    <t>Ersa</t>
  </si>
  <si>
    <t>4325886#1</t>
  </si>
  <si>
    <t>Diegdl</t>
  </si>
  <si>
    <t>586453#1</t>
  </si>
  <si>
    <t>Comandato</t>
  </si>
  <si>
    <t>860712#2</t>
  </si>
  <si>
    <t>Corporativo A I A</t>
  </si>
  <si>
    <t>1179955#1</t>
  </si>
  <si>
    <t>Francisco Javier Lazcano Burgos</t>
  </si>
  <si>
    <t>3444630#1</t>
  </si>
  <si>
    <t>Gpoangular</t>
  </si>
  <si>
    <t xml:space="preserve">This entity was already engaged. The status will be checked to see if it can be relaunched. </t>
  </si>
  <si>
    <t>3879113#1</t>
  </si>
  <si>
    <t>Butik109</t>
  </si>
  <si>
    <t>2281091#1</t>
  </si>
  <si>
    <t>Urbimax</t>
  </si>
  <si>
    <t>1568650#2</t>
  </si>
  <si>
    <t>Corporacion Autonoma De Naria O</t>
  </si>
  <si>
    <t>4390368#1</t>
  </si>
  <si>
    <t>Incuadra</t>
  </si>
  <si>
    <t>Missing notes.</t>
  </si>
  <si>
    <t>1099937#1</t>
  </si>
  <si>
    <t>Vitopel SA</t>
  </si>
  <si>
    <t xml:space="preserve">958774#1
</t>
  </si>
  <si>
    <t>Ubiksa</t>
  </si>
  <si>
    <t>1089630#1</t>
  </si>
  <si>
    <t>Constructora e inversiones lafken ltda</t>
  </si>
  <si>
    <t>4332070#1</t>
  </si>
  <si>
    <t>Glass Mountain BPO</t>
  </si>
  <si>
    <t>600004#1</t>
  </si>
  <si>
    <t>Noviasyeventos</t>
  </si>
  <si>
    <t>The most recent event with evidence related to the entity is from 2019.</t>
  </si>
  <si>
    <t>2323484#1</t>
  </si>
  <si>
    <t>Andres Romero Lope</t>
  </si>
  <si>
    <t>1936639#1</t>
  </si>
  <si>
    <t>GRUPO AMPO. Lofts de Bahia Grande</t>
  </si>
  <si>
    <t>4343511#1</t>
  </si>
  <si>
    <t>Setecnorte</t>
  </si>
  <si>
    <t>3511114#1</t>
  </si>
  <si>
    <t>Vtsa</t>
  </si>
  <si>
    <t>1762714#1</t>
  </si>
  <si>
    <t>Tracmex Maquinaria</t>
  </si>
  <si>
    <t>1613472#1</t>
  </si>
  <si>
    <t>Andrea Boudeguer Simonetti</t>
  </si>
  <si>
    <t>1828383#1</t>
  </si>
  <si>
    <t>Kumaru</t>
  </si>
  <si>
    <t>4319597#1</t>
  </si>
  <si>
    <t>Bremymg Ltda</t>
  </si>
  <si>
    <t>4335647#1</t>
  </si>
  <si>
    <t>Pdcprelosa</t>
  </si>
  <si>
    <t>2984986#1</t>
  </si>
  <si>
    <t>Centro Aire</t>
  </si>
  <si>
    <t>4472175#1</t>
  </si>
  <si>
    <t>Grupoeuroaires</t>
  </si>
  <si>
    <t>1004856#1</t>
  </si>
  <si>
    <t>Canal 10 Uruguay</t>
  </si>
  <si>
    <t>936841#1</t>
  </si>
  <si>
    <t>Diamondelectronics</t>
  </si>
  <si>
    <t>556135#1</t>
  </si>
  <si>
    <t>Igarreta S.A.C.I.</t>
  </si>
  <si>
    <t>698153#1</t>
  </si>
  <si>
    <t>Hutchinsonsealmexico</t>
  </si>
  <si>
    <t>3896055#1</t>
  </si>
  <si>
    <t>Intuitodis</t>
  </si>
  <si>
    <t>Case disqualified, not enough data or information to associate the machine with the entity.
There is another case related to this entity. Case ID 2465410#1.</t>
  </si>
  <si>
    <t>4175441#1</t>
  </si>
  <si>
    <t>Grupocpe</t>
  </si>
  <si>
    <t>938126#1</t>
  </si>
  <si>
    <t>Sommier Center</t>
  </si>
  <si>
    <t>3902742#1</t>
  </si>
  <si>
    <t>Thefullprint</t>
  </si>
  <si>
    <t>Golden batch. Identified additional case.</t>
  </si>
  <si>
    <t>2513623#1</t>
  </si>
  <si>
    <t>MES Ingenieria S.A</t>
  </si>
  <si>
    <t xml:space="preserve">686798#2
</t>
  </si>
  <si>
    <t xml:space="preserve">Guisa Construcciones
</t>
  </si>
  <si>
    <t>2415354#1</t>
  </si>
  <si>
    <t>Greenyellow</t>
  </si>
  <si>
    <t>1110862#2</t>
  </si>
  <si>
    <t>Divemex</t>
  </si>
  <si>
    <t>4383654#1</t>
  </si>
  <si>
    <t>Recintoconstructora</t>
  </si>
  <si>
    <t>Target entity is a non profit organization.</t>
  </si>
  <si>
    <t>2475108#1</t>
  </si>
  <si>
    <t>Diresa MX</t>
  </si>
  <si>
    <t>1954161#2</t>
  </si>
  <si>
    <t>Theos Group</t>
  </si>
  <si>
    <t>4521000#1</t>
  </si>
  <si>
    <t>Exclusivecr</t>
  </si>
  <si>
    <t>3528712#1</t>
  </si>
  <si>
    <t>Grupotoratto</t>
  </si>
  <si>
    <t xml:space="preserve">3435559#2
</t>
  </si>
  <si>
    <t>Omesa</t>
  </si>
  <si>
    <t>2394267#1</t>
  </si>
  <si>
    <t>Calitte</t>
  </si>
  <si>
    <t>734794#1</t>
  </si>
  <si>
    <t>Persianas y Pisos Luigi</t>
  </si>
  <si>
    <t>4388418#1</t>
  </si>
  <si>
    <t>Mad</t>
  </si>
  <si>
    <t>1826880#1</t>
  </si>
  <si>
    <t>Grupokelra</t>
  </si>
  <si>
    <t>1677334#1</t>
  </si>
  <si>
    <t>equindeca</t>
  </si>
  <si>
    <t>4336632#1</t>
  </si>
  <si>
    <t>Sampetrinos</t>
  </si>
  <si>
    <t>2276868#1</t>
  </si>
  <si>
    <t>Bcsa</t>
  </si>
  <si>
    <t>2954270#1</t>
  </si>
  <si>
    <t>IRSAMÉXICO S.A.</t>
  </si>
  <si>
    <t>1792740#1</t>
  </si>
  <si>
    <t>Shp</t>
  </si>
  <si>
    <t>572431#2</t>
  </si>
  <si>
    <t>MEPROSA Construcciones, S.A. de C.V.</t>
  </si>
  <si>
    <t xml:space="preserve">This entity relates to Meprosa Mecanizaciones y Proyectos S.A. de C.V (Case ID 604860#1). That case was exhausted. They belong to the same business group. That case has new events and high value. 
</t>
  </si>
  <si>
    <t>68880#3</t>
  </si>
  <si>
    <t>Destileria Argentina De Petroleo Sa (Dapsa)</t>
  </si>
  <si>
    <t>1959834#1</t>
  </si>
  <si>
    <t>Juan Rogelio Cardenas</t>
  </si>
  <si>
    <t>2335220#1</t>
  </si>
  <si>
    <t>Kranec</t>
  </si>
  <si>
    <t>2254090#1</t>
  </si>
  <si>
    <t>Vicisa</t>
  </si>
  <si>
    <t>4447985#1</t>
  </si>
  <si>
    <t>Linalca Informática S.A.S Bic</t>
  </si>
  <si>
    <t>918931#1</t>
  </si>
  <si>
    <t>SUR Desarrollos</t>
  </si>
  <si>
    <t>1106753#1</t>
  </si>
  <si>
    <t>La Venturosa</t>
  </si>
  <si>
    <t>4398540#1</t>
  </si>
  <si>
    <t>Aznusi</t>
  </si>
  <si>
    <t>4320240#1</t>
  </si>
  <si>
    <t>Avicolasantaana</t>
  </si>
  <si>
    <t>1627767#1</t>
  </si>
  <si>
    <t>Armando Bonilla Cruz</t>
  </si>
  <si>
    <t>336762#1</t>
  </si>
  <si>
    <t>Imprenta Mariscal Cia. Ltda.</t>
  </si>
  <si>
    <t>1105626#1</t>
  </si>
  <si>
    <t>T+R Arquitectos</t>
  </si>
  <si>
    <t xml:space="preserve">3 machines approved with the refresh. </t>
  </si>
  <si>
    <t>4520385#1</t>
  </si>
  <si>
    <t>Solciviles</t>
  </si>
  <si>
    <t>1002843#1</t>
  </si>
  <si>
    <t>Oiko</t>
  </si>
  <si>
    <t>496771#1</t>
  </si>
  <si>
    <t>Menorca Lotes</t>
  </si>
  <si>
    <t>4413372#1</t>
  </si>
  <si>
    <t>Findep</t>
  </si>
  <si>
    <t>3861555#1</t>
  </si>
  <si>
    <t>PIROPLAST</t>
  </si>
  <si>
    <t>1105197#1</t>
  </si>
  <si>
    <t>Suma Internacional</t>
  </si>
  <si>
    <t>1091086#1</t>
  </si>
  <si>
    <t>Studio K</t>
  </si>
  <si>
    <t>4427313#1</t>
  </si>
  <si>
    <t>Boboazul</t>
  </si>
  <si>
    <t>4448913#1</t>
  </si>
  <si>
    <t>Jstools</t>
  </si>
  <si>
    <t>4332769#1</t>
  </si>
  <si>
    <t>Sdemx</t>
  </si>
  <si>
    <t>198171#4</t>
  </si>
  <si>
    <t>Heap Leaching Consulting SAC</t>
  </si>
  <si>
    <t>4367616#1</t>
  </si>
  <si>
    <t>Casaflorea</t>
  </si>
  <si>
    <t>4439780#1</t>
  </si>
  <si>
    <t>Hagraf</t>
  </si>
  <si>
    <t>4391592#1</t>
  </si>
  <si>
    <t>Ccurity</t>
  </si>
  <si>
    <t>4601242#1</t>
  </si>
  <si>
    <t>Reactlab Import Cia. Ltda.</t>
  </si>
  <si>
    <t>4446738#1</t>
  </si>
  <si>
    <t>Constructoraprudence</t>
  </si>
  <si>
    <t>4396484#1</t>
  </si>
  <si>
    <t>Concrecivil</t>
  </si>
  <si>
    <t>1144660#1</t>
  </si>
  <si>
    <t>Diego Cavazos de Lira</t>
  </si>
  <si>
    <t>1098874#1</t>
  </si>
  <si>
    <t>Fiambres Lario</t>
  </si>
  <si>
    <t>High value. Found two additional cases related to the entity.</t>
  </si>
  <si>
    <t>1714244#1</t>
  </si>
  <si>
    <t>RMV</t>
  </si>
  <si>
    <t>4435198#1</t>
  </si>
  <si>
    <t>Bloomcolombia</t>
  </si>
  <si>
    <t>885686#1</t>
  </si>
  <si>
    <t>Dume</t>
  </si>
  <si>
    <t>729104#1</t>
  </si>
  <si>
    <t>Ucu</t>
  </si>
  <si>
    <t>4447905#1</t>
  </si>
  <si>
    <t>Adoquininvestments</t>
  </si>
  <si>
    <t>4421288#1</t>
  </si>
  <si>
    <t>Kastormobiliario</t>
  </si>
  <si>
    <t>913800#1</t>
  </si>
  <si>
    <t>Hidrotec, S.A. De C.V.</t>
  </si>
  <si>
    <t>1626663#1</t>
  </si>
  <si>
    <t>3dadvancedstudio</t>
  </si>
  <si>
    <t>4386540#1</t>
  </si>
  <si>
    <t>Supercocinasguatemala</t>
  </si>
  <si>
    <t>4179043#1</t>
  </si>
  <si>
    <t>Proyectos Visibles S.A.S</t>
  </si>
  <si>
    <t>4389223#1</t>
  </si>
  <si>
    <t>Hersoalimentos</t>
  </si>
  <si>
    <t>4583990#1</t>
  </si>
  <si>
    <t>Ecosolarcolombia</t>
  </si>
  <si>
    <t>2144791#1</t>
  </si>
  <si>
    <t>Upgrade! Comunicación y Entretenimiento</t>
  </si>
  <si>
    <t>2023729#1</t>
  </si>
  <si>
    <t>Circuitonaranja</t>
  </si>
  <si>
    <t>2131479#1</t>
  </si>
  <si>
    <t>Merrod Constucciones</t>
  </si>
  <si>
    <t xml:space="preserve">The Wi-Fi location at the company's address is not present in recent events.  Username relation to the entity could not be validated.
</t>
  </si>
  <si>
    <t>1348726#1</t>
  </si>
  <si>
    <t>Universidad de AysÃ©n</t>
  </si>
  <si>
    <t>4480323#1</t>
  </si>
  <si>
    <t>Creativelatam</t>
  </si>
  <si>
    <t>4519182#1</t>
  </si>
  <si>
    <t>Jgingenierias</t>
  </si>
  <si>
    <t>2380494#1</t>
  </si>
  <si>
    <t>OficeMart</t>
  </si>
  <si>
    <t>4498544#1</t>
  </si>
  <si>
    <t>Gentrackmasteri</t>
  </si>
  <si>
    <t>3875976#1</t>
  </si>
  <si>
    <t>Gfdsystems</t>
  </si>
  <si>
    <t>4443796#1</t>
  </si>
  <si>
    <t>Riossilva</t>
  </si>
  <si>
    <t>2077279#1</t>
  </si>
  <si>
    <t>Pedro Davila</t>
  </si>
  <si>
    <t>2036655#1</t>
  </si>
  <si>
    <t>Ciampagna &amp; Asociados S.A.</t>
  </si>
  <si>
    <t>4415862#1</t>
  </si>
  <si>
    <t>Proyectoscordillera</t>
  </si>
  <si>
    <t>4519568#1</t>
  </si>
  <si>
    <t>Papelesnacionales</t>
  </si>
  <si>
    <t>1416787#1</t>
  </si>
  <si>
    <t>Mabs8009127N0</t>
  </si>
  <si>
    <t>4614340#1</t>
  </si>
  <si>
    <t>Arce Arquitectos Limitada</t>
  </si>
  <si>
    <t>2076609#1</t>
  </si>
  <si>
    <t>Pacifico Aquaculture SAPI de CV</t>
  </si>
  <si>
    <t>4366353#1</t>
  </si>
  <si>
    <t>Servilog</t>
  </si>
  <si>
    <t>3567981#1</t>
  </si>
  <si>
    <t>WINDSTAR LPG INC</t>
  </si>
  <si>
    <t>1295465#1</t>
  </si>
  <si>
    <t>GEOTOTAL AMBIENTAL</t>
  </si>
  <si>
    <t xml:space="preserve">The case is related to case 946254#1, which corresponds to the company activities in Colombia. </t>
  </si>
  <si>
    <t>4365766#1</t>
  </si>
  <si>
    <t>Serviciosq</t>
  </si>
  <si>
    <t>4515167#1</t>
  </si>
  <si>
    <t>Eliteingenieros</t>
  </si>
  <si>
    <t>576329#1</t>
  </si>
  <si>
    <t>Alvaro Ramirez + Arquitectos</t>
  </si>
  <si>
    <t>4423154#1</t>
  </si>
  <si>
    <t>Cientifica</t>
  </si>
  <si>
    <t>2075910#1</t>
  </si>
  <si>
    <t>DSDCERO</t>
  </si>
  <si>
    <t>3891528#1</t>
  </si>
  <si>
    <t>Pinturas Helios S.A.S</t>
  </si>
  <si>
    <t>676830#1</t>
  </si>
  <si>
    <t>Aredsa</t>
  </si>
  <si>
    <t>717847#2, 4388900#1</t>
  </si>
  <si>
    <t>Universidad Pedro de Valdivia</t>
  </si>
  <si>
    <t>Additional case found during QA. Review required</t>
  </si>
  <si>
    <t>4411719#1</t>
  </si>
  <si>
    <t>Sgt</t>
  </si>
  <si>
    <t>4382970#1</t>
  </si>
  <si>
    <t>Brutarquitectura</t>
  </si>
  <si>
    <t>4575789#1</t>
  </si>
  <si>
    <t>PMO El Salvador</t>
  </si>
  <si>
    <t>4543231#1</t>
  </si>
  <si>
    <t>Mqvconstrucciones</t>
  </si>
  <si>
    <t>2128303#1</t>
  </si>
  <si>
    <t>Carte Arquitectos, S. A. de C. V.</t>
  </si>
  <si>
    <t>4437820#1</t>
  </si>
  <si>
    <t>Primerefrigeracion</t>
  </si>
  <si>
    <t>1196126#1</t>
  </si>
  <si>
    <t>Ghio Arquitectos</t>
  </si>
  <si>
    <t>1401722#1</t>
  </si>
  <si>
    <t>Consuegrasantos</t>
  </si>
  <si>
    <t>1429799#1</t>
  </si>
  <si>
    <t>Mueblesazof</t>
  </si>
  <si>
    <t>4410743#1</t>
  </si>
  <si>
    <t>Metalcivil</t>
  </si>
  <si>
    <t>3402446#1</t>
  </si>
  <si>
    <t>Ibsolutionsmexico</t>
  </si>
  <si>
    <t>4518541#1</t>
  </si>
  <si>
    <t>Armasarquitectura</t>
  </si>
  <si>
    <t>2144620#1</t>
  </si>
  <si>
    <t>Terramar Marmol</t>
  </si>
  <si>
    <t>4438116#1</t>
  </si>
  <si>
    <t>Roldanlogistica</t>
  </si>
  <si>
    <t>547175#1</t>
  </si>
  <si>
    <t>FTM Sourcing S.A. de C.V.</t>
  </si>
  <si>
    <t>2358132#1</t>
  </si>
  <si>
    <t>SC arquitectos</t>
  </si>
  <si>
    <t>4343306#1</t>
  </si>
  <si>
    <t>SABOR MANÍ</t>
  </si>
  <si>
    <t>289849#2</t>
  </si>
  <si>
    <t>Ingenio Construcciones &amp; Consultorias S.A.S.</t>
  </si>
  <si>
    <t>4587538#1</t>
  </si>
  <si>
    <t>Entornoarquitectura</t>
  </si>
  <si>
    <t>4606666#1</t>
  </si>
  <si>
    <t>Senave</t>
  </si>
  <si>
    <t>2147778#1</t>
  </si>
  <si>
    <t>Removi Eventos</t>
  </si>
  <si>
    <t>3127846#1</t>
  </si>
  <si>
    <t>Sd Opticas</t>
  </si>
  <si>
    <t>1746298#1</t>
  </si>
  <si>
    <t>MARVAL AVALÚOS</t>
  </si>
  <si>
    <t>No approvable machine with the last event since 2023.</t>
  </si>
  <si>
    <t>801551#2</t>
  </si>
  <si>
    <t>MEPS Consultores</t>
  </si>
  <si>
    <t>455622#1</t>
  </si>
  <si>
    <t>Sudproducciones</t>
  </si>
  <si>
    <t>4552311#1</t>
  </si>
  <si>
    <t>So2</t>
  </si>
  <si>
    <t>4551304#1</t>
  </si>
  <si>
    <t>Alfredo Sosa Martinez</t>
  </si>
  <si>
    <t>2133516#1</t>
  </si>
  <si>
    <t xml:space="preserve">Táctica Gráfica
</t>
  </si>
  <si>
    <t>+3 machines after identifying additional case.</t>
  </si>
  <si>
    <t>4431496#1</t>
  </si>
  <si>
    <t>Momentossonados</t>
  </si>
  <si>
    <t>368221#1</t>
  </si>
  <si>
    <t>Inverplus S.A. De C.V.</t>
  </si>
  <si>
    <t>1946730#1</t>
  </si>
  <si>
    <t>La Nueva Metropol Sociedad Anonima De Transporte Automotor Comercial E Industrial</t>
  </si>
  <si>
    <t>Scr01</t>
  </si>
  <si>
    <t xml:space="preserve">4315900#1
</t>
  </si>
  <si>
    <t>Amr</t>
  </si>
  <si>
    <t>1024601#1</t>
  </si>
  <si>
    <t>Edgar Armando Landois Serrano</t>
  </si>
  <si>
    <t>2147698#1</t>
  </si>
  <si>
    <t>BESUN Paneles Solares Monterrey</t>
  </si>
  <si>
    <t>683628#2</t>
  </si>
  <si>
    <t>JMS Ingenieros</t>
  </si>
  <si>
    <t xml:space="preserve">809221#1
</t>
  </si>
  <si>
    <t>Ingeniería Consultoría en Obras y Proyectos S.A. de C.V.</t>
  </si>
  <si>
    <t>1209021#1</t>
  </si>
  <si>
    <t>Capco Srl</t>
  </si>
  <si>
    <t>4323528#1</t>
  </si>
  <si>
    <t>Workshop 44</t>
  </si>
  <si>
    <t>4458604#1</t>
  </si>
  <si>
    <t>Williamthomsoninternacional</t>
  </si>
  <si>
    <t>903827#1</t>
  </si>
  <si>
    <t>Cuervo</t>
  </si>
  <si>
    <t>Entity changed to correct entity name</t>
  </si>
  <si>
    <t>4369386#1</t>
  </si>
  <si>
    <t>Arquitreke</t>
  </si>
  <si>
    <t>4298561#1</t>
  </si>
  <si>
    <t>Cifnegsa</t>
  </si>
  <si>
    <t xml:space="preserve">2333441#1
</t>
  </si>
  <si>
    <t>Arte y Técnica en Construcción</t>
  </si>
  <si>
    <t xml:space="preserve">Correct case found for approved machine. MAchine was trasnferred </t>
  </si>
  <si>
    <t>1098623#1</t>
  </si>
  <si>
    <t>Rodriguez Rolfi Francisco</t>
  </si>
  <si>
    <t>4323094#1</t>
  </si>
  <si>
    <t>Inmobiliariacerrodelasilla</t>
  </si>
  <si>
    <t>1140589#1</t>
  </si>
  <si>
    <t>Gruposolaire</t>
  </si>
  <si>
    <t>No hostname or username info</t>
  </si>
  <si>
    <t>4370096#1</t>
  </si>
  <si>
    <t>Codex Studio</t>
  </si>
  <si>
    <t>4394106#1</t>
  </si>
  <si>
    <t>Corbet</t>
  </si>
  <si>
    <t>1762273#1</t>
  </si>
  <si>
    <t>MAD Living</t>
  </si>
  <si>
    <t>No machine with last event 2023+ approved. Rejected.</t>
  </si>
  <si>
    <t>561873#1</t>
  </si>
  <si>
    <t>Alonso Humberto Santiago</t>
  </si>
  <si>
    <t>2922527#1</t>
  </si>
  <si>
    <t>Invierte Solar - Paneles Solares en Quintana Roo</t>
  </si>
  <si>
    <t xml:space="preserve">4610090#1
</t>
  </si>
  <si>
    <t>Proporción Arq</t>
  </si>
  <si>
    <t>4425239#1</t>
  </si>
  <si>
    <t>Adharagroup</t>
  </si>
  <si>
    <t xml:space="preserve">There is another case related to this entity. It was already delivered. Case ID 582917#1. No revenue opportunity. </t>
  </si>
  <si>
    <t>4381680#1</t>
  </si>
  <si>
    <t>Ambitoperu</t>
  </si>
  <si>
    <t>1325131#1</t>
  </si>
  <si>
    <t>Multifrio</t>
  </si>
  <si>
    <t>4107571#1</t>
  </si>
  <si>
    <t>Cuerpo De Bomberos De Santiago</t>
  </si>
  <si>
    <t>2920516#1</t>
  </si>
  <si>
    <t>La Sultana SALDOS 36</t>
  </si>
  <si>
    <t>4588222#1</t>
  </si>
  <si>
    <t>Tmg</t>
  </si>
  <si>
    <t>4449272#1</t>
  </si>
  <si>
    <t>Sumsersa</t>
  </si>
  <si>
    <t>4468024#1</t>
  </si>
  <si>
    <t>Iesdesarrollosinmobiliarios</t>
  </si>
  <si>
    <t>1430127#1</t>
  </si>
  <si>
    <t>Aisa Millenium</t>
  </si>
  <si>
    <t>1565130#1</t>
  </si>
  <si>
    <t>Ofaarquitectos</t>
  </si>
  <si>
    <t>2074292#1</t>
  </si>
  <si>
    <t>Pro Green Irrigation</t>
  </si>
  <si>
    <t>4567670#1</t>
  </si>
  <si>
    <t>MAZ Soluciones</t>
  </si>
  <si>
    <t>4468605#1</t>
  </si>
  <si>
    <t>Tecnoconsultcr</t>
  </si>
  <si>
    <t>3563963#1</t>
  </si>
  <si>
    <t>Condiser</t>
  </si>
  <si>
    <t>2294943#1</t>
  </si>
  <si>
    <t>Living contemporary</t>
  </si>
  <si>
    <t>1472422#1</t>
  </si>
  <si>
    <t>Inducascos</t>
  </si>
  <si>
    <t>1961037#1</t>
  </si>
  <si>
    <t>Angelesleon</t>
  </si>
  <si>
    <t>4360541#1</t>
  </si>
  <si>
    <t>Onestoppromo</t>
  </si>
  <si>
    <t>4318483#1</t>
  </si>
  <si>
    <t>Unioccidente</t>
  </si>
  <si>
    <t>522329#1</t>
  </si>
  <si>
    <t>Hargamand</t>
  </si>
  <si>
    <t xml:space="preserve">Sent to add contact information and links </t>
  </si>
  <si>
    <t>1713475#1</t>
  </si>
  <si>
    <t>MUEBLES TIERRA</t>
  </si>
  <si>
    <t>4531348#1</t>
  </si>
  <si>
    <t>Avcs</t>
  </si>
  <si>
    <t>4368409#1</t>
  </si>
  <si>
    <t>Americanclass</t>
  </si>
  <si>
    <t>1576484#1</t>
  </si>
  <si>
    <t>Lf</t>
  </si>
  <si>
    <t>1971606#1</t>
  </si>
  <si>
    <t>Boardwalk Realty Puerto Vallarta</t>
  </si>
  <si>
    <t>3931889#1</t>
  </si>
  <si>
    <t>Deteco</t>
  </si>
  <si>
    <t>4530940#1</t>
  </si>
  <si>
    <t>Sistemasglobal</t>
  </si>
  <si>
    <t>4332706#1</t>
  </si>
  <si>
    <t>Credileasing</t>
  </si>
  <si>
    <t>650559#1</t>
  </si>
  <si>
    <t>Quality S.A.</t>
  </si>
  <si>
    <t>1872238#1</t>
  </si>
  <si>
    <t>Construcciones FA S.A de C.V</t>
  </si>
  <si>
    <t>938606#1</t>
  </si>
  <si>
    <t>Plain Diseno Y Produccion Limitada</t>
  </si>
  <si>
    <t>4530203#1</t>
  </si>
  <si>
    <t>Calpasv</t>
  </si>
  <si>
    <t>372823#1</t>
  </si>
  <si>
    <t>360camcr</t>
  </si>
  <si>
    <t>1068258#1</t>
  </si>
  <si>
    <t>Sergio Rubn Gonzales Odar</t>
  </si>
  <si>
    <t>576328#1</t>
  </si>
  <si>
    <t>Taller Aragones / Miguel Angel Aragones</t>
  </si>
  <si>
    <t>2274513#2</t>
  </si>
  <si>
    <t>Serpet JR Y CIA S.A.S.</t>
  </si>
  <si>
    <t>4443641#1</t>
  </si>
  <si>
    <t>Grupospetro</t>
  </si>
  <si>
    <t>1995341#1</t>
  </si>
  <si>
    <t>Edificio Finsa</t>
  </si>
  <si>
    <t>4302524#1</t>
  </si>
  <si>
    <t>INMOBITEC</t>
  </si>
  <si>
    <t>4372499#1</t>
  </si>
  <si>
    <t>Cromaviz</t>
  </si>
  <si>
    <t>1430654#1</t>
  </si>
  <si>
    <t>Lar Placas y Maderas</t>
  </si>
  <si>
    <t>1827212#1</t>
  </si>
  <si>
    <t>Peterborough Youth Soccer Club</t>
  </si>
  <si>
    <t>4319617#1</t>
  </si>
  <si>
    <t xml:space="preserve">Dinaju </t>
  </si>
  <si>
    <t>684995#2</t>
  </si>
  <si>
    <t>Sigral S.A.</t>
  </si>
  <si>
    <t>530631#1</t>
  </si>
  <si>
    <t>Quadrant Alternative</t>
  </si>
  <si>
    <t>1870768#1</t>
  </si>
  <si>
    <t>RVO</t>
  </si>
  <si>
    <t>941326#1</t>
  </si>
  <si>
    <t>Crpglobal</t>
  </si>
  <si>
    <t>3529219#1</t>
  </si>
  <si>
    <t>Navsat</t>
  </si>
  <si>
    <t>2466522#1</t>
  </si>
  <si>
    <t>Liderman</t>
  </si>
  <si>
    <t>885905#1</t>
  </si>
  <si>
    <t>Elevadores Altius S.A. de C.V.</t>
  </si>
  <si>
    <t>1101247#1</t>
  </si>
  <si>
    <t>Arturo Prat University</t>
  </si>
  <si>
    <t>4530302#1</t>
  </si>
  <si>
    <t xml:space="preserve">Edifikconstrucciones
</t>
  </si>
  <si>
    <t>Rejected due lack of information</t>
  </si>
  <si>
    <t>909929#1</t>
  </si>
  <si>
    <t>Almacenes Vidri S.A. de C.V.</t>
  </si>
  <si>
    <t>3048398#1</t>
  </si>
  <si>
    <t>Cambrils Inversiones Sac</t>
  </si>
  <si>
    <t xml:space="preserve">1348902#1
</t>
  </si>
  <si>
    <t xml:space="preserve">David Masis Arquitectura
</t>
  </si>
  <si>
    <t>615138#1</t>
  </si>
  <si>
    <t>AutomatizaciÃ³n de procesos industriales</t>
  </si>
  <si>
    <t>594612#1</t>
  </si>
  <si>
    <t>Inversiones Mobilare</t>
  </si>
  <si>
    <t>902419#</t>
  </si>
  <si>
    <t>Alvia</t>
  </si>
  <si>
    <t>5/8/0202</t>
  </si>
  <si>
    <t xml:space="preserve">527291#1
</t>
  </si>
  <si>
    <t xml:space="preserve">Tegramedical
</t>
  </si>
  <si>
    <t>919709#1</t>
  </si>
  <si>
    <t>Upsa</t>
  </si>
  <si>
    <t>1097165#1</t>
  </si>
  <si>
    <t>SUPERMERCADOS LA COLONIA</t>
  </si>
  <si>
    <t>+3 machines. Added additional case related to the entity.</t>
  </si>
  <si>
    <t>4331422#1</t>
  </si>
  <si>
    <t>Inproelec</t>
  </si>
  <si>
    <t xml:space="preserve">562476#1
</t>
  </si>
  <si>
    <t xml:space="preserve">Colegio De Abogados
</t>
  </si>
  <si>
    <t>3142257#2</t>
  </si>
  <si>
    <t>Arquimed Educación</t>
  </si>
  <si>
    <t>603842#1</t>
  </si>
  <si>
    <t>Biznovator</t>
  </si>
  <si>
    <t>3 machine</t>
  </si>
  <si>
    <t>3684367#2</t>
  </si>
  <si>
    <t>Corporacion Colegio Cristobal Colon</t>
  </si>
  <si>
    <t xml:space="preserve">665815#3
</t>
  </si>
  <si>
    <t xml:space="preserve">Agua Buena
</t>
  </si>
  <si>
    <t>985072#2</t>
  </si>
  <si>
    <t>CHILEMAT</t>
  </si>
  <si>
    <t>4341414#1</t>
  </si>
  <si>
    <t>Bacco</t>
  </si>
  <si>
    <t>4327588#1</t>
  </si>
  <si>
    <t>Acabadosytechos</t>
  </si>
  <si>
    <t>1986700#1</t>
  </si>
  <si>
    <t>Dompeingenieria</t>
  </si>
  <si>
    <t>565999#1</t>
  </si>
  <si>
    <t>Redcarozzi</t>
  </si>
  <si>
    <t>Multiple cases. Case ID 565999#1.
There is a previous entity related to this company; it has no case link to it, but it has a revenue opportunity. Entity name: Redcarozzi. Status Closed - Not Won (Lost). Effective Date 2022-12-26.</t>
  </si>
  <si>
    <t>4336364#1</t>
  </si>
  <si>
    <t>Luxuscr</t>
  </si>
  <si>
    <t>1416257#1</t>
  </si>
  <si>
    <t>Climapoweringenieria</t>
  </si>
  <si>
    <t>4393790#1</t>
  </si>
  <si>
    <t>Reddmx</t>
  </si>
  <si>
    <t>716880#2</t>
  </si>
  <si>
    <t>Grupo FCAB</t>
  </si>
  <si>
    <t>4333290#1</t>
  </si>
  <si>
    <t>Goselectronica</t>
  </si>
  <si>
    <t>QA - Disqualified (Entity Profiling)</t>
  </si>
  <si>
    <t>4418761#1</t>
  </si>
  <si>
    <t>Soe360</t>
  </si>
  <si>
    <t>922168#1</t>
  </si>
  <si>
    <t>QDI</t>
  </si>
  <si>
    <t>1041233#1</t>
  </si>
  <si>
    <t>Pablo Andres Letelier Swinburn</t>
  </si>
  <si>
    <t>Wrong company profiling.</t>
  </si>
  <si>
    <t>4315465#1</t>
  </si>
  <si>
    <t>Matra</t>
  </si>
  <si>
    <t>4405289#1</t>
  </si>
  <si>
    <t>Unicordobaco</t>
  </si>
  <si>
    <t xml:space="preserve">2267473#1
</t>
  </si>
  <si>
    <t>Aeme</t>
  </si>
  <si>
    <t>874537#2</t>
  </si>
  <si>
    <t>Orengo y Asociados</t>
  </si>
  <si>
    <t>760410#1</t>
  </si>
  <si>
    <t>Tecmcgregor</t>
  </si>
  <si>
    <t>1496313#1</t>
  </si>
  <si>
    <t>Diseñatumueble.com</t>
  </si>
  <si>
    <t>2473921#1</t>
  </si>
  <si>
    <t>Ciardi</t>
  </si>
  <si>
    <t>3877066#1</t>
  </si>
  <si>
    <t>Moprinsa</t>
  </si>
  <si>
    <t>3814641#2</t>
  </si>
  <si>
    <t>GRUPO G.V.C. S.A.S.</t>
  </si>
  <si>
    <t>1090216#1</t>
  </si>
  <si>
    <t>Crosetto Ingeniería SA</t>
  </si>
  <si>
    <t>2249360#1,573765#1</t>
  </si>
  <si>
    <t>INFRA DE EL SALVADOR, S.A. DE C.V.</t>
  </si>
  <si>
    <t>New case discovered, multiple case. Sent to investigate</t>
  </si>
  <si>
    <t>1915762#1</t>
  </si>
  <si>
    <t>Ambrosini+Pesaque arquitectos</t>
  </si>
  <si>
    <t>717957#2</t>
  </si>
  <si>
    <t>IDE Business School</t>
  </si>
  <si>
    <t>4366848#1</t>
  </si>
  <si>
    <t>Palmerolaairport</t>
  </si>
  <si>
    <t>1002347#1</t>
  </si>
  <si>
    <t>Jgaviria</t>
  </si>
  <si>
    <t>4364542#1</t>
  </si>
  <si>
    <t xml:space="preserve">Icomallas
</t>
  </si>
  <si>
    <t>4432478#1</t>
  </si>
  <si>
    <t>Mass</t>
  </si>
  <si>
    <t>939649#1</t>
  </si>
  <si>
    <t>CONCRETERA PROME</t>
  </si>
  <si>
    <t>RRP Ingeniería</t>
  </si>
  <si>
    <t>4366918#1</t>
  </si>
  <si>
    <t>Grupo Serproma (Serproma)</t>
  </si>
  <si>
    <t>1376517#1</t>
  </si>
  <si>
    <t>Reychcontratistas</t>
  </si>
  <si>
    <t>4252437#1</t>
  </si>
  <si>
    <t>Mrenovables</t>
  </si>
  <si>
    <t>4469219#1</t>
  </si>
  <si>
    <t>Vectralis</t>
  </si>
  <si>
    <t>1005443#1</t>
  </si>
  <si>
    <t>Mosaicos Lenzi S A</t>
  </si>
  <si>
    <t>4247538#1</t>
  </si>
  <si>
    <t>Bioximad</t>
  </si>
  <si>
    <t>4420781#1</t>
  </si>
  <si>
    <t>Verticeproyectos</t>
  </si>
  <si>
    <t>4326565#1</t>
  </si>
  <si>
    <t>24hs</t>
  </si>
  <si>
    <t>4400953#1</t>
  </si>
  <si>
    <t>Arquitecturaymobiliario</t>
  </si>
  <si>
    <t>4443640#1</t>
  </si>
  <si>
    <t>Oltech</t>
  </si>
  <si>
    <t>1098212#1</t>
  </si>
  <si>
    <t>Arquitecstore</t>
  </si>
  <si>
    <t>3549797#1</t>
  </si>
  <si>
    <t>Adecuo</t>
  </si>
  <si>
    <t>704646#1</t>
  </si>
  <si>
    <t>Biotecap</t>
  </si>
  <si>
    <t>2952620#1</t>
  </si>
  <si>
    <t>Grupocasatua</t>
  </si>
  <si>
    <t>3532613#1</t>
  </si>
  <si>
    <t>Giuseppelozano</t>
  </si>
  <si>
    <t>4336984#1</t>
  </si>
  <si>
    <t>Eliteindustrial</t>
  </si>
  <si>
    <t>568832#1</t>
  </si>
  <si>
    <t>Volumen Arquitectos SAS</t>
  </si>
  <si>
    <t>1263876#1</t>
  </si>
  <si>
    <t>Rodenstock Chile S.A.</t>
  </si>
  <si>
    <t>1545195#1</t>
  </si>
  <si>
    <t>Jaquestudio</t>
  </si>
  <si>
    <t>4344357#1</t>
  </si>
  <si>
    <t>Edificarsa</t>
  </si>
  <si>
    <t>4325879#1</t>
  </si>
  <si>
    <t>Almaarquitectos</t>
  </si>
  <si>
    <t>4459445#1</t>
  </si>
  <si>
    <t>Alcove</t>
  </si>
  <si>
    <t>3250945#1</t>
  </si>
  <si>
    <t>Ike Asistencia Argentina S.A.</t>
  </si>
  <si>
    <t>4322598#1</t>
  </si>
  <si>
    <t>Exponerarquitectura</t>
  </si>
  <si>
    <t>4372524#1</t>
  </si>
  <si>
    <t>Domoarquitectura</t>
  </si>
  <si>
    <t>68940#3</t>
  </si>
  <si>
    <t>Darc Libertador Sa</t>
  </si>
  <si>
    <t>3399902#1</t>
  </si>
  <si>
    <t>Gruposidec</t>
  </si>
  <si>
    <t>301242#1</t>
  </si>
  <si>
    <t>Garnier Arquitectos</t>
  </si>
  <si>
    <t>1546662#1</t>
  </si>
  <si>
    <t>Estudiosinergia</t>
  </si>
  <si>
    <t>2295731#3</t>
  </si>
  <si>
    <t>Orlando Gabriel Gadea</t>
  </si>
  <si>
    <t xml:space="preserve">There is another case related to the entity. Case ID 662317#1
</t>
  </si>
  <si>
    <t>1447295#1</t>
  </si>
  <si>
    <t>FENIX ARQUITECTOS</t>
  </si>
  <si>
    <t>1935040#1</t>
  </si>
  <si>
    <t>Sociedad Mar Mau Ltda</t>
  </si>
  <si>
    <t>1104241#1</t>
  </si>
  <si>
    <t>Smart Fit Colombia</t>
  </si>
  <si>
    <t>594813#1</t>
  </si>
  <si>
    <t>Mallol y Mallol Arquitectos</t>
  </si>
  <si>
    <t>+3 machines. Connor</t>
  </si>
  <si>
    <t>4456066#1, 4477023#1</t>
  </si>
  <si>
    <t xml:space="preserve">Alcaldía de Cubará
</t>
  </si>
  <si>
    <t>1991622#2</t>
  </si>
  <si>
    <t>ILTEC</t>
  </si>
  <si>
    <t>2281278#1</t>
  </si>
  <si>
    <t>Sinergia Tamaulipas</t>
  </si>
  <si>
    <t>4450132#1</t>
  </si>
  <si>
    <t>Gatblac</t>
  </si>
  <si>
    <t>1914580#1</t>
  </si>
  <si>
    <t>Ezgo S.A.</t>
  </si>
  <si>
    <t>1531402#1</t>
  </si>
  <si>
    <t>Deinnic</t>
  </si>
  <si>
    <t>4466868#1</t>
  </si>
  <si>
    <t>Tejasmaxtech</t>
  </si>
  <si>
    <t>1107440#1</t>
  </si>
  <si>
    <t>Increxa</t>
  </si>
  <si>
    <t>1007440#1</t>
  </si>
  <si>
    <t>El Colegio de Urbanistas de México a.c. ECUM</t>
  </si>
  <si>
    <t>1156514#1</t>
  </si>
  <si>
    <t>Mopc</t>
  </si>
  <si>
    <t xml:space="preserve">2416403#1
</t>
  </si>
  <si>
    <t>s.g natclar s.a.c</t>
  </si>
  <si>
    <t>1098960#1</t>
  </si>
  <si>
    <t>Cisac</t>
  </si>
  <si>
    <t>1146550#</t>
  </si>
  <si>
    <t>Emapa</t>
  </si>
  <si>
    <t>1141644#1</t>
  </si>
  <si>
    <t>Devannaarquitectura</t>
  </si>
  <si>
    <t>1840727#1</t>
  </si>
  <si>
    <t>IMDHER</t>
  </si>
  <si>
    <t>1593064#1</t>
  </si>
  <si>
    <t>Mindef</t>
  </si>
  <si>
    <t>1873286#1</t>
  </si>
  <si>
    <t>OrangeFresh Argentina</t>
  </si>
  <si>
    <t>1156959#1</t>
  </si>
  <si>
    <t>Triple I</t>
  </si>
  <si>
    <t>Company seems to be inactive.</t>
  </si>
  <si>
    <t>4184802#1</t>
  </si>
  <si>
    <t>Munipocollay</t>
  </si>
  <si>
    <t>909780#1</t>
  </si>
  <si>
    <t>Urbanova</t>
  </si>
  <si>
    <t>1777007#1</t>
  </si>
  <si>
    <t>A3 Arquitectos</t>
  </si>
  <si>
    <t>1639504#1</t>
  </si>
  <si>
    <t>Jardineros</t>
  </si>
  <si>
    <t>1417145#1</t>
  </si>
  <si>
    <t>Transsa Consultores Inmobiliarios</t>
  </si>
  <si>
    <t xml:space="preserve">Case disqualified, not enough data or information to associate the machine with the entity
</t>
  </si>
  <si>
    <t>2065165#1</t>
  </si>
  <si>
    <t>Oktomx</t>
  </si>
  <si>
    <t>3 Machines</t>
  </si>
  <si>
    <t>4417403#1</t>
  </si>
  <si>
    <t>Colorblue</t>
  </si>
  <si>
    <t>754933#1</t>
  </si>
  <si>
    <t>Medialab Teilhard de Chardin JS - Colegio San Ignacio El Bosque</t>
  </si>
  <si>
    <t>1481034#2</t>
  </si>
  <si>
    <t>Pysargom</t>
  </si>
  <si>
    <t>4419940#1</t>
  </si>
  <si>
    <t>Skinsolutions</t>
  </si>
  <si>
    <t>1614259#1</t>
  </si>
  <si>
    <t>Adquisiciones Y Servicios Empresariales S.A</t>
  </si>
  <si>
    <t>280451#2</t>
  </si>
  <si>
    <t>Cablevision S.A. De C.V.</t>
  </si>
  <si>
    <t xml:space="preserve">There is a previous case related to the entity. It was already engaged. Case ID 715092#1. Status Closed - Not Won (Lost). Effective date 2024-07-09
</t>
  </si>
  <si>
    <t>4318685#1</t>
  </si>
  <si>
    <t>Naturcol</t>
  </si>
  <si>
    <t>3856617#1</t>
  </si>
  <si>
    <t>Factotal S.A</t>
  </si>
  <si>
    <t>4476107#1</t>
  </si>
  <si>
    <t>Sict</t>
  </si>
  <si>
    <t>3051904#1</t>
  </si>
  <si>
    <t>Snkcontadores</t>
  </si>
  <si>
    <t>1612597#1</t>
  </si>
  <si>
    <t>Teknochile Limitada (TEKNOCHILE LIMITADA)</t>
  </si>
  <si>
    <t>581813#1</t>
  </si>
  <si>
    <t xml:space="preserve">Grupo Castelli
</t>
  </si>
  <si>
    <t>1003468#1</t>
  </si>
  <si>
    <t>Solumec</t>
  </si>
  <si>
    <t>887507#1</t>
  </si>
  <si>
    <t>Bright Star Chile</t>
  </si>
  <si>
    <t>1678852#1</t>
  </si>
  <si>
    <t>Ministerio de Hacienda de Costa Rica</t>
  </si>
  <si>
    <t>+3 Machines</t>
  </si>
  <si>
    <t>4219514#1</t>
  </si>
  <si>
    <t>Moldpetsas</t>
  </si>
  <si>
    <t>1694271#1</t>
  </si>
  <si>
    <t>Derco</t>
  </si>
  <si>
    <t>899915#1</t>
  </si>
  <si>
    <t>Secretaria Estado Medio Ambiente</t>
  </si>
  <si>
    <t>2166030#1</t>
  </si>
  <si>
    <t>Le.Tengo Estudio de Arquitectura</t>
  </si>
  <si>
    <t>2954407#1</t>
  </si>
  <si>
    <t>House Fuegia SRL</t>
  </si>
  <si>
    <t>479428#1</t>
  </si>
  <si>
    <t>Ministerio De Desarrollo Social Mides</t>
  </si>
  <si>
    <t>593497#1</t>
  </si>
  <si>
    <t>UpInmobiliario</t>
  </si>
  <si>
    <t>1474593#1</t>
  </si>
  <si>
    <t>Capex S A</t>
  </si>
  <si>
    <t>739073#1</t>
  </si>
  <si>
    <t xml:space="preserve">MOPT Costa Rica
</t>
  </si>
  <si>
    <t>4375024#1</t>
  </si>
  <si>
    <t xml:space="preserve">Ancorachile
</t>
  </si>
  <si>
    <t>4419771#1</t>
  </si>
  <si>
    <t>Navasynavas</t>
  </si>
  <si>
    <t>4641272#1</t>
  </si>
  <si>
    <t>Obras públicas del H. AYUNTAMIENTO</t>
  </si>
  <si>
    <t>4344638#1</t>
  </si>
  <si>
    <t>Magnaexport</t>
  </si>
  <si>
    <t>4339004#1</t>
  </si>
  <si>
    <t>Arquitecturaabierta</t>
  </si>
  <si>
    <t>4502865#1</t>
  </si>
  <si>
    <t>Tampico</t>
  </si>
  <si>
    <t>1194094#1</t>
  </si>
  <si>
    <t>Civita Arquitectos Ltda.</t>
  </si>
  <si>
    <t>4307386#1</t>
  </si>
  <si>
    <t>Contrafuerte</t>
  </si>
  <si>
    <t>There is another case related to the entity. Case ID 1679817#1. It was already engaged. Status won. Effective date: 2025-05-09. New unlicensed events after the effective date.</t>
  </si>
  <si>
    <t>4531346#1</t>
  </si>
  <si>
    <t>Prourvika</t>
  </si>
  <si>
    <t>4337378#1</t>
  </si>
  <si>
    <t>Grekad Met Ltda.</t>
  </si>
  <si>
    <t>4324367#1</t>
  </si>
  <si>
    <t>Johannaortiz</t>
  </si>
  <si>
    <t xml:space="preserve">1052413#
</t>
  </si>
  <si>
    <t>Ccytet</t>
  </si>
  <si>
    <t>2025942#1</t>
  </si>
  <si>
    <t>Energy to Business SPA</t>
  </si>
  <si>
    <t>Government related</t>
  </si>
  <si>
    <t>4330121#1</t>
  </si>
  <si>
    <t>TISSINI</t>
  </si>
  <si>
    <t xml:space="preserve">We could not validate the physical presence of the company in Colombia. 
</t>
  </si>
  <si>
    <t>1071679#1</t>
  </si>
  <si>
    <t>Aldo Alvarez Tostado Martinez</t>
  </si>
  <si>
    <t>4375513#1</t>
  </si>
  <si>
    <t>Solucionesmfm</t>
  </si>
  <si>
    <t xml:space="preserve">1091629#1
</t>
  </si>
  <si>
    <t>Rodenstock</t>
  </si>
  <si>
    <t>Uruguay subsidiary for Rodenstock. The Chile case is also available.</t>
  </si>
  <si>
    <t>1629702#1</t>
  </si>
  <si>
    <t>Indamex</t>
  </si>
  <si>
    <t>1639108#1</t>
  </si>
  <si>
    <t>Operadores Tecnicos De Estaciones De Servicio S.A.S</t>
  </si>
  <si>
    <t>4146808#1</t>
  </si>
  <si>
    <t>Vcrica</t>
  </si>
  <si>
    <t>1960748#1</t>
  </si>
  <si>
    <t>Ntf</t>
  </si>
  <si>
    <t>There is another case related to the entity and it was already engaged. Case ID 4473992#1.</t>
  </si>
  <si>
    <t>418513#1</t>
  </si>
  <si>
    <t xml:space="preserve">Consorcio Intra
</t>
  </si>
  <si>
    <t>Ruvixx Strategic Old Accounts / related entities</t>
  </si>
  <si>
    <t>3271846#1</t>
  </si>
  <si>
    <t>Lud Creativo s.a.s</t>
  </si>
  <si>
    <t>3410628#1</t>
  </si>
  <si>
    <t>Accsa</t>
  </si>
  <si>
    <t>1262563#1</t>
  </si>
  <si>
    <t>4442163#1</t>
  </si>
  <si>
    <t>Blackswan</t>
  </si>
  <si>
    <t>4444041#1</t>
  </si>
  <si>
    <t>Olgacrisee</t>
  </si>
  <si>
    <t>4441560#1</t>
  </si>
  <si>
    <t>Baronyvicario</t>
  </si>
  <si>
    <t>4405542#1</t>
  </si>
  <si>
    <t>Outputsv</t>
  </si>
  <si>
    <t>2073979#1</t>
  </si>
  <si>
    <t>Yanyunis Inc SA</t>
  </si>
  <si>
    <t>4363883#1</t>
  </si>
  <si>
    <t>Kali</t>
  </si>
  <si>
    <t>4530619#1</t>
  </si>
  <si>
    <t>Frame</t>
  </si>
  <si>
    <t>Week 1
June 1-5</t>
  </si>
  <si>
    <t xml:space="preserve">Week 2
June 8-12
</t>
  </si>
  <si>
    <t>LOW</t>
  </si>
  <si>
    <t>Week 3
June 15-19</t>
  </si>
  <si>
    <t>Week 4
June 22-26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</si>
</sst>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"/>
  </numFmts>
  <fonts count="47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color theme="1"/>
      <name val="Arial"/>
      <scheme val="minor"/>
    </font>
    <font>
      <b/>
      <sz val="16.0"/>
      <color theme="1"/>
      <name val="Arial"/>
      <scheme val="minor"/>
    </font>
    <font>
      <b/>
      <sz val="16.0"/>
      <color theme="1"/>
      <name val="Arial"/>
    </font>
    <font>
      <b/>
      <sz val="12.0"/>
      <color theme="1"/>
      <name val="Arial"/>
    </font>
    <font>
      <color theme="1"/>
      <name val="Arial"/>
    </font>
    <font>
      <sz val="10.0"/>
      <color theme="1"/>
      <name val="Arial"/>
      <scheme val="minor"/>
    </font>
    <font>
      <b/>
      <color theme="1"/>
      <name val="Arial"/>
    </font>
    <font>
      <b/>
      <color theme="1"/>
      <name val="Arial"/>
      <scheme val="minor"/>
    </font>
    <font>
      <color rgb="FFFFFFFF"/>
      <name val="Arial"/>
      <scheme val="minor"/>
    </font>
    <font>
      <sz val="10.0"/>
      <color rgb="FFFFFFFF"/>
      <name val="Arial"/>
      <scheme val="minor"/>
    </font>
    <font>
      <color theme="1"/>
      <name val="Roboto"/>
    </font>
    <font>
      <sz val="10.0"/>
      <color rgb="FF666666"/>
      <name val="Roboto"/>
    </font>
    <font>
      <sz val="10.0"/>
      <color rgb="FF333333"/>
      <name val="Roboto"/>
    </font>
    <font>
      <color rgb="FF000000"/>
      <name val="Arial"/>
      <scheme val="minor"/>
    </font>
    <font>
      <sz val="10.0"/>
      <color rgb="FF000000"/>
      <name val="Roboto"/>
    </font>
    <font>
      <color rgb="FF000000"/>
      <name val="Roboto"/>
    </font>
    <font>
      <color rgb="FF3D3D3D"/>
      <name val="Roboto"/>
    </font>
    <font>
      <sz val="9.0"/>
      <color rgb="FF666666"/>
      <name val="&quot;Open Sans&quot;"/>
    </font>
    <font>
      <sz val="9.0"/>
      <color theme="1"/>
      <name val="Inter"/>
    </font>
    <font>
      <sz val="9.0"/>
      <color rgb="FF666666"/>
      <name val="Inter"/>
    </font>
    <font>
      <sz val="10.0"/>
      <color rgb="FF000000"/>
      <name val="Poppins"/>
    </font>
    <font>
      <color theme="1"/>
      <name val="Poppins"/>
    </font>
    <font>
      <sz val="10.0"/>
      <color rgb="FF333333"/>
      <name val="Arial"/>
      <scheme val="minor"/>
    </font>
    <font>
      <sz val="11.0"/>
      <color rgb="FF000000"/>
      <name val="Arial"/>
    </font>
    <font>
      <sz val="11.0"/>
      <color theme="1"/>
      <name val="Arial"/>
    </font>
    <font>
      <sz val="10.0"/>
      <color rgb="FF000000"/>
      <name val="Arial"/>
    </font>
    <font>
      <sz val="9.0"/>
      <color rgb="FF000000"/>
      <name val="Inter"/>
    </font>
    <font>
      <b/>
      <sz val="10.0"/>
      <color theme="1"/>
      <name val="Arial"/>
      <scheme val="minor"/>
    </font>
    <font>
      <b/>
      <sz val="16.0"/>
      <color rgb="FFFFFFFF"/>
      <name val="Arial"/>
    </font>
    <font>
      <color rgb="FF434343"/>
      <name val="Roboto"/>
    </font>
    <font>
      <sz val="8.0"/>
      <color theme="1"/>
      <name val="Arial"/>
      <scheme val="minor"/>
    </font>
    <font>
      <u/>
      <color rgb="FF0000FF"/>
      <name val="Roboto"/>
    </font>
    <font>
      <color rgb="FF000000"/>
      <name val="Arial"/>
    </font>
    <font>
      <sz val="9.0"/>
      <color rgb="FF000000"/>
      <name val="Arial"/>
    </font>
    <font>
      <sz val="8.0"/>
      <color rgb="FF000000"/>
      <name val="Arial"/>
    </font>
    <font>
      <u/>
      <color rgb="FF0000FF"/>
      <name val="Roboto"/>
    </font>
    <font>
      <sz val="9.0"/>
      <color rgb="FF000000"/>
      <name val="Poppins"/>
    </font>
    <font>
      <sz val="11.0"/>
      <color rgb="FF3D3D3D"/>
      <name val="Arial"/>
    </font>
    <font>
      <color rgb="FF434343"/>
      <name val="Arial"/>
    </font>
    <font>
      <sz val="9.0"/>
      <color rgb="FF3D3D3D"/>
      <name val="Arial"/>
    </font>
    <font>
      <u/>
      <color rgb="FF0000FF"/>
      <name val="Roboto"/>
    </font>
    <font>
      <sz val="10.0"/>
      <color rgb="FF3D3D3D"/>
      <name val="Arial"/>
    </font>
    <font>
      <i/>
      <color theme="1"/>
      <name val="Arial"/>
      <scheme val="minor"/>
    </font>
    <font>
      <sz val="12.0"/>
      <color rgb="FF000000"/>
      <name val="&quot;Open Sans&quot;"/>
    </font>
    <font>
      <sz val="11.0"/>
      <color rgb="FF000000"/>
      <name val="Roboto"/>
    </font>
  </fonts>
  <fills count="30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93C47D"/>
        <bgColor rgb="FF93C47D"/>
      </patternFill>
    </fill>
    <fill>
      <patternFill patternType="solid">
        <fgColor rgb="FF4A86E8"/>
        <bgColor rgb="FF4A86E8"/>
      </patternFill>
    </fill>
    <fill>
      <patternFill patternType="solid">
        <fgColor rgb="FFF6B26B"/>
        <bgColor rgb="FFF6B26B"/>
      </patternFill>
    </fill>
    <fill>
      <patternFill patternType="solid">
        <fgColor rgb="FF6D9EEB"/>
        <bgColor rgb="FF6D9EEB"/>
      </patternFill>
    </fill>
    <fill>
      <patternFill patternType="solid">
        <fgColor rgb="FFB4A7D6"/>
        <bgColor rgb="FFB4A7D6"/>
      </patternFill>
    </fill>
    <fill>
      <patternFill patternType="solid">
        <fgColor rgb="FFB6D7A8"/>
        <bgColor rgb="FFB6D7A8"/>
      </patternFill>
    </fill>
    <fill>
      <patternFill patternType="solid">
        <fgColor rgb="FFF4CCCC"/>
        <bgColor rgb="FFF4CCCC"/>
      </patternFill>
    </fill>
    <fill>
      <patternFill patternType="solid">
        <fgColor rgb="FFA4C2F4"/>
        <bgColor rgb="FFA4C2F4"/>
      </patternFill>
    </fill>
    <fill>
      <patternFill patternType="solid">
        <fgColor rgb="FFFFD966"/>
        <bgColor rgb="FFFFD966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E06666"/>
        <bgColor rgb="FFE06666"/>
      </patternFill>
    </fill>
    <fill>
      <patternFill patternType="solid">
        <fgColor rgb="FFEA9999"/>
        <bgColor rgb="FFEA9999"/>
      </patternFill>
    </fill>
    <fill>
      <patternFill patternType="solid">
        <fgColor rgb="FFFFF2CC"/>
        <bgColor rgb="FFFFF2CC"/>
      </patternFill>
    </fill>
    <fill>
      <patternFill patternType="solid">
        <fgColor rgb="FFF6F8F9"/>
        <bgColor rgb="FFF6F8F9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9900FF"/>
        <bgColor rgb="FF9900FF"/>
      </patternFill>
    </fill>
    <fill>
      <patternFill patternType="solid">
        <fgColor rgb="FF0C343D"/>
        <bgColor rgb="FF0C343D"/>
      </patternFill>
    </fill>
    <fill>
      <patternFill patternType="solid">
        <fgColor rgb="FFEAD1DC"/>
        <bgColor rgb="FFEAD1DC"/>
      </patternFill>
    </fill>
    <fill>
      <patternFill patternType="solid">
        <fgColor rgb="FF980000"/>
        <bgColor rgb="FF980000"/>
      </patternFill>
    </fill>
    <fill>
      <patternFill patternType="solid">
        <fgColor rgb="FF6AA84F"/>
        <bgColor rgb="FF6AA84F"/>
      </patternFill>
    </fill>
    <fill>
      <patternFill patternType="solid">
        <fgColor rgb="FFDD7E6B"/>
        <bgColor rgb="FFDD7E6B"/>
      </patternFill>
    </fill>
    <fill>
      <patternFill patternType="solid">
        <fgColor rgb="FFF1C232"/>
        <bgColor rgb="FFF1C232"/>
      </patternFill>
    </fill>
    <fill>
      <patternFill patternType="solid">
        <fgColor rgb="FFF3F3F3"/>
        <bgColor rgb="FFF3F3F3"/>
      </patternFill>
    </fill>
    <fill>
      <patternFill patternType="solid">
        <fgColor rgb="FFE6B8AF"/>
        <bgColor rgb="FFE6B8AF"/>
      </patternFill>
    </fill>
  </fills>
  <borders count="30">
    <border/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FFFFFF"/>
      </bottom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3E4791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right style="thin">
        <color rgb="FFF6F8F9"/>
      </right>
      <top style="thin">
        <color rgb="FFF6F8F9"/>
      </top>
      <bottom style="thin">
        <color rgb="FFF6F8F9"/>
      </bottom>
    </border>
    <border>
      <right style="thin">
        <color rgb="FFFFFFFF"/>
      </right>
      <top style="thin">
        <color rgb="FFFFFFFF"/>
      </top>
    </border>
    <border>
      <left style="thin">
        <color rgb="FF3E4791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</border>
    <border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  <border>
      <top style="thin">
        <color rgb="FFFFFFFF"/>
      </top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3E4791"/>
      </bottom>
    </border>
    <border>
      <left style="thin">
        <color rgb="FF284E3F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284E3F"/>
      </right>
      <bottom style="thin">
        <color rgb="FFF6F8F9"/>
      </bottom>
    </border>
    <border>
      <left style="thin">
        <color rgb="FF442F65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742932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000000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000000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742932"/>
      </right>
      <top style="thin">
        <color rgb="FFFFFFFF"/>
      </top>
      <bottom style="thin">
        <color rgb="FFFFFFFF"/>
      </bottom>
    </border>
  </borders>
  <cellStyleXfs count="1">
    <xf borderId="0" fillId="0" fontId="0" numFmtId="0" applyAlignment="1" applyFont="1"/>
  </cellStyleXfs>
  <cellXfs count="496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center"/>
    </xf>
    <xf borderId="0" fillId="3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4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/>
    </xf>
    <xf borderId="0" fillId="0" fontId="2" numFmtId="0" xfId="0" applyFont="1"/>
    <xf borderId="0" fillId="5" fontId="3" numFmtId="0" xfId="0" applyAlignment="1" applyFill="1" applyFont="1">
      <alignment horizontal="center" readingOrder="0" vertical="center"/>
    </xf>
    <xf borderId="0" fillId="6" fontId="4" numFmtId="0" xfId="0" applyAlignment="1" applyFill="1" applyFont="1">
      <alignment horizontal="center" readingOrder="0" vertical="center"/>
    </xf>
    <xf borderId="0" fillId="3" fontId="5" numFmtId="0" xfId="0" applyAlignment="1" applyFont="1">
      <alignment horizontal="center" vertical="bottom"/>
    </xf>
    <xf borderId="0" fillId="0" fontId="6" numFmtId="0" xfId="0" applyAlignment="1" applyFont="1">
      <alignment vertical="bottom"/>
    </xf>
    <xf borderId="0" fillId="4" fontId="5" numFmtId="0" xfId="0" applyAlignment="1" applyFont="1">
      <alignment horizontal="center" vertical="bottom"/>
    </xf>
    <xf borderId="0" fillId="0" fontId="6" numFmtId="0" xfId="0" applyAlignment="1" applyFont="1">
      <alignment horizontal="center" readingOrder="0" vertical="bottom"/>
    </xf>
    <xf borderId="0" fillId="0" fontId="5" numFmtId="0" xfId="0" applyAlignment="1" applyFont="1">
      <alignment vertical="bottom"/>
    </xf>
    <xf borderId="0" fillId="0" fontId="7" numFmtId="0" xfId="0" applyFont="1"/>
    <xf borderId="0" fillId="0" fontId="6" numFmtId="0" xfId="0" applyAlignment="1" applyFont="1">
      <alignment readingOrder="0" vertical="bottom"/>
    </xf>
    <xf borderId="0" fillId="2" fontId="5" numFmtId="0" xfId="0" applyAlignment="1" applyFont="1">
      <alignment readingOrder="0" vertical="bottom"/>
    </xf>
    <xf borderId="0" fillId="7" fontId="5" numFmtId="0" xfId="0" applyAlignment="1" applyFill="1" applyFont="1">
      <alignment readingOrder="0" vertical="bottom"/>
    </xf>
    <xf borderId="0" fillId="2" fontId="1" numFmtId="0" xfId="0" applyAlignment="1" applyFont="1">
      <alignment readingOrder="0"/>
    </xf>
    <xf borderId="0" fillId="8" fontId="8" numFmtId="0" xfId="0" applyAlignment="1" applyFill="1" applyFont="1">
      <alignment readingOrder="0" vertical="bottom"/>
    </xf>
    <xf borderId="0" fillId="9" fontId="9" numFmtId="0" xfId="0" applyAlignment="1" applyFill="1" applyFont="1">
      <alignment readingOrder="0"/>
    </xf>
    <xf borderId="0" fillId="9" fontId="9" numFmtId="0" xfId="0" applyFont="1"/>
    <xf borderId="0" fillId="10" fontId="8" numFmtId="0" xfId="0" applyAlignment="1" applyFill="1" applyFont="1">
      <alignment vertical="bottom"/>
    </xf>
    <xf borderId="0" fillId="10" fontId="8" numFmtId="0" xfId="0" applyAlignment="1" applyFont="1">
      <alignment readingOrder="0" vertical="bottom"/>
    </xf>
    <xf borderId="0" fillId="3" fontId="5" numFmtId="0" xfId="0" applyAlignment="1" applyFont="1">
      <alignment readingOrder="0" vertical="bottom"/>
    </xf>
    <xf borderId="0" fillId="11" fontId="5" numFmtId="0" xfId="0" applyAlignment="1" applyFill="1" applyFont="1">
      <alignment readingOrder="0" vertical="bottom"/>
    </xf>
    <xf borderId="0" fillId="11" fontId="5" numFmtId="0" xfId="0" applyAlignment="1" applyFont="1">
      <alignment vertical="bottom"/>
    </xf>
    <xf borderId="0" fillId="5" fontId="4" numFmtId="0" xfId="0" applyAlignment="1" applyFont="1">
      <alignment horizontal="center" readingOrder="0" vertical="center"/>
    </xf>
    <xf borderId="0" fillId="0" fontId="2" numFmtId="49" xfId="0" applyFont="1" applyNumberFormat="1"/>
    <xf borderId="0" fillId="2" fontId="5" numFmtId="0" xfId="0" applyAlignment="1" applyFont="1">
      <alignment vertical="bottom"/>
    </xf>
    <xf borderId="0" fillId="7" fontId="5" numFmtId="0" xfId="0" applyAlignment="1" applyFont="1">
      <alignment vertical="bottom"/>
    </xf>
    <xf borderId="0" fillId="8" fontId="8" numFmtId="0" xfId="0" applyAlignment="1" applyFont="1">
      <alignment vertical="bottom"/>
    </xf>
    <xf borderId="0" fillId="8" fontId="8" numFmtId="0" xfId="0" applyAlignment="1" applyFont="1">
      <alignment horizontal="right" readingOrder="0" vertical="bottom"/>
    </xf>
    <xf borderId="0" fillId="9" fontId="8" numFmtId="0" xfId="0" applyAlignment="1" applyFont="1">
      <alignment horizontal="right" vertical="bottom"/>
    </xf>
    <xf borderId="0" fillId="10" fontId="8" numFmtId="0" xfId="0" applyAlignment="1" applyFont="1">
      <alignment horizontal="right" vertical="bottom"/>
    </xf>
    <xf borderId="0" fillId="8" fontId="8" numFmtId="0" xfId="0" applyAlignment="1" applyFont="1">
      <alignment horizontal="right" vertical="bottom"/>
    </xf>
    <xf borderId="0" fillId="10" fontId="8" numFmtId="0" xfId="0" applyAlignment="1" applyFont="1">
      <alignment horizontal="right" readingOrder="0" vertical="bottom"/>
    </xf>
    <xf borderId="0" fillId="3" fontId="5" numFmtId="0" xfId="0" applyAlignment="1" applyFont="1">
      <alignment vertical="bottom"/>
    </xf>
    <xf borderId="0" fillId="11" fontId="5" numFmtId="0" xfId="0" applyAlignment="1" applyFont="1">
      <alignment horizontal="right" vertical="bottom"/>
    </xf>
    <xf borderId="0" fillId="0" fontId="10" numFmtId="0" xfId="0" applyAlignment="1" applyFont="1">
      <alignment horizontal="left" readingOrder="0" shrinkToFit="0" vertical="center" wrapText="1"/>
    </xf>
    <xf borderId="0" fillId="0" fontId="10" numFmtId="0" xfId="0" applyFont="1"/>
    <xf borderId="0" fillId="0" fontId="11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left" readingOrder="0" shrinkToFit="0" vertical="center" wrapText="1"/>
    </xf>
    <xf borderId="0" fillId="0" fontId="10" numFmtId="0" xfId="0" applyAlignment="1" applyFont="1">
      <alignment horizontal="left" readingOrder="0" shrinkToFit="0" vertical="center" wrapText="0"/>
    </xf>
    <xf borderId="0" fillId="0" fontId="10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center" readingOrder="0" shrinkToFit="0" wrapText="1"/>
    </xf>
    <xf borderId="0" fillId="0" fontId="7" numFmtId="0" xfId="0" applyAlignment="1" applyFont="1">
      <alignment horizontal="center" readingOrder="0" shrinkToFit="0" vertical="center" wrapText="1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1"/>
    </xf>
    <xf borderId="0" fillId="0" fontId="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readingOrder="0"/>
    </xf>
    <xf borderId="0" fillId="0" fontId="12" numFmtId="0" xfId="0" applyAlignment="1" applyFont="1">
      <alignment horizontal="center" readingOrder="0" shrinkToFit="0" vertical="center" wrapText="1"/>
    </xf>
    <xf borderId="0" fillId="0" fontId="12" numFmtId="49" xfId="0" applyAlignment="1" applyFont="1" applyNumberForma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1"/>
    </xf>
    <xf borderId="0" fillId="0" fontId="12" numFmtId="0" xfId="0" applyAlignment="1" applyFon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164" xfId="0" applyAlignment="1" applyFont="1" applyNumberForma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12" fontId="13" numFmtId="164" xfId="0" applyAlignment="1" applyFill="1" applyFont="1" applyNumberFormat="1">
      <alignment horizontal="center" readingOrder="0" shrinkToFit="0" vertical="center" wrapText="0"/>
    </xf>
    <xf borderId="0" fillId="12" fontId="13" numFmtId="0" xfId="0" applyAlignment="1" applyFont="1">
      <alignment readingOrder="0"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wrapText="0"/>
    </xf>
    <xf borderId="0" fillId="13" fontId="15" numFmtId="164" xfId="0" applyAlignment="1" applyFill="1" applyFont="1" applyNumberFormat="1">
      <alignment horizontal="center"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49" xfId="0" applyAlignment="1" applyFont="1" applyNumberFormat="1">
      <alignment readingOrder="0" shrinkToFit="0" vertical="center" wrapText="0"/>
    </xf>
    <xf borderId="0" fillId="8" fontId="16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0" fillId="0" fontId="15" numFmtId="49" xfId="0" applyFont="1" applyNumberFormat="1"/>
    <xf borderId="0" fillId="8" fontId="15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1" fillId="8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2" numFmtId="164" xfId="0" applyAlignment="1" applyFont="1" applyNumberFormat="1">
      <alignment horizontal="center"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49" xfId="0" applyAlignment="1" applyFont="1" applyNumberFormat="1">
      <alignment shrinkToFit="0" vertical="center" wrapText="0"/>
    </xf>
    <xf borderId="0" fillId="8" fontId="12" numFmtId="49" xfId="0" applyAlignment="1" applyFont="1" applyNumberFormat="1">
      <alignment shrinkToFit="0" vertical="center" wrapText="0"/>
    </xf>
    <xf borderId="2" fillId="8" fontId="12" numFmtId="164" xfId="0" applyAlignment="1" applyBorder="1" applyFont="1" applyNumberFormat="1">
      <alignment horizontal="center"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8" numFmtId="49" xfId="0" applyAlignment="1" applyBorder="1" applyFont="1" applyNumberFormat="1">
      <alignment readingOrder="0" shrinkToFit="0" vertical="center" wrapText="0"/>
    </xf>
    <xf borderId="4" fillId="8" fontId="6" numFmtId="49" xfId="0" applyAlignment="1" applyBorder="1" applyFont="1" applyNumberFormat="1">
      <alignment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shrinkToFit="0" vertical="center" wrapText="0"/>
    </xf>
    <xf borderId="0" fillId="8" fontId="6" numFmtId="49" xfId="0" applyAlignment="1" applyFont="1" applyNumberFormat="1">
      <alignment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8" numFmtId="49" xfId="0" applyAlignment="1" applyBorder="1" applyFont="1" applyNumberFormat="1">
      <alignment readingOrder="0" shrinkToFit="0" vertical="center" wrapText="0"/>
    </xf>
    <xf borderId="0" fillId="12" fontId="16" numFmtId="0" xfId="0" applyAlignment="1" applyFont="1">
      <alignment horizontal="left" readingOrder="0" shrinkToFit="0" vertical="bottom" wrapText="0"/>
    </xf>
    <xf borderId="3" fillId="13" fontId="17" numFmtId="0" xfId="0" applyAlignment="1" applyBorder="1" applyFont="1">
      <alignment shrinkToFit="0" vertical="center" wrapText="0"/>
    </xf>
    <xf borderId="0" fillId="13" fontId="16" numFmtId="164" xfId="0" applyAlignment="1" applyFont="1" applyNumberFormat="1">
      <alignment horizontal="center" readingOrder="0" shrinkToFit="0" vertical="center" wrapText="0"/>
    </xf>
    <xf borderId="0" fillId="13" fontId="16" numFmtId="0" xfId="0" applyAlignment="1" applyFont="1">
      <alignment horizontal="left" readingOrder="0" shrinkToFit="0" vertical="bottom" wrapText="0"/>
    </xf>
    <xf borderId="0" fillId="13" fontId="17" numFmtId="0" xfId="0" applyAlignment="1" applyFon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bottom" wrapText="0"/>
    </xf>
    <xf borderId="0" fillId="12" fontId="19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6" fillId="8" fontId="17" numFmtId="0" xfId="0" applyAlignment="1" applyBorder="1" applyFont="1">
      <alignment shrinkToFit="0" vertical="center" wrapText="0"/>
    </xf>
    <xf borderId="0" fillId="8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/>
    </xf>
    <xf borderId="7" fillId="8" fontId="17" numFmtId="0" xfId="0" applyAlignment="1" applyBorder="1" applyFont="1">
      <alignment shrinkToFit="0" vertical="center" wrapText="0"/>
    </xf>
    <xf borderId="0" fillId="8" fontId="18" numFmtId="49" xfId="0" applyAlignment="1" applyFont="1" applyNumberFormat="1">
      <alignment readingOrder="0" shrinkToFit="0" vertical="center" wrapText="0"/>
    </xf>
    <xf borderId="0" fillId="14" fontId="15" numFmtId="164" xfId="0" applyAlignment="1" applyFill="1" applyFont="1" applyNumberFormat="1">
      <alignment horizontal="center"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49" xfId="0" applyAlignment="1" applyFont="1" applyNumberFormat="1">
      <alignment readingOrder="0" shrinkToFit="0" vertical="center" wrapText="0"/>
    </xf>
    <xf borderId="0" fillId="14" fontId="16" numFmtId="164" xfId="0" applyAlignment="1" applyFont="1" applyNumberFormat="1">
      <alignment horizontal="center"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8" fillId="8" fontId="12" numFmtId="164" xfId="0" applyAlignment="1" applyBorder="1" applyFont="1" applyNumberFormat="1">
      <alignment horizontal="center" readingOrder="0" shrinkToFit="0" vertical="center" wrapText="0"/>
    </xf>
    <xf borderId="5" fillId="8" fontId="20" numFmtId="49" xfId="0" applyAlignment="1" applyBorder="1" applyFont="1" applyNumberFormat="1">
      <alignment readingOrder="0" shrinkToFit="0" vertical="center" wrapText="0"/>
    </xf>
    <xf borderId="0" fillId="8" fontId="21" numFmtId="49" xfId="0" applyAlignment="1" applyFont="1" applyNumberFormat="1">
      <alignment readingOrder="0" shrinkToFit="0" vertical="center" wrapText="0"/>
    </xf>
    <xf borderId="0" fillId="13" fontId="12" numFmtId="164" xfId="0" applyAlignment="1" applyFont="1" applyNumberFormat="1">
      <alignment horizontal="center"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0" fillId="13" fontId="12" numFmtId="0" xfId="0" applyAlignment="1" applyFont="1">
      <alignment readingOrder="0" shrinkToFit="0" vertical="center" wrapText="0"/>
    </xf>
    <xf borderId="0" fillId="13" fontId="18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0" fontId="2" numFmtId="164" xfId="0" applyAlignment="1" applyFont="1" applyNumberFormat="1">
      <alignment horizontal="center" shrinkToFit="0" vertical="center" wrapText="0"/>
    </xf>
    <xf borderId="8" fillId="15" fontId="12" numFmtId="164" xfId="0" applyAlignment="1" applyBorder="1" applyFill="1" applyFont="1" applyNumberFormat="1">
      <alignment horizontal="center"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0" fillId="15" fontId="22" numFmtId="49" xfId="0" applyAlignment="1" applyFont="1" applyNumberFormat="1">
      <alignment readingOrder="0" shrinkToFit="0" vertical="center" wrapText="0"/>
    </xf>
    <xf borderId="5" fillId="15" fontId="12" numFmtId="0" xfId="0" applyAlignment="1" applyBorder="1" applyFont="1">
      <alignment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1" fillId="15" fontId="6" numFmtId="49" xfId="0" applyAlignment="1" applyBorder="1" applyFont="1" applyNumberFormat="1">
      <alignment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3" fillId="15" fontId="12" numFmtId="0" xfId="0" applyAlignment="1" applyBorder="1" applyFon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8" fillId="13" fontId="12" numFmtId="164" xfId="0" applyAlignment="1" applyBorder="1" applyFont="1" applyNumberFormat="1">
      <alignment horizontal="center"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4" fillId="13" fontId="6" numFmtId="49" xfId="0" applyAlignment="1" applyBorder="1" applyFont="1" applyNumberFormat="1">
      <alignment readingOrder="0" shrinkToFit="0" vertical="center" wrapText="0"/>
    </xf>
    <xf borderId="0" fillId="8" fontId="22" numFmtId="0" xfId="0" applyAlignment="1" applyFont="1">
      <alignment readingOrder="0" shrinkToFit="0" vertical="center" wrapText="0"/>
    </xf>
    <xf borderId="5" fillId="8" fontId="23" numFmtId="49" xfId="0" applyAlignment="1" applyBorder="1" applyFont="1" applyNumberFormat="1">
      <alignment readingOrder="0" shrinkToFit="0" vertical="center" wrapText="0"/>
    </xf>
    <xf borderId="0" fillId="12" fontId="24" numFmtId="0" xfId="0" applyAlignment="1" applyFont="1">
      <alignment readingOrder="0" shrinkToFit="0" vertical="center" wrapText="0"/>
    </xf>
    <xf borderId="0" fillId="8" fontId="0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12" fontId="25" numFmtId="0" xfId="0" applyAlignment="1" applyFont="1">
      <alignment horizontal="left" readingOrder="0" shrinkToFit="0" vertical="bottom" wrapText="0"/>
    </xf>
    <xf borderId="0" fillId="8" fontId="25" numFmtId="0" xfId="0" applyAlignment="1" applyFont="1">
      <alignment horizontal="left" readingOrder="0" shrinkToFit="0" vertical="bottom" wrapText="0"/>
    </xf>
    <xf borderId="5" fillId="8" fontId="26" numFmtId="49" xfId="0" applyAlignment="1" applyBorder="1" applyFont="1" applyNumberFormat="1">
      <alignment readingOrder="0" shrinkToFit="0" vertical="bottom" wrapText="0"/>
    </xf>
    <xf borderId="0" fillId="16" fontId="12" numFmtId="164" xfId="0" applyAlignment="1" applyFill="1" applyFont="1" applyNumberFormat="1">
      <alignment horizontal="center"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12" numFmtId="0" xfId="0" applyAlignment="1" applyFont="1">
      <alignment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8" fontId="22" numFmtId="0" xfId="0" applyAlignment="1" applyFont="1">
      <alignment readingOrder="0" shrinkToFit="0" vertical="center" wrapText="0"/>
    </xf>
    <xf borderId="0" fillId="8" fontId="27" numFmtId="0" xfId="0" applyAlignment="1" applyFont="1">
      <alignment horizontal="left" readingOrder="0" shrinkToFit="0" vertical="bottom" wrapText="0"/>
    </xf>
    <xf borderId="5" fillId="8" fontId="6" numFmtId="49" xfId="0" applyAlignment="1" applyBorder="1" applyFont="1" applyNumberFormat="1">
      <alignment readingOrder="0" shrinkToFit="0" vertical="bottom" wrapText="0"/>
    </xf>
    <xf borderId="0" fillId="8" fontId="2" numFmtId="0" xfId="0" applyAlignment="1" applyFont="1">
      <alignment readingOrder="0" shrinkToFit="0" vertical="center" wrapText="0"/>
    </xf>
    <xf borderId="0" fillId="8" fontId="28" numFmtId="0" xfId="0" applyAlignment="1" applyFont="1">
      <alignment readingOrder="0" shrinkToFit="0" vertical="center" wrapText="0"/>
    </xf>
    <xf borderId="0" fillId="16" fontId="18" numFmtId="49" xfId="0" applyAlignment="1" applyFont="1" applyNumberFormat="1">
      <alignment readingOrder="0" shrinkToFit="0" vertical="center" wrapText="0"/>
    </xf>
    <xf borderId="8" fillId="17" fontId="12" numFmtId="164" xfId="0" applyAlignment="1" applyBorder="1" applyFill="1" applyFont="1" applyNumberFormat="1">
      <alignment horizontal="center" shrinkToFit="0" vertical="center" wrapText="0"/>
    </xf>
    <xf borderId="3" fillId="17" fontId="12" numFmtId="49" xfId="0" applyAlignment="1" applyBorder="1" applyFont="1" applyNumberFormat="1">
      <alignment shrinkToFit="0" vertical="center" wrapText="0"/>
    </xf>
    <xf borderId="3" fillId="17" fontId="12" numFmtId="0" xfId="0" applyAlignment="1" applyBorder="1" applyFont="1">
      <alignment shrinkToFit="0" vertical="center" wrapText="0"/>
    </xf>
    <xf borderId="5" fillId="12" fontId="18" numFmtId="49" xfId="0" applyAlignment="1" applyBorder="1" applyFont="1" applyNumberFormat="1">
      <alignment readingOrder="0" shrinkToFit="0" vertical="center" wrapText="0"/>
    </xf>
    <xf borderId="4" fillId="17" fontId="6" numFmtId="49" xfId="0" applyAlignment="1" applyBorder="1" applyFont="1" applyNumberFormat="1">
      <alignment shrinkToFit="0" vertical="center" wrapText="0"/>
    </xf>
    <xf borderId="2" fillId="12" fontId="12" numFmtId="164" xfId="0" applyAlignment="1" applyBorder="1" applyFont="1" applyNumberFormat="1">
      <alignment horizontal="center" shrinkToFit="0" vertical="center" wrapText="0"/>
    </xf>
    <xf borderId="5" fillId="12" fontId="20" numFmtId="49" xfId="0" applyAlignment="1" applyBorder="1" applyFont="1" applyNumberFormat="1">
      <alignment shrinkToFit="0" vertical="center" wrapText="0"/>
    </xf>
    <xf borderId="5" fillId="12" fontId="12" numFmtId="49" xfId="0" applyAlignment="1" applyBorder="1" applyFont="1" applyNumberFormat="1">
      <alignment shrinkToFit="0" vertical="center" wrapText="0"/>
    </xf>
    <xf borderId="5" fillId="12" fontId="12" numFmtId="0" xfId="0" applyAlignment="1" applyBorder="1" applyFont="1">
      <alignment shrinkToFit="0" vertical="center" wrapText="0"/>
    </xf>
    <xf borderId="1" fillId="12" fontId="6" numFmtId="49" xfId="0" applyAlignment="1" applyBorder="1" applyFont="1" applyNumberFormat="1">
      <alignment shrinkToFit="0" vertical="center" wrapText="0"/>
    </xf>
    <xf borderId="2" fillId="16" fontId="6" numFmtId="164" xfId="0" applyAlignment="1" applyBorder="1" applyFont="1" applyNumberFormat="1">
      <alignment horizontal="center"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5" fillId="16" fontId="23" numFmtId="49" xfId="0" applyAlignment="1" applyBorder="1" applyFont="1" applyNumberFormat="1">
      <alignment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4" fillId="16" fontId="6" numFmtId="49" xfId="0" applyAlignment="1" applyBorder="1" applyFont="1" applyNumberFormat="1">
      <alignment shrinkToFit="0" vertical="center" wrapText="0"/>
    </xf>
    <xf borderId="5" fillId="16" fontId="12" numFmtId="49" xfId="0" applyAlignment="1" applyBorder="1" applyFont="1" applyNumberFormat="1">
      <alignment readingOrder="0" shrinkToFit="0" vertical="center" wrapText="0"/>
    </xf>
    <xf borderId="5" fillId="16" fontId="6" numFmtId="49" xfId="0" applyAlignment="1" applyBorder="1" applyFont="1" applyNumberFormat="1">
      <alignment readingOrder="0" shrinkToFit="0" vertical="bottom" wrapText="0"/>
    </xf>
    <xf borderId="5" fillId="16" fontId="12" numFmtId="49" xfId="0" applyAlignment="1" applyBorder="1" applyFont="1" applyNumberFormat="1">
      <alignment readingOrder="0" shrinkToFit="0" vertical="center" wrapText="0"/>
    </xf>
    <xf borderId="1" fillId="16" fontId="6" numFmtId="49" xfId="0" applyAlignment="1" applyBorder="1" applyFont="1" applyNumberFormat="1">
      <alignment shrinkToFit="0" vertical="center" wrapText="0"/>
    </xf>
    <xf borderId="0" fillId="14" fontId="12" numFmtId="164" xfId="0" applyAlignment="1" applyFont="1" applyNumberFormat="1">
      <alignment horizontal="center" readingOrder="0" shrinkToFit="0" vertical="center" wrapText="0"/>
    </xf>
    <xf borderId="0" fillId="14" fontId="12" numFmtId="49" xfId="0" applyAlignment="1" applyFont="1" applyNumberFormat="1">
      <alignment readingOrder="0" shrinkToFit="0" vertical="center" wrapText="0"/>
    </xf>
    <xf borderId="0" fillId="14" fontId="12" numFmtId="0" xfId="0" applyAlignment="1" applyFont="1">
      <alignment readingOrder="0" shrinkToFit="0" vertical="center" wrapText="0"/>
    </xf>
    <xf borderId="0" fillId="14" fontId="18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5" fillId="16" fontId="18" numFmtId="49" xfId="0" applyAlignment="1" applyBorder="1" applyFont="1" applyNumberFormat="1">
      <alignment readingOrder="0" shrinkToFit="0" vertical="center" wrapText="0"/>
    </xf>
    <xf borderId="3" fillId="16" fontId="18" numFmtId="49" xfId="0" applyAlignment="1" applyBorder="1" applyFont="1" applyNumberFormat="1">
      <alignment readingOrder="0" shrinkToFit="0" vertical="center" wrapText="0"/>
    </xf>
    <xf borderId="0" fillId="0" fontId="2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164" xfId="0" applyAlignment="1" applyFont="1" applyNumberFormat="1">
      <alignment horizontal="center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shrinkToFit="0" vertical="center" wrapText="0"/>
    </xf>
    <xf borderId="0" fillId="0" fontId="15" numFmtId="0" xfId="0" applyAlignment="1" applyFont="1">
      <alignment shrinkToFit="0" vertical="center" wrapText="0"/>
    </xf>
    <xf borderId="2" fillId="8" fontId="6" numFmtId="164" xfId="0" applyAlignment="1" applyBorder="1" applyFont="1" applyNumberFormat="1">
      <alignment horizontal="center"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vertical="center" wrapText="0"/>
    </xf>
    <xf borderId="8" fillId="8" fontId="6" numFmtId="164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shrinkToFit="0" wrapText="0"/>
    </xf>
    <xf borderId="0" fillId="8" fontId="6" numFmtId="164" xfId="0" applyAlignment="1" applyFont="1" applyNumberForma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0" fillId="8" fontId="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2" fillId="8" fontId="6" numFmtId="164" xfId="0" applyAlignment="1" applyBorder="1" applyFont="1" applyNumberFormat="1">
      <alignment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2" fillId="12" fontId="6" numFmtId="164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9" fillId="17" fontId="6" numFmtId="164" xfId="0" applyAlignment="1" applyBorder="1" applyFont="1" applyNumberForma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3" fillId="17" fontId="6" numFmtId="0" xfId="0" applyAlignment="1" applyBorder="1" applyFon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10" fillId="17" fontId="6" numFmtId="49" xfId="0" applyAlignment="1" applyBorder="1" applyFont="1" applyNumberFormat="1">
      <alignment shrinkToFit="0" vertical="center" wrapText="0"/>
    </xf>
    <xf borderId="11" fillId="17" fontId="6" numFmtId="49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12" fillId="12" fontId="6" numFmtId="164" xfId="0" applyAlignment="1" applyBorder="1" applyFont="1" applyNumberForma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5" fillId="12" fontId="6" numFmtId="0" xfId="0" applyAlignment="1" applyBorder="1" applyFon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13" fillId="12" fontId="6" numFmtId="49" xfId="0" applyAlignment="1" applyBorder="1" applyFont="1" applyNumberFormat="1">
      <alignment shrinkToFit="0" vertical="center" wrapText="0"/>
    </xf>
    <xf borderId="14" fillId="12" fontId="6" numFmtId="49" xfId="0" applyAlignment="1" applyBorder="1" applyFont="1" applyNumberFormat="1">
      <alignment shrinkToFit="0" vertical="center" wrapText="0"/>
    </xf>
    <xf borderId="2" fillId="12" fontId="6" numFmtId="164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shrinkToFit="0" vertical="center" wrapText="0"/>
    </xf>
    <xf borderId="15" fillId="12" fontId="6" numFmtId="164" xfId="0" applyAlignment="1" applyBorder="1" applyFont="1" applyNumberForma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6" fillId="12" fontId="6" numFmtId="0" xfId="0" applyAlignment="1" applyBorder="1" applyFon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7" fillId="12" fontId="6" numFmtId="49" xfId="0" applyAlignment="1" applyBorder="1" applyFont="1" applyNumberFormat="1">
      <alignment shrinkToFit="0" vertical="center" wrapText="0"/>
    </xf>
    <xf borderId="18" fillId="12" fontId="6" numFmtId="49" xfId="0" applyAlignment="1" applyBorder="1" applyFont="1" applyNumberFormat="1">
      <alignment shrinkToFit="0" vertical="center" wrapText="0"/>
    </xf>
    <xf borderId="19" fillId="12" fontId="6" numFmtId="164" xfId="0" applyAlignment="1" applyBorder="1" applyFont="1" applyNumberForma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0" fillId="12" fontId="6" numFmtId="0" xfId="0" applyAlignment="1" applyBorder="1" applyFon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1" fillId="12" fontId="6" numFmtId="49" xfId="0" applyAlignment="1" applyBorder="1" applyFont="1" applyNumberFormat="1">
      <alignment shrinkToFit="0" vertical="center" wrapText="0"/>
    </xf>
    <xf borderId="0" fillId="18" fontId="2" numFmtId="0" xfId="0" applyFill="1" applyFont="1"/>
    <xf borderId="0" fillId="9" fontId="8" numFmtId="0" xfId="0" applyAlignment="1" applyFont="1">
      <alignment horizontal="right" readingOrder="0" vertical="bottom"/>
    </xf>
    <xf borderId="0" fillId="11" fontId="5" numFmtId="0" xfId="0" applyAlignment="1" applyFont="1">
      <alignment horizontal="right" readingOrder="0" vertical="bottom"/>
    </xf>
    <xf borderId="0" fillId="0" fontId="6" numFmtId="49" xfId="0" applyAlignment="1" applyFont="1" applyNumberFormat="1">
      <alignment vertical="bottom"/>
    </xf>
    <xf borderId="0" fillId="19" fontId="2" numFmtId="0" xfId="0" applyFill="1" applyFont="1"/>
    <xf borderId="0" fillId="5" fontId="1" numFmtId="0" xfId="0" applyAlignment="1" applyFont="1">
      <alignment readingOrder="0"/>
    </xf>
    <xf borderId="0" fillId="10" fontId="9" numFmtId="0" xfId="0" applyAlignment="1" applyFont="1">
      <alignment readingOrder="0"/>
    </xf>
    <xf borderId="0" fillId="10" fontId="9" numFmtId="0" xfId="0" applyFont="1"/>
    <xf borderId="0" fillId="8" fontId="29" numFmtId="0" xfId="0" applyFont="1"/>
    <xf borderId="0" fillId="20" fontId="2" numFmtId="0" xfId="0" applyFill="1" applyFont="1"/>
    <xf borderId="0" fillId="21" fontId="30" numFmtId="0" xfId="0" applyAlignment="1" applyFill="1" applyFont="1">
      <alignment horizontal="center" readingOrder="0" vertical="center"/>
    </xf>
    <xf borderId="0" fillId="22" fontId="30" numFmtId="0" xfId="0" applyAlignment="1" applyFill="1" applyFont="1">
      <alignment horizontal="center" readingOrder="0" vertical="center"/>
    </xf>
    <xf borderId="0" fillId="0" fontId="2" numFmtId="0" xfId="0" applyAlignment="1" applyFont="1">
      <alignment horizontal="left" readingOrder="0" shrinkToFit="0" wrapText="1"/>
    </xf>
    <xf borderId="0" fillId="0" fontId="2" numFmtId="0" xfId="0" applyFont="1"/>
    <xf borderId="0" fillId="2" fontId="15" numFmtId="0" xfId="0" applyAlignment="1" applyFont="1">
      <alignment horizontal="left" readingOrder="0" shrinkToFit="0" vertical="center" wrapText="1"/>
    </xf>
    <xf borderId="0" fillId="23" fontId="15" numFmtId="0" xfId="0" applyAlignment="1" applyFill="1" applyFont="1">
      <alignment horizontal="left" readingOrder="0" shrinkToFit="0" vertical="center" wrapText="1"/>
    </xf>
    <xf borderId="0" fillId="24" fontId="10" numFmtId="0" xfId="0" applyAlignment="1" applyFill="1" applyFont="1">
      <alignment horizontal="left" readingOrder="0" shrinkToFit="0" vertical="center" wrapText="1"/>
    </xf>
    <xf borderId="0" fillId="25" fontId="15" numFmtId="0" xfId="0" applyAlignment="1" applyFill="1" applyFont="1">
      <alignment horizontal="left" readingOrder="0" shrinkToFit="0" vertical="center" wrapText="1"/>
    </xf>
    <xf borderId="0" fillId="0" fontId="2" numFmtId="164" xfId="0" applyAlignment="1" applyFont="1" applyNumberFormat="1">
      <alignment shrinkToFit="0" wrapText="0"/>
    </xf>
    <xf borderId="22" fillId="17" fontId="6" numFmtId="164" xfId="0" applyAlignment="1" applyBorder="1" applyFont="1" applyNumberForma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3" fillId="17" fontId="6" numFmtId="0" xfId="0" applyAlignment="1" applyBorder="1" applyFon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4" fillId="17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25" fillId="12" fontId="31" numFmtId="164" xfId="0" applyAlignment="1" applyBorder="1" applyFont="1" applyNumberFormat="1">
      <alignment horizontal="right" readingOrder="0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5" fillId="12" fontId="31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25" fillId="16" fontId="31" numFmtId="164" xfId="0" applyAlignment="1" applyBorder="1" applyFont="1" applyNumberFormat="1">
      <alignment horizontal="right"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5" fillId="16" fontId="31" numFmtId="0" xfId="0" applyAlignment="1" applyBorder="1" applyFont="1">
      <alignment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13" fillId="16" fontId="6" numFmtId="49" xfId="0" applyAlignment="1" applyBorder="1" applyFont="1" applyNumberFormat="1">
      <alignment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23" fontId="2" numFmtId="164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32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3" fillId="16" fontId="31" numFmtId="0" xfId="0" applyAlignment="1" applyBorder="1" applyFont="1">
      <alignment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shrinkToFit="0" vertical="center" wrapText="0"/>
    </xf>
    <xf borderId="0" fillId="0" fontId="2" numFmtId="0" xfId="0" applyAlignment="1" applyFont="1">
      <alignment horizontal="center" shrinkToFit="0" vertical="center" wrapText="0"/>
    </xf>
    <xf borderId="12" fillId="12" fontId="6" numFmtId="164" xfId="0" applyAlignment="1" applyBorder="1" applyFont="1" applyNumberFormat="1">
      <alignment readingOrder="0" shrinkToFit="0" vertical="center" wrapText="0"/>
    </xf>
    <xf borderId="5" fillId="12" fontId="6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3" fillId="17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0" fillId="0" fontId="32" numFmtId="49" xfId="0" applyAlignment="1" applyFont="1" applyNumberFormat="1">
      <alignment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shrinkToFit="0" vertical="center" wrapText="0"/>
    </xf>
    <xf borderId="12" fillId="16" fontId="6" numFmtId="164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12" fillId="9" fontId="6" numFmtId="164" xfId="0" applyAlignment="1" applyBorder="1" applyFont="1" applyNumberFormat="1">
      <alignment readingOrder="0"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23" fontId="21" numFmtId="49" xfId="0" applyAlignment="1" applyFont="1" applyNumberFormat="1">
      <alignment readingOrder="0" shrinkToFit="0" vertical="center" wrapText="0"/>
    </xf>
    <xf borderId="0" fillId="12" fontId="21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0" fillId="16" fontId="2" numFmtId="164" xfId="0" applyAlignment="1" applyFont="1" applyNumberFormat="1">
      <alignment readingOrder="0"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0" fontId="33" numFmtId="49" xfId="0" applyAlignment="1" applyFont="1" applyNumberFormat="1">
      <alignment readingOrder="0" shrinkToFit="0" vertical="center" wrapText="0"/>
    </xf>
    <xf borderId="0" fillId="16" fontId="2" numFmtId="49" xfId="0" applyAlignment="1" applyFont="1" applyNumberFormat="1">
      <alignment horizontal="left" readingOrder="0" shrinkToFit="0" vertical="center" wrapText="0"/>
    </xf>
    <xf borderId="0" fillId="16" fontId="34" numFmtId="0" xfId="0" applyAlignment="1" applyFont="1">
      <alignment readingOrder="0" shrinkToFit="0" vertical="center" wrapText="0"/>
    </xf>
    <xf borderId="0" fillId="16" fontId="35" numFmtId="49" xfId="0" applyAlignment="1" applyFont="1" applyNumberFormat="1">
      <alignment readingOrder="0" shrinkToFit="0" vertical="center" wrapText="0"/>
    </xf>
    <xf borderId="0" fillId="16" fontId="28" numFmtId="49" xfId="0" applyAlignment="1" applyFont="1" applyNumberFormat="1">
      <alignment readingOrder="0" shrinkToFit="0" vertical="center" wrapText="0"/>
    </xf>
    <xf borderId="0" fillId="0" fontId="34" numFmtId="0" xfId="0" applyAlignment="1" applyFont="1">
      <alignment readingOrder="0" shrinkToFit="0" vertical="center" wrapText="0"/>
    </xf>
    <xf borderId="0" fillId="0" fontId="35" numFmtId="49" xfId="0" applyAlignment="1" applyFont="1" applyNumberFormat="1">
      <alignment readingOrder="0" shrinkToFit="0" vertical="center" wrapText="0"/>
    </xf>
    <xf borderId="0" fillId="0" fontId="36" numFmtId="49" xfId="0" applyAlignment="1" applyFont="1" applyNumberFormat="1">
      <alignment readingOrder="0" shrinkToFit="0" vertical="center" wrapText="0"/>
    </xf>
    <xf borderId="0" fillId="0" fontId="28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34" numFmtId="49" xfId="0" applyAlignment="1" applyFont="1" applyNumberFormat="1">
      <alignment readingOrder="0" shrinkToFit="0" vertical="center" wrapText="0"/>
    </xf>
    <xf borderId="0" fillId="23" fontId="37" numFmtId="49" xfId="0" applyAlignment="1" applyFont="1" applyNumberFormat="1">
      <alignment readingOrder="0" shrinkToFit="0" vertical="center" wrapText="0"/>
    </xf>
    <xf borderId="0" fillId="16" fontId="21" numFmtId="49" xfId="0" applyAlignment="1" applyFont="1" applyNumberFormat="1">
      <alignment readingOrder="0"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19" fontId="2" numFmtId="164" xfId="0" applyAlignment="1" applyFont="1" applyNumberFormat="1">
      <alignment readingOrder="0" shrinkToFit="0" vertical="center" wrapText="0"/>
    </xf>
    <xf borderId="0" fillId="19" fontId="2" numFmtId="49" xfId="0" applyAlignment="1" applyFont="1" applyNumberFormat="1">
      <alignment readingOrder="0"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19" fontId="2" numFmtId="0" xfId="0" applyAlignment="1" applyFont="1">
      <alignment horizontal="center" readingOrder="0" shrinkToFit="0" vertical="center" wrapText="0"/>
    </xf>
    <xf borderId="0" fillId="13" fontId="2" numFmtId="164" xfId="0" applyAlignment="1" applyFont="1" applyNumberFormat="1">
      <alignment readingOrder="0" shrinkToFit="0" vertical="center" wrapText="0"/>
    </xf>
    <xf borderId="0" fillId="13" fontId="2" numFmtId="49" xfId="0" applyAlignment="1" applyFont="1" applyNumberForma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horizontal="center" readingOrder="0" shrinkToFit="0" vertical="center" wrapText="0"/>
    </xf>
    <xf borderId="25" fillId="12" fontId="31" numFmtId="164" xfId="0" applyAlignment="1" applyBorder="1" applyFont="1" applyNumberFormat="1">
      <alignment horizontal="right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23" fontId="2" numFmtId="0" xfId="0" applyAlignment="1" applyFont="1">
      <alignment shrinkToFit="0" vertical="center" wrapText="0"/>
    </xf>
    <xf borderId="0" fillId="23" fontId="2" numFmtId="164" xfId="0" applyAlignment="1" applyFont="1" applyNumberFormat="1">
      <alignment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12" fontId="39" numFmtId="49" xfId="0" applyAlignment="1" applyFont="1" applyNumberFormat="1">
      <alignment horizontal="left" readingOrder="0" shrinkToFit="0" vertical="bottom" wrapText="0"/>
    </xf>
    <xf borderId="0" fillId="16" fontId="2" numFmtId="164" xfId="0" applyAlignment="1" applyFont="1" applyNumberFormat="1">
      <alignment shrinkToFit="0" vertical="center" wrapText="0"/>
    </xf>
    <xf borderId="0" fillId="16" fontId="2" numFmtId="0" xfId="0" applyAlignment="1" applyFont="1">
      <alignment shrinkToFit="0" vertical="center" wrapText="0"/>
    </xf>
    <xf borderId="0" fillId="16" fontId="2" numFmtId="0" xfId="0" applyFont="1"/>
    <xf borderId="0" fillId="23" fontId="2" numFmtId="0" xfId="0" applyFont="1"/>
    <xf borderId="0" fillId="0" fontId="2" numFmtId="164" xfId="0" applyAlignment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18" fontId="2" numFmtId="0" xfId="0" applyAlignment="1" applyFont="1">
      <alignment shrinkToFit="0" wrapText="1"/>
    </xf>
    <xf borderId="0" fillId="5" fontId="4" numFmtId="0" xfId="0" applyAlignment="1" applyFont="1">
      <alignment horizontal="center" readingOrder="0" shrinkToFit="0" vertical="center" wrapText="1"/>
    </xf>
    <xf borderId="0" fillId="26" fontId="5" numFmtId="0" xfId="0" applyAlignment="1" applyFill="1" applyFont="1">
      <alignment vertical="bottom"/>
    </xf>
    <xf borderId="0" fillId="19" fontId="2" numFmtId="0" xfId="0" applyAlignment="1" applyFont="1">
      <alignment shrinkToFit="0" wrapText="1"/>
    </xf>
    <xf borderId="0" fillId="6" fontId="4" numFmtId="0" xfId="0" applyAlignment="1" applyFont="1">
      <alignment horizontal="center" readingOrder="0" shrinkToFit="0" vertical="center" wrapText="1"/>
    </xf>
    <xf borderId="0" fillId="27" fontId="5" numFmtId="0" xfId="0" applyAlignment="1" applyFill="1" applyFont="1">
      <alignment readingOrder="0" vertical="bottom"/>
    </xf>
    <xf borderId="0" fillId="20" fontId="2" numFmtId="0" xfId="0" applyAlignment="1" applyFont="1">
      <alignment shrinkToFit="0" wrapText="1"/>
    </xf>
    <xf borderId="0" fillId="21" fontId="30" numFmtId="0" xfId="0" applyAlignment="1" applyFont="1">
      <alignment horizontal="center" readingOrder="0" shrinkToFit="0" vertical="center" wrapText="1"/>
    </xf>
    <xf borderId="0" fillId="22" fontId="30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shrinkToFit="0" wrapText="1"/>
    </xf>
    <xf borderId="0" fillId="0" fontId="15" numFmtId="0" xfId="0" applyAlignment="1" applyFont="1">
      <alignment horizontal="right" readingOrder="0" shrinkToFit="0" wrapText="1"/>
    </xf>
    <xf borderId="0" fillId="0" fontId="15" numFmtId="0" xfId="0" applyAlignment="1" applyFont="1">
      <alignment horizontal="left" readingOrder="0" shrinkToFit="0" vertical="center" wrapText="1"/>
    </xf>
    <xf borderId="0" fillId="0" fontId="15" numFmtId="164" xfId="0" applyAlignment="1" applyFont="1" applyNumberFormat="1">
      <alignment shrinkToFit="0" wrapText="0"/>
    </xf>
    <xf borderId="0" fillId="0" fontId="15" numFmtId="164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25" fillId="0" fontId="31" numFmtId="164" xfId="0" applyAlignment="1" applyBorder="1" applyFont="1" applyNumberFormat="1">
      <alignment horizontal="right"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readingOrder="0" shrinkToFit="0" vertical="center" wrapText="0"/>
    </xf>
    <xf quotePrefix="1" borderId="0" fillId="0" fontId="2" numFmtId="49" xfId="0" applyAlignment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12" fillId="0" fontId="6" numFmtId="164" xfId="0" applyAlignment="1" applyBorder="1" applyFont="1" applyNumberFormat="1">
      <alignment readingOrder="0" shrinkToFit="0" vertical="center" wrapText="0"/>
    </xf>
    <xf borderId="26" fillId="17" fontId="31" numFmtId="164" xfId="0" applyAlignment="1" applyBorder="1" applyFont="1" applyNumberFormat="1">
      <alignment horizontal="right" shrinkToFit="0" vertical="center" wrapText="0"/>
    </xf>
    <xf borderId="3" fillId="17" fontId="40" numFmtId="0" xfId="0" applyAlignment="1" applyBorder="1" applyFont="1">
      <alignment shrinkToFit="0" vertical="center" wrapText="0"/>
    </xf>
    <xf borderId="26" fillId="12" fontId="31" numFmtId="164" xfId="0" applyAlignment="1" applyBorder="1" applyFont="1" applyNumberFormat="1">
      <alignment horizontal="right" shrinkToFit="0" vertical="center" wrapText="0"/>
    </xf>
    <xf borderId="5" fillId="12" fontId="40" numFmtId="0" xfId="0" applyAlignment="1" applyBorder="1" applyFont="1">
      <alignment shrinkToFit="0" vertical="center" wrapText="0"/>
    </xf>
    <xf borderId="0" fillId="0" fontId="21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0" fillId="12" fontId="41" numFmtId="49" xfId="0" applyAlignment="1" applyFont="1" applyNumberFormat="1">
      <alignment horizontal="center" readingOrder="0" shrinkToFit="0" vertical="bottom" wrapText="0"/>
    </xf>
    <xf borderId="5" fillId="16" fontId="42" numFmtId="49" xfId="0" applyAlignment="1" applyBorder="1" applyFont="1" applyNumberFormat="1">
      <alignment readingOrder="0" shrinkToFit="0" vertical="center" wrapText="0"/>
    </xf>
    <xf borderId="12" fillId="17" fontId="40" numFmtId="164" xfId="0" applyAlignment="1" applyBorder="1" applyFont="1" applyNumberFormat="1">
      <alignment horizontal="right" shrinkToFit="0" vertical="center" wrapText="0"/>
    </xf>
    <xf borderId="5" fillId="17" fontId="40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12" fillId="12" fontId="40" numFmtId="164" xfId="0" applyAlignment="1" applyBorder="1" applyFont="1" applyNumberFormat="1">
      <alignment horizontal="right" shrinkToFit="0" vertical="center" wrapText="0"/>
    </xf>
    <xf borderId="5" fillId="12" fontId="40" numFmtId="49" xfId="0" applyAlignment="1" applyBorder="1" applyFont="1" applyNumberFormat="1">
      <alignment shrinkToFit="0" vertical="center" wrapText="0"/>
    </xf>
    <xf borderId="5" fillId="12" fontId="40" numFmtId="0" xfId="0" applyAlignment="1" applyBorder="1" applyFont="1">
      <alignment shrinkToFit="0" vertical="center" wrapText="0"/>
    </xf>
    <xf borderId="5" fillId="17" fontId="40" numFmtId="0" xfId="0" applyAlignment="1" applyBorder="1" applyFont="1">
      <alignment shrinkToFit="0" vertical="center" wrapText="0"/>
    </xf>
    <xf borderId="0" fillId="12" fontId="43" numFmtId="49" xfId="0" applyAlignment="1" applyFont="1" applyNumberFormat="1">
      <alignment horizontal="center" readingOrder="0" shrinkToFit="0" vertical="bottom" wrapText="0"/>
    </xf>
    <xf borderId="3" fillId="12" fontId="40" numFmtId="0" xfId="0" applyAlignment="1" applyBorder="1" applyFont="1">
      <alignment shrinkToFit="0" vertical="center" wrapText="0"/>
    </xf>
    <xf borderId="3" fillId="12" fontId="40" numFmtId="0" xfId="0" applyAlignment="1" applyBorder="1" applyFont="1">
      <alignment shrinkToFit="0" vertical="center" wrapText="0"/>
    </xf>
    <xf borderId="0" fillId="28" fontId="2" numFmtId="49" xfId="0" applyAlignment="1" applyFill="1" applyFont="1" applyNumberFormat="1">
      <alignment readingOrder="0" shrinkToFit="0" vertical="center" wrapText="0"/>
    </xf>
    <xf borderId="12" fillId="12" fontId="31" numFmtId="164" xfId="0" applyAlignment="1" applyBorder="1" applyFont="1" applyNumberFormat="1">
      <alignment horizontal="right" shrinkToFit="0" vertical="center" wrapText="0"/>
    </xf>
    <xf borderId="5" fillId="12" fontId="31" numFmtId="0" xfId="0" applyAlignment="1" applyBorder="1" applyFont="1">
      <alignment shrinkToFit="0" vertical="center" wrapText="0"/>
    </xf>
    <xf borderId="9" fillId="17" fontId="31" numFmtId="164" xfId="0" applyAlignment="1" applyBorder="1" applyFont="1" applyNumberFormat="1">
      <alignment horizontal="right" shrinkToFit="0" vertical="center" wrapText="0"/>
    </xf>
    <xf borderId="10" fillId="17" fontId="31" numFmtId="0" xfId="0" applyAlignment="1" applyBorder="1" applyFont="1">
      <alignment shrinkToFit="0" vertical="center" wrapText="0"/>
    </xf>
    <xf borderId="5" fillId="17" fontId="31" numFmtId="49" xfId="0" applyAlignment="1" applyBorder="1" applyFont="1" applyNumberFormat="1">
      <alignment shrinkToFit="0" vertical="center" wrapText="0"/>
    </xf>
    <xf borderId="5" fillId="17" fontId="31" numFmtId="0" xfId="0" applyAlignment="1" applyBorder="1" applyFont="1">
      <alignment shrinkToFit="0" vertical="center" wrapText="0"/>
    </xf>
    <xf borderId="0" fillId="0" fontId="44" numFmtId="49" xfId="0" applyAlignment="1" applyFont="1" applyNumberFormat="1">
      <alignment readingOrder="0"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0" fillId="12" fontId="43" numFmtId="49" xfId="0" applyAlignment="1" applyFont="1" applyNumberFormat="1">
      <alignment horizontal="left" readingOrder="0" shrinkToFit="0" vertical="bottom" wrapText="0"/>
    </xf>
    <xf borderId="3" fillId="17" fontId="40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1"/>
    </xf>
    <xf borderId="0" fillId="0" fontId="34" numFmtId="0" xfId="0" applyAlignment="1" applyFont="1">
      <alignment readingOrder="0" shrinkToFit="0" vertical="center" wrapText="0"/>
    </xf>
    <xf borderId="5" fillId="12" fontId="31" numFmtId="49" xfId="0" applyAlignment="1" applyBorder="1" applyFont="1" applyNumberFormat="1">
      <alignment shrinkToFit="0" vertical="center" wrapText="1"/>
    </xf>
    <xf borderId="13" fillId="12" fontId="6" numFmtId="49" xfId="0" applyAlignment="1" applyBorder="1" applyFont="1" applyNumberFormat="1">
      <alignment readingOrder="0" shrinkToFit="0" vertical="center" wrapText="0"/>
    </xf>
    <xf borderId="3" fillId="17" fontId="40" numFmtId="49" xfId="0" applyAlignment="1" applyBorder="1" applyFont="1" applyNumberFormat="1">
      <alignment shrinkToFit="0" vertical="center" wrapText="0"/>
    </xf>
    <xf borderId="12" fillId="17" fontId="40" numFmtId="164" xfId="0" applyAlignment="1" applyBorder="1" applyFont="1" applyNumberFormat="1">
      <alignment horizontal="right"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5" fillId="12" fontId="40" numFmtId="49" xfId="0" applyAlignment="1" applyBorder="1" applyFont="1" applyNumberFormat="1">
      <alignment readingOrder="0" shrinkToFit="0" vertical="center" wrapText="0"/>
    </xf>
    <xf borderId="0" fillId="12" fontId="41" numFmtId="49" xfId="0" applyAlignment="1" applyFont="1" applyNumberFormat="1">
      <alignment horizontal="left" readingOrder="0" shrinkToFit="0" vertical="bottom" wrapText="0"/>
    </xf>
    <xf borderId="12" fillId="12" fontId="40" numFmtId="164" xfId="0" applyAlignment="1" applyBorder="1" applyFont="1" applyNumberFormat="1">
      <alignment horizontal="right" readingOrder="0" shrinkToFit="0" vertical="center" wrapText="0"/>
    </xf>
    <xf borderId="3" fillId="17" fontId="40" numFmtId="49" xfId="0" applyAlignment="1" applyBorder="1" applyFont="1" applyNumberFormat="1">
      <alignment readingOrder="0" shrinkToFit="0" vertical="center" wrapText="0"/>
    </xf>
    <xf quotePrefix="1" borderId="0" fillId="16" fontId="2" numFmtId="49" xfId="0" applyAlignment="1" applyFont="1" applyNumberFormat="1">
      <alignment readingOrder="0" shrinkToFit="0" vertical="center" wrapText="0"/>
    </xf>
    <xf borderId="27" fillId="12" fontId="31" numFmtId="164" xfId="0" applyAlignment="1" applyBorder="1" applyFont="1" applyNumberFormat="1">
      <alignment horizontal="right" shrinkToFit="0" vertical="center" wrapText="0"/>
    </xf>
    <xf borderId="28" fillId="17" fontId="31" numFmtId="164" xfId="0" applyAlignment="1" applyBorder="1" applyFont="1" applyNumberFormat="1">
      <alignment horizontal="right" shrinkToFit="0" vertical="center" wrapText="0"/>
    </xf>
    <xf borderId="0" fillId="12" fontId="45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right"/>
    </xf>
    <xf borderId="0" fillId="12" fontId="46" numFmtId="49" xfId="0" applyAlignment="1" applyFont="1" applyNumberFormat="1">
      <alignment readingOrder="0" shrinkToFit="0" vertical="center" wrapText="0"/>
    </xf>
    <xf borderId="3" fillId="12" fontId="31" numFmtId="0" xfId="0" applyAlignment="1" applyBorder="1" applyFont="1">
      <alignment shrinkToFit="0" vertical="center" wrapText="0"/>
    </xf>
    <xf borderId="26" fillId="17" fontId="31" numFmtId="164" xfId="0" applyAlignment="1" applyBorder="1" applyFont="1" applyNumberFormat="1">
      <alignment horizontal="right" readingOrder="0" shrinkToFit="0" vertical="center" wrapText="0"/>
    </xf>
    <xf borderId="3" fillId="17" fontId="40" numFmtId="0" xfId="0" applyAlignment="1" applyBorder="1" applyFont="1">
      <alignment readingOrder="0" shrinkToFit="0" vertical="center" wrapText="0"/>
    </xf>
    <xf borderId="5" fillId="17" fontId="40" numFmtId="0" xfId="0" applyAlignment="1" applyBorder="1" applyFont="1">
      <alignment readingOrder="0" shrinkToFit="0" vertical="center" wrapText="0"/>
    </xf>
    <xf quotePrefix="1" borderId="0" fillId="0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12" fillId="0" fontId="34" numFmtId="164" xfId="0" applyAlignment="1" applyBorder="1" applyFont="1" applyNumberFormat="1">
      <alignment readingOrder="0" shrinkToFit="0" vertical="center" wrapText="0"/>
    </xf>
    <xf borderId="10" fillId="17" fontId="6" numFmtId="49" xfId="0" applyAlignment="1" applyBorder="1" applyFont="1" applyNumberFormat="1">
      <alignment readingOrder="0" shrinkToFit="0" vertical="center" wrapText="0"/>
    </xf>
    <xf borderId="0" fillId="0" fontId="38" numFmtId="49" xfId="0" applyAlignment="1" applyFont="1" applyNumberFormat="1">
      <alignment readingOrder="0" shrinkToFit="0" vertical="center" wrapText="0"/>
    </xf>
    <xf borderId="0" fillId="0" fontId="39" numFmtId="49" xfId="0" applyAlignment="1" applyFont="1" applyNumberFormat="1">
      <alignment horizontal="left" readingOrder="0" shrinkToFit="0" vertical="bottom" wrapText="0"/>
    </xf>
    <xf borderId="5" fillId="17" fontId="40" numFmtId="0" xfId="0" applyAlignment="1" applyBorder="1" applyFont="1">
      <alignment shrinkToFit="0" vertical="center" wrapText="0"/>
    </xf>
    <xf borderId="29" fillId="12" fontId="31" numFmtId="0" xfId="0" applyAlignment="1" applyBorder="1" applyFon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164" xfId="0" applyAlignment="1" applyFont="1" applyNumberFormat="1">
      <alignment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12" numFmtId="49" xfId="0" applyAlignment="1" applyBorder="1" applyFont="1" applyNumberFormat="1">
      <alignment readingOrder="0" shrinkToFit="0" vertical="center" wrapText="0"/>
    </xf>
    <xf borderId="0" fillId="0" fontId="15" numFmtId="0" xfId="0" applyFont="1"/>
    <xf borderId="0" fillId="29" fontId="5" numFmtId="0" xfId="0" applyAlignment="1" applyFill="1" applyFont="1">
      <alignment readingOrder="0" vertical="bottom"/>
    </xf>
    <xf borderId="26" fillId="0" fontId="31" numFmtId="164" xfId="0" applyAlignment="1" applyBorder="1" applyFont="1" applyNumberFormat="1">
      <alignment horizontal="right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3" fillId="0" fontId="40" numFmtId="0" xfId="0" applyAlignment="1" applyBorder="1" applyFon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0" fontId="41" numFmtId="49" xfId="0" applyAlignment="1" applyFont="1" applyNumberFormat="1">
      <alignment horizontal="center" readingOrder="0" shrinkToFit="0" vertical="bottom" wrapText="0"/>
    </xf>
    <xf borderId="12" fillId="0" fontId="40" numFmtId="164" xfId="0" applyAlignment="1" applyBorder="1" applyFont="1" applyNumberFormat="1">
      <alignment horizontal="right" shrinkToFit="0" vertical="center" wrapText="0"/>
    </xf>
    <xf borderId="5" fillId="0" fontId="40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0" fillId="0" fontId="22" numFmtId="49" xfId="0" applyAlignment="1" applyFont="1" applyNumberFormat="1">
      <alignment readingOrder="0" shrinkToFit="0" vertical="center" wrapText="0"/>
    </xf>
    <xf borderId="5" fillId="0" fontId="40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center" readingOrder="0" shrinkToFit="0" vertical="bottom" wrapText="0"/>
    </xf>
    <xf borderId="3" fillId="0" fontId="40" numFmtId="0" xfId="0" applyAlignment="1" applyBorder="1" applyFont="1">
      <alignment shrinkToFit="0" vertical="center" wrapText="0"/>
    </xf>
    <xf borderId="12" fillId="0" fontId="31" numFmtId="164" xfId="0" applyAlignment="1" applyBorder="1" applyFont="1" applyNumberFormat="1">
      <alignment horizontal="right" shrinkToFit="0" vertical="center" wrapText="0"/>
    </xf>
    <xf borderId="5" fillId="0" fontId="31" numFmtId="0" xfId="0" applyAlignment="1" applyBorder="1" applyFont="1">
      <alignment shrinkToFit="0" vertical="center" wrapText="0"/>
    </xf>
    <xf borderId="9" fillId="0" fontId="31" numFmtId="164" xfId="0" applyAlignment="1" applyBorder="1" applyFont="1" applyNumberFormat="1">
      <alignment horizontal="right" shrinkToFit="0" vertical="center" wrapText="0"/>
    </xf>
    <xf borderId="10" fillId="0" fontId="31" numFmtId="0" xfId="0" applyAlignment="1" applyBorder="1" applyFont="1">
      <alignment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10" fillId="0" fontId="6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left" readingOrder="0" shrinkToFit="0" vertical="bottom" wrapText="0"/>
    </xf>
    <xf borderId="3" fillId="0" fontId="31" numFmtId="49" xfId="0" applyAlignment="1" applyBorder="1" applyFont="1" applyNumberFormat="1">
      <alignment shrinkToFit="0" vertical="center" wrapText="1"/>
    </xf>
    <xf borderId="5" fillId="0" fontId="31" numFmtId="49" xfId="0" applyAlignment="1" applyBorder="1" applyFont="1" applyNumberFormat="1">
      <alignment shrinkToFit="0" vertical="center" wrapText="1"/>
    </xf>
    <xf borderId="13" fillId="0" fontId="6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shrinkToFit="0" vertical="center" wrapText="0"/>
    </xf>
    <xf borderId="12" fillId="0" fontId="40" numFmtId="164" xfId="0" applyAlignment="1" applyBorder="1" applyFont="1" applyNumberFormat="1">
      <alignment horizontal="right" readingOrder="0" shrinkToFit="0" vertical="center" wrapText="0"/>
    </xf>
    <xf borderId="5" fillId="0" fontId="6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3" fillId="0" fontId="31" numFmtId="0" xfId="0" applyAlignment="1" applyBorder="1" applyFon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0" fillId="0" fontId="41" numFmtId="49" xfId="0" applyAlignment="1" applyFont="1" applyNumberFormat="1">
      <alignment horizontal="left" readingOrder="0" shrinkToFit="0" vertical="bottom" wrapText="0"/>
    </xf>
    <xf borderId="5" fillId="0" fontId="6" numFmtId="0" xfId="0" applyAlignment="1" applyBorder="1" applyFont="1">
      <alignment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readingOrder="0" shrinkToFit="0" vertical="center" wrapText="0"/>
    </xf>
    <xf borderId="27" fillId="0" fontId="31" numFmtId="164" xfId="0" applyAlignment="1" applyBorder="1" applyFont="1" applyNumberFormat="1">
      <alignment horizontal="right" shrinkToFit="0" vertical="center" wrapText="0"/>
    </xf>
    <xf borderId="28" fillId="0" fontId="31" numFmtId="164" xfId="0" applyAlignment="1" applyBorder="1" applyFont="1" applyNumberFormat="1">
      <alignment horizontal="right" shrinkToFit="0" vertical="center" wrapText="0"/>
    </xf>
    <xf borderId="0" fillId="0" fontId="45" numFmtId="49" xfId="0" applyAlignment="1" applyFont="1" applyNumberFormat="1">
      <alignment horizontal="left" readingOrder="0" shrinkToFit="0" vertical="center" wrapText="0"/>
    </xf>
    <xf borderId="0" fillId="0" fontId="46" numFmtId="49" xfId="0" applyAlignment="1" applyFont="1" applyNumberFormat="1">
      <alignment readingOrder="0" shrinkToFit="0" vertical="center" wrapText="0"/>
    </xf>
    <xf borderId="26" fillId="0" fontId="31" numFmtId="164" xfId="0" applyAlignment="1" applyBorder="1" applyFont="1" applyNumberFormat="1">
      <alignment horizontal="right" readingOrder="0" shrinkToFit="0" vertical="center" wrapText="0"/>
    </xf>
    <xf borderId="3" fillId="0" fontId="40" numFmtId="0" xfId="0" applyAlignment="1" applyBorder="1" applyFont="1">
      <alignment readingOrder="0" shrinkToFit="0" vertical="center" wrapText="0"/>
    </xf>
    <xf borderId="5" fillId="0" fontId="40" numFmtId="0" xfId="0" applyAlignment="1" applyBorder="1" applyFont="1">
      <alignment readingOrder="0" shrinkToFit="0" vertical="center" wrapText="0"/>
    </xf>
    <xf borderId="10" fillId="0" fontId="6" numFmtId="49" xfId="0" applyAlignment="1" applyBorder="1" applyFont="1" applyNumberFormat="1">
      <alignment readingOrder="0" shrinkToFit="0" vertical="center" wrapText="0"/>
    </xf>
    <xf borderId="29" fillId="0" fontId="31" numFmtId="0" xfId="0" applyAlignment="1" applyBorder="1" applyFont="1">
      <alignment shrinkToFit="0" vertical="center" wrapText="0"/>
    </xf>
  </cellXfs>
  <cellStyles count="1">
    <cellStyle xfId="0" name="Normal" builtinId="0"/>
  </cellStyles>
  <dxfs count="14">
    <dxf>
      <font>
        <b/>
      </font>
      <fill>
        <patternFill patternType="solid">
          <fgColor rgb="FF00FF00"/>
          <bgColor rgb="FF00FF00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535FC1"/>
          <bgColor rgb="FF535FC1"/>
        </patternFill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9B3642"/>
          <bgColor rgb="FF9B3642"/>
        </patternFill>
      </fill>
      <border/>
    </dxf>
    <dxf>
      <font/>
      <fill>
        <patternFill patternType="solid">
          <fgColor rgb="FFFFF400"/>
          <bgColor rgb="FFFFF400"/>
        </patternFill>
      </fill>
      <border/>
    </dxf>
    <dxf>
      <font/>
      <fill>
        <patternFill patternType="solid">
          <fgColor rgb="FFFF00F4"/>
          <bgColor rgb="FFFF00F4"/>
        </patternFill>
      </fill>
      <border/>
    </dxf>
    <dxf>
      <font/>
      <fill>
        <patternFill patternType="solid">
          <fgColor rgb="FFBB463C"/>
          <bgColor rgb="FFBB463C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6B26B"/>
          <bgColor rgb="FFF6B26B"/>
        </patternFill>
      </fill>
      <border/>
    </dxf>
  </dxfs>
  <tableStyles count="32">
    <tableStyle count="4" pivot="0" name="March-style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2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3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4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5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6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7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8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April-style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2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April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April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April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y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May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May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May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May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May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June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June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June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June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June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June-style 8">
      <tableStyleElement dxfId="2" type="headerRow"/>
      <tableStyleElement dxfId="3" type="firstRowStripe"/>
      <tableStyleElement dxfId="4" type="secondRowStripe"/>
      <tableStyleElement dxfId="5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pivotCacheDefinition" Target="pivotCache/pivotCacheDefinition28.xml"/><Relationship Id="rId20" Type="http://schemas.openxmlformats.org/officeDocument/2006/relationships/pivotCacheDefinition" Target="pivotCache/pivotCacheDefinition8.xml"/><Relationship Id="rId42" Type="http://schemas.openxmlformats.org/officeDocument/2006/relationships/pivotCacheDefinition" Target="pivotCache/pivotCacheDefinition30.xml"/><Relationship Id="rId41" Type="http://schemas.openxmlformats.org/officeDocument/2006/relationships/pivotCacheDefinition" Target="pivotCache/pivotCacheDefinition29.xml"/><Relationship Id="rId22" Type="http://schemas.openxmlformats.org/officeDocument/2006/relationships/pivotCacheDefinition" Target="pivotCache/pivotCacheDefinition10.xml"/><Relationship Id="rId44" Type="http://schemas.openxmlformats.org/officeDocument/2006/relationships/pivotCacheDefinition" Target="pivotCache/pivotCacheDefinition32.xml"/><Relationship Id="rId21" Type="http://schemas.openxmlformats.org/officeDocument/2006/relationships/pivotCacheDefinition" Target="pivotCache/pivotCacheDefinition9.xml"/><Relationship Id="rId43" Type="http://schemas.openxmlformats.org/officeDocument/2006/relationships/pivotCacheDefinition" Target="pivotCache/pivotCacheDefinition31.xml"/><Relationship Id="rId24" Type="http://schemas.openxmlformats.org/officeDocument/2006/relationships/pivotCacheDefinition" Target="pivotCache/pivotCacheDefinition12.xml"/><Relationship Id="rId23" Type="http://schemas.openxmlformats.org/officeDocument/2006/relationships/pivotCacheDefinition" Target="pivotCache/pivotCacheDefinition11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pivotCacheDefinition" Target="pivotCache/pivotCacheDefinition14.xml"/><Relationship Id="rId25" Type="http://schemas.openxmlformats.org/officeDocument/2006/relationships/pivotCacheDefinition" Target="pivotCache/pivotCacheDefinition13.xml"/><Relationship Id="rId28" Type="http://schemas.openxmlformats.org/officeDocument/2006/relationships/pivotCacheDefinition" Target="pivotCache/pivotCacheDefinition16.xml"/><Relationship Id="rId27" Type="http://schemas.openxmlformats.org/officeDocument/2006/relationships/pivotCacheDefinition" Target="pivotCache/pivotCacheDefinition1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pivotCacheDefinition" Target="pivotCache/pivotCacheDefinition17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pivotCacheDefinition" Target="pivotCache/pivotCacheDefinition19.xml"/><Relationship Id="rId30" Type="http://schemas.openxmlformats.org/officeDocument/2006/relationships/pivotCacheDefinition" Target="pivotCache/pivotCacheDefinition18.xml"/><Relationship Id="rId11" Type="http://schemas.openxmlformats.org/officeDocument/2006/relationships/worksheet" Target="worksheets/sheet7.xml"/><Relationship Id="rId33" Type="http://schemas.openxmlformats.org/officeDocument/2006/relationships/pivotCacheDefinition" Target="pivotCache/pivotCacheDefinition21.xml"/><Relationship Id="rId10" Type="http://schemas.openxmlformats.org/officeDocument/2006/relationships/worksheet" Target="worksheets/sheet6.xml"/><Relationship Id="rId32" Type="http://schemas.openxmlformats.org/officeDocument/2006/relationships/pivotCacheDefinition" Target="pivotCache/pivotCacheDefinition20.xml"/><Relationship Id="rId13" Type="http://schemas.openxmlformats.org/officeDocument/2006/relationships/pivotCacheDefinition" Target="pivotCache/pivotCacheDefinition1.xml"/><Relationship Id="rId35" Type="http://schemas.openxmlformats.org/officeDocument/2006/relationships/pivotCacheDefinition" Target="pivotCache/pivotCacheDefinition23.xml"/><Relationship Id="rId12" Type="http://schemas.openxmlformats.org/officeDocument/2006/relationships/worksheet" Target="worksheets/sheet8.xml"/><Relationship Id="rId34" Type="http://schemas.openxmlformats.org/officeDocument/2006/relationships/pivotCacheDefinition" Target="pivotCache/pivotCacheDefinition22.xml"/><Relationship Id="rId15" Type="http://schemas.openxmlformats.org/officeDocument/2006/relationships/pivotCacheDefinition" Target="pivotCache/pivotCacheDefinition3.xml"/><Relationship Id="rId37" Type="http://schemas.openxmlformats.org/officeDocument/2006/relationships/pivotCacheDefinition" Target="pivotCache/pivotCacheDefinition25.xml"/><Relationship Id="rId14" Type="http://schemas.openxmlformats.org/officeDocument/2006/relationships/pivotCacheDefinition" Target="pivotCache/pivotCacheDefinition2.xml"/><Relationship Id="rId36" Type="http://schemas.openxmlformats.org/officeDocument/2006/relationships/pivotCacheDefinition" Target="pivotCache/pivotCacheDefinition24.xml"/><Relationship Id="rId17" Type="http://schemas.openxmlformats.org/officeDocument/2006/relationships/pivotCacheDefinition" Target="pivotCache/pivotCacheDefinition5.xml"/><Relationship Id="rId39" Type="http://schemas.openxmlformats.org/officeDocument/2006/relationships/pivotCacheDefinition" Target="pivotCache/pivotCacheDefinition27.xml"/><Relationship Id="rId16" Type="http://schemas.openxmlformats.org/officeDocument/2006/relationships/pivotCacheDefinition" Target="pivotCache/pivotCacheDefinition4.xml"/><Relationship Id="rId38" Type="http://schemas.openxmlformats.org/officeDocument/2006/relationships/pivotCacheDefinition" Target="pivotCache/pivotCacheDefinition26.xml"/><Relationship Id="rId19" Type="http://schemas.openxmlformats.org/officeDocument/2006/relationships/pivotCacheDefinition" Target="pivotCache/pivotCacheDefinition7.xml"/><Relationship Id="rId18" Type="http://schemas.openxmlformats.org/officeDocument/2006/relationships/pivotCacheDefinition" Target="pivotCache/pivotCacheDefinition6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Clara Martinez" id="{0c6c1ac4-2350-4323-8363-50a55addc001}" providerId="google-sheets"/>
</x18tc:personList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D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F1:I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P150" sheet="March"/>
  </cacheSource>
  <cacheFields>
    <cacheField name="Date" numFmtId="164">
      <sharedItems containsDate="1" containsString="0" containsBlank="1">
        <d v="2026-03-11T00:00:00Z"/>
        <d v="2026-03-12T00:00:00Z"/>
        <d v="2026-03-13T00:00:00Z"/>
        <m/>
      </sharedItems>
    </cacheField>
    <cacheField name="External Case ID" numFmtId="0">
      <sharedItems containsBlank="1">
        <s v="1003782#1"/>
        <s v="3893108#1"/>
        <s v="4373405#1"/>
        <s v="1142922#1"/>
        <s v="1362258#1"/>
        <s v="571346#1"/>
        <s v="579818#1"/>
        <s v="364592#1"/>
        <s v="4551326#1"/>
        <s v="1038481#1"/>
        <s v="940466#1 "/>
        <s v="2984154#1"/>
        <s v="4551457#1"/>
        <s v="2441778#1"/>
        <s v="1915908#1 "/>
        <s v="4298820#1"/>
        <s v="1127342#1"/>
        <s v="1349118#1"/>
        <s v="1178809#1"/>
        <s v="1999432#1"/>
        <s v="4071463#1"/>
        <s v="2280841#1"/>
        <s v="568037#1"/>
        <m/>
      </sharedItems>
    </cacheField>
    <cacheField name="Case Name" numFmtId="0">
      <sharedItems containsBlank="1">
        <s v="Franpan"/>
        <s v="Sumadesarrollos"/>
        <s v="Peakintegratedmarketing"/>
        <s v="Aesscorp"/>
        <s v="Edifixpanama"/>
        <s v="Sertigua"/>
        <s v="Media Branding Honduras"/>
        <s v="Cementos y Concretos Nacionales"/>
        <s v="Pycmat"/>
        <s v="MGRUL ARQUITECTOS"/>
        <s v="Tracsa Cat"/>
        <s v="Mercatus77"/>
        <s v="Proledservice"/>
        <s v="Eberth Manuel Torres De La Fuente"/>
        <s v="Furniture Mugui Guadalupe"/>
        <s v="Tamosasv "/>
        <s v="Madera y Vida"/>
        <s v="ETXEA Arquitecto"/>
        <s v="KB Advanced Engineering"/>
        <s v="TINSA EL SALVADOR"/>
        <s v="Firepropanama"/>
        <s v="Disarq Arquitectos"/>
        <s v="Vestal Corporation"/>
        <m/>
      </sharedItems>
    </cacheField>
    <cacheField name="Country" numFmtId="0">
      <sharedItems containsBlank="1">
        <s v="Panama"/>
        <s v="Mexico"/>
        <s v="Costa Rica"/>
        <s v="Guatemala"/>
        <s v="Honduras"/>
        <s v="El Salvador"/>
        <m/>
      </sharedItems>
    </cacheField>
    <cacheField name="Investigator" numFmtId="0">
      <sharedItems containsBlank="1">
        <s v="Clara"/>
        <s v="Noel"/>
        <m/>
      </sharedItems>
    </cacheField>
    <cacheField name="QA Notes" numFmtId="0">
      <sharedItems containsString="0" containsBlank="1">
        <m/>
      </sharedItems>
    </cacheField>
  </cacheFields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W150" sheet="March"/>
  </cacheSource>
  <cacheFields>
    <cacheField name="Date" numFmtId="164">
      <sharedItems containsDate="1" containsString="0" containsBlank="1">
        <d v="2026-10-03T00:00:00Z"/>
        <d v="2026-09-03T00:00:00Z"/>
        <d v="2026-03-10T00:00:00Z"/>
        <d v="2026-03-11T00:00:00Z"/>
        <d v="2026-03-12T00:00:00Z"/>
        <d v="2026-03-13T00:00:00Z"/>
        <m/>
      </sharedItems>
    </cacheField>
    <cacheField name="External Case ID" numFmtId="0">
      <sharedItems containsBlank="1">
        <s v="562159#1"/>
        <s v="929957#1"/>
        <s v="2418287#1"/>
        <s v="3872707#1"/>
        <s v="1629351#1"/>
        <s v="4498789#1"/>
        <s v="963733#1"/>
        <s v="1857468#1"/>
        <s v="897058#1"/>
        <s v="4431951#1"/>
        <s v="1779836#1"/>
        <s v="2324670#1"/>
        <s v="1624957#1 "/>
        <s v="1982727#1"/>
        <s v="590934#1"/>
        <s v="1812533#1"/>
        <s v="1598562#1"/>
        <s v="1031358#1"/>
        <s v="1107229#1"/>
        <s v="4252989#1"/>
        <s v="966358#1"/>
        <s v="677237#1"/>
        <s v="1983257#1"/>
        <s v="424322#5"/>
        <s v="4442566#1"/>
        <s v="1614231#1"/>
        <s v="576546#1"/>
        <s v="4471958#1"/>
        <s v="4407177#1"/>
        <s v="4329194#1"/>
        <s v="1108827#1"/>
        <s v="652039#1"/>
        <s v="1037970#1"/>
        <s v="547185#1"/>
        <s v="4327159#1"/>
        <s v="1195022#1"/>
        <s v="732603#2"/>
        <s v="3460320#1"/>
        <s v="1712747#1"/>
        <s v="3049213#1"/>
        <s v="1790200#2"/>
        <s v="1996189#1"/>
        <s v="4409813#1"/>
        <s v="2034307#1"/>
        <s v="1463939#1"/>
        <s v="710139#1"/>
        <s v="1710030#1"/>
        <s v="4431186#1"/>
        <s v="3125359#1"/>
        <s v="2472716#4"/>
        <s v="1672823#1"/>
        <s v="4433243#1"/>
        <s v="1924868#1"/>
        <s v="1777771#1"/>
        <s v="4463488#1"/>
        <s v="3459538#1"/>
        <s v="4209021#1"/>
        <s v="2922082#1"/>
        <s v="2025150#1"/>
        <s v="1955945#2"/>
        <s v="3408492#1"/>
        <s v="4370767#1"/>
        <s v="2278808#1"/>
        <s v="4443273#1"/>
        <s v="4436085#1"/>
        <s v="4342652#1"/>
        <s v="1540158#2"/>
        <s v="1346985#1"/>
        <s v="2207427#1"/>
        <s v="4407998#1"/>
        <m/>
      </sharedItems>
    </cacheField>
    <cacheField name="Case Name" numFmtId="0">
      <sharedItems containsBlank="1">
        <s v="Uprosanluis"/>
        <s v="Tepsi"/>
        <s v="Sea White SA"/>
        <s v="Austinebsah"/>
        <s v="Mecanizado Ituzaingo S.A."/>
        <s v="Tejidosraquel&#10;"/>
        <s v="Guzman Nacich S.A.I.C"/>
        <s v="Cbn Group S.A. &#10;"/>
        <s v="Interieur Forma Sa&#10;"/>
        <s v="Studiocofi"/>
        <s v="Carmont &#10;"/>
        <s v="Kw Solar / San Rafael"/>
        <s v="Aberturaslamorenia"/>
        <s v="Ingeniería y Servicios FIMA S.A"/>
        <s v="Expotrade Sa "/>
        <s v="Magnonepollio"/>
        <s v="Autex S.A."/>
        <s v="Mosaicos Blangino"/>
        <s v="Estancias y Cabaña Las Lilas"/>
        <s v="Bcgarq"/>
        <s v="Piñeiro Martin"/>
        <s v="Constructora Endurance S.A."/>
        <s v="Nempre Producciones"/>
        <s v="Industrias Ferrotodo Ltda."/>
        <s v="Xelebra"/>
        <s v="Alpaca S.A."/>
        <s v="RICHIGER maquinarias"/>
        <s v="Integraservices"/>
        <s v="Fenomix"/>
        <s v="Primaarquitectos"/>
        <s v="Hidroar SA"/>
        <s v="Obras Y Suministros Aea Sa"/>
        <s v="Casino Puerto Santa Fe S.A."/>
        <s v="Guzmán &amp; Guzmán Inmobiliaria + Constructora"/>
        <s v="Estudiotrivelloni"/>
        <s v="Arquitectocolombo"/>
        <s v="GRUPO FARALLON S.A."/>
        <s v="MD Informatics"/>
        <s v="Rmconsulting"/>
        <s v="Soluciones de Alta Disponibilidad S.A.C."/>
        <s v="OK Computer EIRL "/>
        <s v="Fdscreativo "/>
        <s v="Urbanarquitectos"/>
        <s v="Movenda Furniture"/>
        <s v="Constructora Oviedo Sac"/>
        <s v="Dyaconssac"/>
        <s v="LGM Asociados"/>
        <s v="Otisa"/>
        <s v="Izara"/>
        <s v="Eventrade Productora de Eventos"/>
        <s v="Summa Gold Corporation SAC"/>
        <s v="Representaciones Alimenticias SAC"/>
        <s v="SERMEIND Fabricaciones Industriales"/>
        <s v="Empsa"/>
        <s v="Builder Company"/>
        <s v="Thegroup"/>
        <s v="Thm"/>
        <s v="Mades"/>
        <s v="Materiales Cerro Cora"/>
        <s v="Totalitysrl"/>
        <s v="Control Total Peru S.A."/>
        <s v="Arasu"/>
        <s v="Gruporecreo"/>
        <s v="Almacén Extraportuario El Sauce S.A."/>
        <s v="Estudio105"/>
        <s v="Mgasac"/>
        <s v="Kompressur"/>
        <s v="RESY Ingeniería y Construcción"/>
        <s v="Inproyen"/>
        <s v="Fenedur"/>
        <s v="Zulu"/>
        <m/>
      </sharedItems>
    </cacheField>
    <cacheField name="Country" numFmtId="0">
      <sharedItems containsBlank="1">
        <s v="Argentina"/>
        <s v="Uruguay"/>
        <s v="Chile"/>
        <s v="Paraguay"/>
        <s v="Bolivia"/>
        <s v="Peru"/>
        <m/>
      </sharedItems>
    </cacheField>
    <cacheField name="Investigator" numFmtId="0">
      <sharedItems containsBlank="1">
        <s v="Mariadelaida"/>
        <s v="Eduardo"/>
        <s v="Noel"/>
        <s v="Clara"/>
        <s v="Daniela"/>
        <m/>
      </sharedItems>
    </cacheField>
    <cacheField name="QA Notes" numFmtId="0">
      <sharedItems containsBlank="1">
        <m/>
        <s v="Disqualified"/>
      </sharedItems>
    </cacheField>
  </cacheFields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Y1:AD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1101510#1"/>
        <s v="1639681#1"/>
        <s v="1427838#1"/>
        <s v="4390964#1"/>
        <s v="1660465#1"/>
        <s v="1611337#1"/>
        <s v="4551914#1"/>
        <s v="929260#1"/>
        <s v="750266#1"/>
        <s v="490901#1"/>
        <s v="755585#1"/>
        <s v="1405362#2"/>
        <s v="909208#1"/>
        <s v="649131#1"/>
        <s v="565008#1"/>
        <s v="4071452#1"/>
        <s v="1107069#1"/>
        <s v="523432#1"/>
        <s v="2293913#1"/>
        <s v="1178584#1"/>
        <s v="4370634#1"/>
        <s v="1348790#1"/>
        <s v="1950161#1"/>
        <s v="1608827#1"/>
        <s v="1077761#1"/>
        <s v="1127716#1"/>
        <s v="1478094#1"/>
        <s v="1079349#1"/>
        <s v="4427249#1"/>
        <s v="929224#1"/>
        <s v="4364305#1"/>
        <s v="930286#1"/>
        <s v="2393170#1"/>
        <s v="307459#1"/>
        <s v="925667#1"/>
        <s v="584592#1"/>
        <s v="1004333#1"/>
        <s v="341279#1"/>
        <s v="1101706#1"/>
        <s v="326208#1"/>
        <s v="1144696#1"/>
        <s v="4425981#1"/>
        <s v="455393#1"/>
        <s v="758788#1"/>
        <s v="1629564#1"/>
        <s v="311469#1"/>
        <s v="4298514#1"/>
        <s v="1082759#1"/>
        <s v="873964#1"/>
        <s v="4381487#1"/>
        <s v="4411751#1"/>
        <s v="4401771#1"/>
        <s v="4433783#1"/>
        <s v="1313428#1"/>
        <s v="1129274#1"/>
        <s v="530901#1"/>
        <s v="1859832#2"/>
        <s v="2278235#1"/>
        <s v="561674#1"/>
        <s v="1641324#1"/>
        <s v="313934#1"/>
        <s v="3172732#2"/>
        <s v="4524752#1"/>
        <s v="4298992#1"/>
        <s v="3858064#1"/>
        <s v="4421435#1"/>
        <s v="3518869#1"/>
        <s v="4330645#1"/>
        <s v="1339837#2"/>
        <s v="4296128#1"/>
        <s v="4453320#1"/>
        <s v="760391#1"/>
        <s v="4447848#1"/>
        <s v="4425241#1"/>
        <s v="4382747#1"/>
        <s v="3271879#1"/>
        <s v="943691#1"/>
        <s v="4341168#1"/>
        <s v="4504270#1"/>
        <s v="4504495#1"/>
        <s v="3400649#1"/>
        <s v="4415834#1"/>
        <s v="4440974#1"/>
        <s v="3460570#1"/>
        <s v="4344384#1"/>
        <s v="1172064#1"/>
        <s v="4431634#1"/>
        <s v="4363400#1"/>
        <s v="4342109#1"/>
        <s v="1693363#1"/>
        <m/>
        <s v="1143523#1"/>
      </sharedItems>
    </cacheField>
    <cacheField name="Case Name" numFmtId="0">
      <sharedItems containsBlank="1">
        <s v="Pannello "/>
        <s v="Camusatdom"/>
        <s v="Grupo Emo"/>
        <s v="Surcasas"/>
        <s v="Birce, S.a. de C.v."/>
        <s v="Grupounik"/>
        <s v="vanguartec"/>
        <s v="Dec Arquitectos"/>
        <s v="Testia"/>
        <s v="Avance"/>
        <s v="Jrsombreros"/>
        <s v="Right Construction"/>
        <s v="Sánchez y Martín"/>
        <s v="CCEEA"/>
        <s v="Timberlacq"/>
        <s v="Immsa"/>
        <s v="MAICO Tecnologia en Salud"/>
        <s v="Creativo Cuatro Arquitectos"/>
        <s v="Gastrofoto"/>
        <s v="Constructora Y Arrendadora San Sebastian"/>
        <s v="ICRG"/>
        <s v="Corporativo Arqualli"/>
        <s v="Cimiento Decor"/>
        <s v="Wattsnbytes"/>
        <s v="IMAGO Producciones"/>
        <s v="Athos Construccion"/>
        <s v="AF Suministros E.U."/>
        <s v="Muebles León"/>
        <s v="Makepublicidad"/>
        <s v="Agendarq"/>
        <s v="Draftingconsultants"/>
        <s v="Constructora Monape"/>
        <s v="Ingeaguas S.A.S"/>
        <s v="Constructorariva"/>
        <s v="Rittal México"/>
        <s v="Juan Carlos Rodrígue"/>
        <s v="Ambiente Azul"/>
        <s v="Tecoarquitectos"/>
        <s v="MobiOffice"/>
        <s v="Bari Vigas , S.A. De C.V."/>
        <s v="Supergas LP"/>
        <s v="Ingad"/>
        <s v="Red de Carreteras de Occidente, S.A.B. de C.V."/>
        <s v="Da Producciones"/>
        <s v="Artek"/>
        <s v="Nodilusa s.a. de c.v. (ok)"/>
        <s v="Palmasahn"/>
        <s v="Ediconconsulting"/>
        <s v="KOBREX SA DE CV"/>
        <s v="Gramarte"/>
        <s v="Puntoarquitectonico"/>
        <s v="Cubiconcept"/>
        <s v="Bondenergy"/>
        <s v="Eduardo Capdevila"/>
        <s v="Jcharquitectos"/>
        <s v="Factory Corp - Pty"/>
        <s v="Water System Management - Wasyma"/>
        <s v="INPROCSA S.A. DE C.V."/>
        <s v="PTY Network INC"/>
        <s v="GRC Ingenieros"/>
        <s v="Furniturecitypanama"/>
        <s v="Grupo Muratori"/>
        <s v="Estudiosoledadanda"/>
        <s v="Himesa"/>
        <s v="Proyeca"/>
        <s v="Arqu"/>
        <s v="Woka"/>
        <s v="Triarkec"/>
        <s v="Consultora Pasqui"/>
        <s v="Jagingenieros"/>
        <s v="Absoluteproperties"/>
        <s v="Dimetrica Arquitectos"/>
        <s v="Americashg"/>
        <s v="Centroinox"/>
        <s v="Eltriangulo"/>
        <s v="A10"/>
        <s v="DesaCafe S.A"/>
        <s v="Fkl Muebles Importados"/>
        <s v="Herasc"/>
        <s v="Prosal"/>
        <s v="Thisisown"/>
        <s v="Firplak"/>
        <s v="Empacor S.A"/>
        <s v="SATURDAY"/>
        <s v="Ciprian"/>
        <s v="Valentine &amp; Kebartas"/>
        <s v="Tusimpresionespa"/>
        <s v="Caisa"/>
        <s v="Lacasitadeallado"/>
        <s v="Studioadd"/>
        <m/>
        <s v="Studio NOA "/>
      </sharedItems>
    </cacheField>
    <cacheField name="Country" numFmtId="0">
      <sharedItems containsBlank="1">
        <s v="Domican Republic"/>
        <s v="Guatemala"/>
        <s v="Mexico"/>
        <s v="El Salvador"/>
        <s v="Nicaragua"/>
        <s v="Costa Rica"/>
        <s v="Colombia"/>
        <s v="Ecuador"/>
        <s v="Honduras"/>
        <s v="Panama"/>
        <m/>
      </sharedItems>
    </cacheField>
    <cacheField name="Investigator" numFmtId="0">
      <sharedItems containsBlank="1">
        <s v="Clara"/>
        <s v="Noel"/>
        <s v="Ximena"/>
        <s v="Luis"/>
        <s v="Eduardo"/>
        <s v="Mariadelaida"/>
        <m/>
      </sharedItems>
    </cacheField>
    <cacheField name="QA Notes" numFmtId="49">
      <sharedItems containsBlank="1">
        <s v="Add to previous batch"/>
        <m/>
        <s v="Entity already contacted. Rejected."/>
      </sharedItems>
    </cacheField>
  </cacheFields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F1:AK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3903087#1"/>
        <s v="4417070#1"/>
        <s v="2453386#1"/>
        <s v="4322300#1"/>
        <s v="1106774#1"/>
        <s v="4320575#1"/>
        <s v="3397857#1"/>
        <s v="3411221#1"/>
        <s v="4394988#1"/>
        <s v="2263652#1"/>
        <s v="1195076#1"/>
        <s v="4429420#1"/>
        <s v="1457032#2"/>
        <s v="56787#3"/>
        <s v="1478572#1"/>
        <s v="3861523#1"/>
        <s v="2514611#1"/>
        <s v="4199128#1"/>
        <s v="1093148#1"/>
        <s v="4400085#1"/>
        <s v="969884#1"/>
        <s v="3885758#1"/>
        <s v="4515856#1"/>
        <s v="4449994#1"/>
        <s v="4515656#1"/>
        <s v="4442577#1"/>
        <s v="4491992#1"/>
        <s v="4514197#1"/>
        <s v="4480355#1"/>
        <s v="4513095#1"/>
        <s v="4516168#1"/>
        <s v="4520526#1"/>
        <s v="4414303#1"/>
        <s v="4414292#1"/>
        <s v="4320560#1"/>
        <s v="4331128#1"/>
        <s v="677237#1"/>
        <s v="4515785#1 "/>
        <s v="4520492#1"/>
        <s v="4475650#1"/>
        <s v="4520750#1"/>
        <s v="4388655#1"/>
        <s v="4389930#1"/>
        <s v="3297533#2"/>
        <s v="4342114#1"/>
        <s v="4431661#1"/>
        <s v="2334075#1"/>
        <s v="4338979#1"/>
        <s v="4421642#1"/>
        <s v="4361169#1"/>
        <s v="4338006#1"/>
        <s v="686560#3"/>
        <s v="4427477#1"/>
        <s v="1744879#1"/>
        <s v="660886#1"/>
        <s v="4415136#1"/>
        <s v="4332805#1"/>
        <s v="4411486#1"/>
        <s v="4415952#1"/>
        <s v="4520998#1"/>
        <s v="4503766#1"/>
        <s v="2277489#1"/>
        <s v="4471614#1"/>
        <s v="4333719#1"/>
        <s v="4464421#1"/>
        <s v="4380912#1"/>
        <s v="4382121#1"/>
        <s v="4495346#1"/>
        <s v="4490045#1"/>
        <s v="4506067#1"/>
        <s v="4518184#1"/>
        <s v="4368039#1"/>
        <s v="4340434#1"/>
        <s v="3567394#1"/>
        <s v="1914618#1"/>
        <s v="4417754#1"/>
        <s v="4458897#1"/>
        <s v="4531337#1"/>
        <s v="1195608#1"/>
        <s v="4429826#1"/>
        <s v="4435923#1"/>
        <s v="4388157#1"/>
        <s v="966457#1"/>
        <s v="613103#1"/>
        <s v="1535348#1"/>
        <m/>
        <s v="925127#1"/>
      </sharedItems>
    </cacheField>
    <cacheField name="Case Name" numFmtId="0">
      <sharedItems containsBlank="1">
        <s v="Barraca Julia Canelones"/>
        <s v="Tilo"/>
        <s v="EYDISA | Desarrollos Inmobiliarios"/>
        <s v="Pgconstructora"/>
        <s v="SACH SA"/>
        <s v="Zd Galpones"/>
        <s v="Plaquimet Sa"/>
        <s v="Lebenan"/>
        <s v="Ohaconstrucciones"/>
        <s v="Emprend Metalurg Indust Srl"/>
        <s v="IMPRESS SRL"/>
        <s v="Quintanacasa"/>
        <s v="RR Construcciones S.A."/>
        <s v="Centauro S.A"/>
        <s v="Arvo"/>
        <s v="Directasa"/>
        <s v="Barrios Romina Soledad"/>
        <s v="Nini"/>
        <s v="Traynor Luis Felipe"/>
        <s v="Estudiogsa"/>
        <s v="Vignoni Fernando Ariel"/>
        <s v="Muebleswohnen"/>
        <s v="Yuditec"/>
        <s v="Nova Construcciones"/>
        <s v="Peyrous"/>
        <s v="Stampublicidad"/>
        <s v="Jardymantcorp"/>
        <s v="Transportesict"/>
        <s v="Filterpore"/>
        <s v="Inserteccl"/>
        <s v="Esafe"/>
        <s v="Silentiumad"/>
        <s v="Sagitariogroup"/>
        <s v="311arquitecturaydiseno"/>
        <s v="Helados Artika"/>
        <s v="Deimueble"/>
        <s v="Constructora Endurance S.A."/>
        <s v="Lssoluciones"/>
        <s v="Empresasimb"/>
        <s v="Serviciosvortex"/>
        <s v="Redbakery"/>
        <s v="Stuhl"/>
        <s v="Arqsystemstudio"/>
        <s v="Arquines SAC"/>
        <s v="Aruma"/>
        <s v="Serprovisa"/>
        <s v="Caleb Heber Juarez Cabeza"/>
        <s v="Wallesac"/>
        <s v="Pionero"/>
        <s v="Seproesperu"/>
        <s v="J3tr"/>
        <s v="Pablo Ignacio Ravanal Garcia"/>
        <s v="Ajarquitectos &#10;"/>
        <s v="Carlos Ibáñez Arriendo de Maquinarias Ltda."/>
        <s v="Acostavallet &#10;"/>
        <s v="Galucorp"/>
        <s v="Serccolorsacperu"/>
        <s v="Xgroup"/>
        <s v="Metalpack"/>
        <s v="Evercreative"/>
        <s v="Livingstore"/>
        <s v="Patricio Andres Brevis Saravia"/>
        <s v="Cygsachile"/>
        <s v="Irabu"/>
        <s v="Pandastudio"/>
        <s v="Agenciamontesion"/>
        <s v="Acdgroup"/>
        <s v="Alderaan "/>
        <s v="Ypfbrefinacion"/>
        <s v="Sunfersa"/>
        <s v="Atijastorres"/>
        <s v="Inmobiliaria Pajuelo"/>
        <s v="Lopezingenieros "/>
        <s v="Andes Alimentos &amp;. Bebidas SAC"/>
        <s v="Kusiruaq"/>
        <s v="Fernandolaura"/>
        <s v="Jvc7group"/>
        <s v="Xtrememining"/>
        <s v="Airtec S.A."/>
        <s v="Latorre"/>
        <s v="Almamkt"/>
        <s v="Black"/>
        <s v="Enviro Consultores"/>
        <s v="GyS Control Industrial S.A.C."/>
        <s v="PROHABI"/>
        <m/>
        <s v="Barrail Hnos. S.A. Building"/>
      </sharedItems>
    </cacheField>
    <cacheField name="Country" numFmtId="0">
      <sharedItems containsBlank="1">
        <s v="Uruguay"/>
        <s v="Paraguay"/>
        <s v="Argentina"/>
        <s v="Bolivia"/>
        <s v="Chile"/>
        <s v="Peru"/>
        <m/>
      </sharedItems>
    </cacheField>
    <cacheField name="Investigator" numFmtId="0">
      <sharedItems containsBlank="1">
        <s v="Mariadelaida"/>
        <s v="Eduardo"/>
        <s v="Daniela"/>
        <s v="Noel"/>
        <m/>
      </sharedItems>
    </cacheField>
    <cacheField name="QA Notes" numFmtId="0">
      <sharedItems containsBlank="1">
        <m/>
        <s v="Add to previous batch"/>
        <s v="Entity already contacted. Rejected."/>
        <s v="Duplicate case. Other case has Kaznar tag. Rejected."/>
      </sharedItems>
    </cacheField>
  </cacheFields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M1:AS150" sheet="March"/>
  </cacheSource>
  <cacheFields>
    <cacheField name="Date" numFmtId="164">
      <sharedItems containsDate="1" containsString="0" containsBlank="1">
        <d v="2026-03-23T00:00:00Z"/>
        <d v="2026-03-24T00:00:00Z"/>
        <m/>
        <d v="2026-03-25T00:00:00Z"/>
        <d v="2026-03-26T00:00:00Z"/>
        <d v="2026-03-27T00:00:00Z"/>
      </sharedItems>
    </cacheField>
    <cacheField name="External Case ID" numFmtId="0">
      <sharedItems containsBlank="1">
        <s v="1007164#1"/>
        <s v="519234#1"/>
        <s v="2039153#1"/>
        <s v="455006#1"/>
        <s v="1416788#1"/>
        <s v="1102586#1"/>
        <s v="1004656#1"/>
        <s v="928691#1"/>
        <s v="3051996#1"/>
        <s v="1190384#1"/>
        <s v="1676727#1"/>
        <s v="1812327#1"/>
        <s v="591500#1"/>
        <s v="611191#1"/>
        <s v="296761#1"/>
        <s v="1097153#1"/>
        <m/>
        <s v="1448152#1"/>
        <s v="877502#1"/>
        <s v="1910413#1"/>
        <s v="604636#1"/>
        <s v="1005458#1"/>
        <s v="4410025#1"/>
        <s v="3255733#1"/>
        <s v="908988#1"/>
        <s v="2290859#1"/>
        <s v="4179060#1"/>
        <s v="2321859#1"/>
        <s v="1094951#1"/>
        <s v="4319918#1"/>
        <s v="4337104#1"/>
        <s v="4513032#1"/>
        <s v="314232#1"/>
        <s v="4499045#1 "/>
        <s v="4396812# &#10;"/>
        <s v="4413498#1"/>
        <s v="4522904#1"/>
        <s v="1413571#1"/>
        <s v="4376128#1"/>
        <s v="4504484#1"/>
        <s v="4335027#1"/>
        <s v="4410013#1"/>
        <s v="4412211#1"/>
        <s v="4510955#1"/>
        <s v="4419625#1"/>
        <s v="928157#1"/>
        <s v="4362029#1"/>
        <s v="1208479#1"/>
        <s v="3858484#1"/>
        <s v="613089#1"/>
        <s v="527150#"/>
        <s v="4472639#1"/>
        <s v="2148126#1"/>
        <s v="905529#1"/>
        <s v="2918579#1"/>
        <s v="2131475#1"/>
        <s v="1972893#1"/>
        <s v="2313652#1"/>
        <s v="1005437#1"/>
        <s v="4212171#1"/>
        <s v="2198678#1"/>
        <s v="3860082#1"/>
        <s v="1105105#1"/>
        <s v="586340#1"/>
        <s v="4333404#1"/>
        <s v="4458359#1"/>
        <s v="4490757#1"/>
        <s v="4529343#1"/>
        <s v="4518844#1"/>
        <s v="1004756#1"/>
        <s v="1009016#1"/>
        <s v="1855482#1"/>
        <s v="687360#2"/>
        <s v="3874112#1"/>
        <s v="1937332#1"/>
        <s v="1695457#1"/>
        <s v="654525#1"/>
        <s v="4373030#1"/>
        <s v="923873#1"/>
        <s v="768099#2 "/>
        <s v="1626344#1 "/>
        <s v="658897#1"/>
        <s v="1448925#1"/>
        <s v="3251534#1"/>
        <s v="2985736#1"/>
        <s v="1062972#1"/>
        <s v="4415138#1"/>
      </sharedItems>
    </cacheField>
    <cacheField name="Case Name" numFmtId="0">
      <sharedItems containsBlank="1">
        <s v="BCO Constructora"/>
        <s v="Pendulum"/>
        <s v="Servicios Industriales DASI SA de CV"/>
        <s v="Lsba Studio"/>
        <s v="Intersyst Seguridad y Control S.A. De C.V."/>
        <s v="D+U Desarrollos Urbitectonicos"/>
        <s v="MAXIMUEBLES"/>
        <s v="Importadora Industrial Agricola S.A. IIASA"/>
        <s v="Unicus"/>
        <s v="Hsf"/>
        <s v="Graca &amp; Partners Architects"/>
        <s v="Del Trópico S.A."/>
        <s v="Grupomazahua"/>
        <s v="COINICSA"/>
        <s v="Zebra Studio"/>
        <s v="Grupo Acuicola Mexicano"/>
        <m/>
        <s v="891855089-7"/>
        <s v="Vividarch"/>
        <s v="Mutetad"/>
        <s v="Grupo Zicav S.A.S"/>
        <s v="Inproyecta"/>
        <s v="Pregoarquitectos"/>
        <s v="Verconstrucciones"/>
        <s v="Sssslaco"/>
        <s v="Servigtec"/>
        <s v="Quimicapatric"/>
        <s v="Pendulo "/>
        <s v="Muebles Guachi"/>
        <s v="Malespin"/>
        <s v="Sofiainteriorismo"/>
        <s v="Dcreativacr"/>
        <s v="Arquitecturalista"/>
        <s v="Elmarujo"/>
        <s v="Gruponature"/>
        <s v="Construtico"/>
        <s v="Grupoingeniocr"/>
        <s v="Clubnautico"/>
        <s v="Abcorp"/>
        <s v="Ingenioconcreto"/>
        <s v="Gpsgroup"/>
        <s v="Dipay"/>
        <s v="Mmasesoria"/>
        <s v="Kosmasdesign"/>
        <s v="Serviciosjbl"/>
        <s v="Gamma Rendering"/>
        <s v="Artron"/>
        <s v="Metta Architectural Studio"/>
        <s v="Conelectricas R.L"/>
        <s v="RM Arquitectura e Ingenieria"/>
        <s v="Bilcocr"/>
        <s v="Habitatdelosandes"/>
        <s v="JFR Arquitectos"/>
        <s v="Hunter Douglas de Mexico S.A. de C.V."/>
        <s v="OPE Publicidad Gráfica"/>
        <s v="Luconsa"/>
        <s v="Cosmo Residences"/>
        <s v="Sistemas Ocho Cuartos"/>
        <s v="ERGO mobiliario"/>
        <s v="Ficade"/>
        <s v="Palmar Corporación"/>
        <s v="Glassart"/>
        <s v="Ocho Arquitectura y Diseño"/>
        <s v="ZAZÓNestudio"/>
        <s v="Kywi"/>
        <s v="Casadediseno"/>
        <s v="Konkretos"/>
        <s v="Avantiingenieria"/>
        <s v="Bvserviciosyconstrucciones"/>
        <s v="Emme Arquitectura "/>
        <s v="TURQUESA mobiliario + diseño"/>
        <s v="Ducon S.A.S."/>
        <s v="Grupo Coydisa"/>
        <s v="Metamateriales"/>
        <s v="Roberto Scarfullery"/>
        <s v="Salitre Swimwear"/>
        <s v="Ecuatoriana De Productos Quimicos C.A."/>
        <s v="Gpslion"/>
        <s v="Globalmanagemententerprise"/>
        <s v="Acostacosta"/>
        <s v="Jerco"/>
        <s v="Leterago Del Ecuador S.A."/>
        <s v="Daniel Alvarez-1017127594"/>
        <s v="Vinaki"/>
        <s v="Sillas y Pupitres de Colombia SAS"/>
        <s v="M2 Studio"/>
        <s v="Skywaterconstrucciones"/>
      </sharedItems>
    </cacheField>
    <cacheField name="Country" numFmtId="0">
      <sharedItems containsBlank="1">
        <s v="Mexico"/>
        <s v="Ecuador"/>
        <s v="Honduras"/>
        <s v="El Salvador"/>
        <s v="Guatemala"/>
        <s v="Nicaragua"/>
        <m/>
        <s v="Colombia"/>
        <s v="Belice"/>
        <s v="Costa Rica"/>
        <s v="Dominican Republic"/>
        <s v="Panama"/>
      </sharedItems>
    </cacheField>
    <cacheField name="Investigator" numFmtId="0">
      <sharedItems containsBlank="1">
        <s v="Noel"/>
        <s v="Clara"/>
        <m/>
        <s v="Luis"/>
      </sharedItems>
    </cacheField>
    <cacheField name="QA Notes" numFmtId="0">
      <sharedItems containsBlank="1">
        <m/>
        <s v="Case Disqualified"/>
      </sharedItems>
    </cacheField>
    <cacheField name="Column 1" numFmtId="0">
      <sharedItems containsBlank="1">
        <m/>
        <b v="0"/>
      </sharedItems>
    </cacheField>
  </cacheFields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T1:AY150" sheet="March"/>
  </cacheSource>
  <cacheFields>
    <cacheField name="Date" numFmtId="164">
      <sharedItems containsDate="1" containsString="0" containsBlank="1">
        <d v="2026-03-23T00:00:00Z"/>
        <d v="2026-03-24T00:00:00Z"/>
        <d v="2026-03-25T00:00:00Z"/>
        <d v="2026-03-26T00:00:00Z"/>
        <m/>
        <d v="2026-03-27T00:00:00Z"/>
      </sharedItems>
    </cacheField>
    <cacheField name="External Case ID" numFmtId="0">
      <sharedItems containsBlank="1">
        <s v="4528116#1"/>
        <s v="4225116#1"/>
        <s v="4342158#1"/>
        <s v="4521637#1"/>
        <s v="4490238#1"/>
        <s v="4495531#1"/>
        <s v="4434909#1"/>
        <s v="1294919#1"/>
        <s v="4447328#1"/>
        <s v="4434023#1"/>
        <s v="4487172#1"/>
        <s v="3877784#1"/>
        <s v="2464860#1"/>
        <s v="3514357#1"/>
        <s v="2475999#1"/>
        <s v="4329429#1"/>
        <s v="4398081#1"/>
        <s v="4410485#1"/>
        <s v="805655#2"/>
        <s v="4421938#1"/>
        <s v="4416900#1"/>
        <s v="4479426#1"/>
        <s v="4449376#1"/>
        <s v="4449156#1"/>
        <s v="4445719#1"/>
        <s v="3259201#1"/>
        <s v="4394968#1"/>
        <s v="4426450#1"/>
        <s v="2984534#1"/>
        <s v="4177672#1"/>
        <s v="4426066#1"/>
        <s v="4401309#1"/>
        <s v="1445041#1"/>
        <s v="879894#1"/>
        <s v="3898025#1"/>
        <s v="3923999#1"/>
        <s v="4370414#1"/>
        <s v="2190764#1"/>
        <s v="4197213#1"/>
        <s v="4430091#1"/>
        <s v="4411272#1"/>
        <s v="3436953#1"/>
        <s v="2190819#1"/>
        <s v="4382989#1"/>
        <s v="3885650#1"/>
        <s v="3274648#1"/>
        <s v="4394769#1"/>
        <s v="4408664#1"/>
        <s v="4386296#1"/>
        <s v="4427349#1"/>
        <s v="4437421#1"/>
        <s v="4397355#1"/>
        <s v="947936#2"/>
        <s v="4332106#1"/>
        <s v="4382516#1"/>
        <s v="3871147#1"/>
        <s v="2050599#1"/>
        <s v="709824#1"/>
        <s v="4478744#1"/>
        <s v="4517470#1"/>
        <s v="4519133#1"/>
        <s v="4393290#1"/>
        <s v="4385972#1"/>
        <s v="4395535#1"/>
        <s v="4340329#1"/>
        <s v="3256289#1"/>
        <s v="1196417#1"/>
        <s v="3898963#1"/>
        <s v="4511570#1"/>
        <s v="4428194#1"/>
        <s v="4454334#1"/>
        <s v="4389723#1"/>
        <s v="4442171#1"/>
        <s v="1998257#1"/>
        <s v="3898082#1"/>
        <s v="2023399#1"/>
        <s v="4406668#1"/>
        <s v="4393513#1"/>
        <s v="4400476#1"/>
        <m/>
        <s v="4477446#1"/>
        <s v="1078882#1"/>
        <s v="4510416#1"/>
        <s v="4497060#1"/>
        <s v="4516906#1"/>
        <s v="4476068#1"/>
        <s v="3872757#1"/>
        <s v="2466065#1"/>
        <s v="4425339#1"/>
        <s v="1253314#1"/>
        <s v="660886#1"/>
        <s v="2207427#1"/>
        <s v="4407998#1"/>
        <s v="1672823#1"/>
        <s v="4433243#1"/>
      </sharedItems>
    </cacheField>
    <cacheField name="Case Name" numFmtId="0">
      <sharedItems containsBlank="1">
        <s v="Grupotwm"/>
        <s v="Cooperativa De Ahorro Y Credito Gran Grigota Ltda"/>
        <s v="Marine Geophysical Survey"/>
        <s v="Eitservicios"/>
        <s v="Karinfalck"/>
        <s v="Conci"/>
        <s v="Diarmasa"/>
        <s v="NASH Design S.A."/>
        <s v="Conylec SRL"/>
        <s v="DOLBI SA"/>
        <s v="Fcsenergia"/>
        <s v="Azienda"/>
        <s v="Enrique SayaguÃ©s MÃ©ndez"/>
        <s v="Cymbet Corporation"/>
        <s v="Francisco Ivan Luza BugueÃ±o Servicio de ingeneria"/>
        <s v="Sider"/>
        <s v="Arquipiedras"/>
        <s v="Tierragroupintl"/>
        <s v="indumetsa ingenieros sac"/>
        <s v="Lagolosina "/>
        <s v="Scraices"/>
        <s v="Rustikobaires"/>
        <s v="Ondyne"/>
        <s v="Ingevial"/>
        <s v="Doa"/>
        <s v="Energy Sur S.A. (ENERGY SUR INGENIERIA S A)"/>
        <s v="Axonpublicidad"/>
        <s v="Prismafachadas"/>
        <s v="Maria Angelica Ortuzar Fabres"/>
        <s v="Kpschile"/>
        <s v="Mkingenieria"/>
        <s v="Bakerlab"/>
        <s v="Lily Schweizer (Imalab S.A.)"/>
        <s v="Corredores de Seguros de Chile"/>
        <s v="Arqcons"/>
        <s v="Mineraparaiso"/>
        <s v="Skdrywallenperu"/>
        <s v="Porto Seguro Uruguay"/>
        <s v="Signouy"/>
        <s v="Toyosa"/>
        <s v="Odis"/>
        <s v="Emsturam"/>
        <s v="Pinturerías Miguel"/>
        <s v="Wksinteriorismo"/>
        <s v="Logger Adriel"/>
        <s v="Thermolam"/>
        <s v="Capselectric"/>
        <s v="Elqui"/>
        <s v="Jkinversionesg"/>
        <s v="Shizen"/>
        <s v="Kuelap"/>
        <s v="Ecohogar"/>
        <s v="Constructora MECH SRL"/>
        <s v="Servifabrickvhr"/>
        <s v="Campamentosdioses"/>
        <s v="Sonimagenes del Peru"/>
        <s v="Estudio de Arquitectura y Diseño Fernando Daniel Lopez"/>
        <s v="Afema Sa"/>
        <s v="Ingenierialc"/>
        <s v="Bernardis"/>
        <s v="Lbcompany"/>
        <s v="Plamat"/>
        <s v="Inarq"/>
        <s v="Ingeetronic"/>
        <s v="CYVSA Perú"/>
        <s v="Auditax Consulting"/>
        <s v="Estudio Test / 3D Architectural Visualization"/>
        <s v="Acondicionamiento Integral S.A"/>
        <s v="Gioacchinobrindicci"/>
        <s v="Hiberniamisiones"/>
        <s v="Waa"/>
        <s v="Blarq"/>
        <s v="ueno Seguros"/>
        <s v="Metales Procesados S.R.L"/>
        <s v="Etsa"/>
        <s v="Mnz"/>
        <s v="Somosemkey"/>
        <s v="Grupolc"/>
        <s v="Valnicoltda"/>
        <m/>
        <s v="Regaliagroup"/>
        <s v="METODO33"/>
        <s v="Kaizendesign"/>
        <s v="Naturaldepot"/>
        <s v="Phyl"/>
        <s v="Kartos"/>
        <s v="Forums Corporate Event Planning"/>
        <s v="Qatari Company"/>
        <s v="Rockdrillgroup"/>
        <s v="Vekia"/>
        <s v="Acostavallet"/>
        <s v="Fenedur"/>
        <s v="Zulu"/>
        <s v="Representaciones Alimenticias SAC"/>
        <s v="SERMEIND Fabricaciones Industriales"/>
      </sharedItems>
    </cacheField>
    <cacheField name="Country" numFmtId="0">
      <sharedItems containsBlank="1">
        <s v="Chile"/>
        <s v="Bolivia"/>
        <s v="Peru"/>
        <s v="Argentina"/>
        <m/>
        <s v="Uruguay"/>
        <s v="Paraguay"/>
      </sharedItems>
    </cacheField>
    <cacheField name="Investigator" numFmtId="0">
      <sharedItems containsBlank="1">
        <s v="Eduardo"/>
        <s v="Mariadelaida"/>
        <s v="Daniela"/>
        <m/>
      </sharedItems>
    </cacheField>
    <cacheField name="QA Notes" numFmtId="0">
      <sharedItems containsBlank="1">
        <m/>
        <s v="Case Disqualified"/>
        <s v="New case imported for investigation 608911#1"/>
      </sharedItems>
    </cacheField>
  </cacheFields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7" sheet="April"/>
  </cacheSource>
  <cacheFields>
    <cacheField name="Date" numFmtId="164">
      <sharedItems containsDate="1" containsString="0" containsBlank="1">
        <d v="2026-03-30T00:00:00Z"/>
        <d v="2026-03-31T00:00:00Z"/>
        <d v="2026-04-01T00:00:00Z"/>
        <d v="2026-04-06T00:00:00Z"/>
        <d v="2026-04-07T00:00:00Z"/>
        <m/>
      </sharedItems>
    </cacheField>
    <cacheField name="External Case ID" numFmtId="49">
      <sharedItems containsBlank="1">
        <s v="4410861#1"/>
        <s v="4425220#1"/>
        <s v="1547407#1"/>
        <s v="706034#1"/>
        <s v="1778249#1"/>
        <s v="380364#1"/>
        <s v="4331634#1"/>
        <s v="658058#1"/>
        <s v="1330570#1"/>
        <s v="2253543#1"/>
        <s v="4414935#1"/>
        <s v="4486007#1 "/>
        <s v="1142247#1"/>
        <s v="3533403#1"/>
        <s v="1077102#1"/>
        <s v="315336#1"/>
        <s v="4521454#1"/>
        <s v="4360623#1"/>
        <s v="4450664#1"/>
        <s v="1287925#1"/>
        <s v="739379#1"/>
        <s v="4445106#1 "/>
        <s v="4416481#1 "/>
        <s v="4339129#1"/>
        <s v="2074280#1"/>
        <s v="4517228#1"/>
        <s v="4462897#1"/>
        <s v="1657454#1"/>
        <s v="1026414#1 "/>
        <s v="1563910#1"/>
        <s v="4499210#1"/>
        <s v="1679857#1"/>
        <s v="4322254#1"/>
        <s v="882890#1"/>
        <s v="4324158#1 "/>
        <s v="603320#1 "/>
        <s v="4530988#1 "/>
        <s v="4484498#1"/>
        <s v="4451709#1"/>
        <s v="4419473#1&#10;"/>
        <s v="4529341#1"/>
        <s v="3122364#1"/>
        <s v="911249#2"/>
        <s v="769449#2"/>
        <s v="4378695#1"/>
        <s v="877502#1"/>
        <s v="1915087#1"/>
        <s v="4382544#1"/>
        <s v="2476717#1"/>
        <s v="1658317#1"/>
        <s v="1913389#1"/>
        <s v="1362439#1"/>
        <s v="325181#1"/>
        <s v="2000411#1"/>
        <s v="2336238#1"/>
        <s v="4461329#1"/>
        <s v="2142385#1"/>
        <s v="3273935#1"/>
        <s v="4475879#1"/>
        <s v="1549052#1"/>
        <s v="3545723#1"/>
        <s v="1797816#1"/>
        <s v="2075885#1"/>
        <s v="926507#1"/>
        <s v="3124560#1"/>
        <s v="2356249#1"/>
        <s v="2367354#6"/>
        <s v="4528937#1"/>
        <s v="4399038#1"/>
        <s v="4464177#1"/>
        <s v="4491553#1"/>
        <s v="4488793#1"/>
        <s v="4433661#1"/>
        <s v="4391156#1"/>
        <s v="4378648#1"/>
        <s v="4428165#1"/>
        <s v="4392588#1"/>
        <s v="2243173#1"/>
        <s v="4335299#1"/>
        <s v="4414443#1"/>
        <s v="3856686#1"/>
        <s v="4434387#1"/>
        <s v="4179265#1"/>
        <s v="381116#1"/>
        <s v="1091867#1"/>
        <s v="1179284#1"/>
        <s v="4515980#1"/>
        <s v="4446647#1"/>
        <s v="4423943#1"/>
        <s v="1175608#1"/>
        <s v="451200#1"/>
        <s v="776156#1"/>
        <m/>
      </sharedItems>
    </cacheField>
    <cacheField name="Case Name" numFmtId="49">
      <sharedItems containsBlank="1">
        <s v="Arqveras"/>
        <s v="Imi"/>
        <s v="Isq"/>
        <s v="Ingmetalica"/>
        <s v="Cobinsa"/>
        <s v="CuatroCuatros"/>
        <s v="CORTINAS DE ACERO FACQRO"/>
        <s v="Mivak"/>
        <s v="Jorge Alan Rodriguez Hernandez"/>
        <s v="iDric"/>
        <s v="Intratta"/>
        <s v="Pavelum"/>
        <s v="MobiliArte"/>
        <s v="Logma Distribuidora De Cartoes E Recargas"/>
        <s v="Vicasa Desarrollos"/>
        <s v="Saemisch"/>
        <s v="Grupomedrar"/>
        <s v="Palosxpress"/>
        <s v="Leoncontractors"/>
        <s v="GIA S.A. de C.V."/>
        <s v="PARQ - Progresivo de Arquitectura"/>
        <s v="Gaveaingenieria"/>
        <s v="Indusjervahos"/>
        <s v="FORUM Constructora"/>
        <s v="Netit S.A. DE C.V."/>
        <s v="Proyectoscr"/>
        <s v="Mtsmultiservicios"/>
        <s v="Constructora Civiltec"/>
        <s v="Constructora Cobaci "/>
        <s v="Urbantop"/>
        <s v="Picoarquitectos"/>
        <s v="YosyDesign"/>
        <s v="M&amp;.M Engineering"/>
        <s v="3dsign-arquitectura"/>
        <s v="Inversionescastroverde"/>
        <s v="Master Choice S.A. de C.V."/>
        <s v="Sicisa11"/>
        <s v="Empresasestrada"/>
        <s v="Casasespacios"/>
        <s v="Sycbelding"/>
        <s v="Stmp"/>
        <s v="Wellcr"/>
        <s v="AVANCE - Avalúos, inspeccione &#10;"/>
        <s v="Empresa Electrica De Guatemala"/>
        <s v="Imviqsa"/>
        <s v="Vividarch"/>
        <s v="Sepanel, S.A. de C.V."/>
        <s v="Iatigmc"/>
        <s v="NEUBOX"/>
        <s v="BTG Americas"/>
        <s v="Empresa de Servicios en Energías Renovables S.A."/>
        <s v="CAPISA"/>
        <s v="Zeller &amp; Moye"/>
        <s v="Grupoconstructorss"/>
        <s v="Sistemas Europeos de Cancelería S.A. de C.V."/>
        <s v="Gservicecorp"/>
        <s v="Ingeniería Electromecánica Friman S.A. de C.V. INELEF"/>
        <s v="Fyttsa"/>
        <s v="Disintair"/>
        <s v="ESAVE"/>
        <s v="Teknik"/>
        <s v="Intech"/>
        <s v="Sublima"/>
        <s v="Impleind"/>
        <s v="Ccisupply"/>
        <s v="Fecaza"/>
        <s v="Mexican Institute of Petroleum (Instituto Mexicano del Petróleo)"/>
        <s v="Geaeco"/>
        <s v="Cao "/>
        <s v="Grundic"/>
        <s v="Diversoestudio"/>
        <s v="Duepei"/>
        <s v="Giapower"/>
        <s v="Galu"/>
        <s v="Impulsolar"/>
        <s v="Climaproyectos"/>
        <s v="Antaestudio "/>
        <s v="daniel pineda"/>
        <s v="MAPFRE - BHD Seguros"/>
        <s v="Lagranvia2"/>
        <s v="Corporacion Mercantil Salvadorena S.A. De C.V"/>
        <s v="Hedmarkdc"/>
        <s v="Aiser"/>
        <s v="Carpenterswoodworks"/>
        <s v="Farmers Trading Center"/>
        <s v="Hummingbird Distributors"/>
        <s v="Sieesacr"/>
        <s v="Cenitcr"/>
        <s v="Fundatec"/>
        <s v="CONAME - Comercial Americana de Construcciones"/>
        <s v="Seza"/>
        <s v="Reimersfeed"/>
        <m/>
      </sharedItems>
    </cacheField>
    <cacheField name="Country" numFmtId="0">
      <sharedItems containsBlank="1">
        <s v="Dominican Republic"/>
        <s v="Mexico"/>
        <s v="Panama"/>
        <s v="Costa Rica"/>
        <s v="Honduras"/>
        <s v="Belize"/>
        <s v="Guatemala"/>
        <s v="Nicaragua"/>
        <s v="El Salvador"/>
        <m/>
      </sharedItems>
    </cacheField>
    <cacheField name="Investigator" numFmtId="49">
      <sharedItems containsBlank="1">
        <s v="Noel"/>
        <s v="Clara"/>
        <s v="Luis"/>
        <s v="Daniela"/>
        <s v="Eduardo"/>
        <s v="Mariadelaida"/>
        <m/>
      </sharedItems>
    </cacheField>
    <cacheField name="QA Notes" numFmtId="0">
      <sharedItems containsBlank="1">
        <m/>
        <s v="Updated and new target entity. &#10;Notified for correction."/>
        <s v="Case related with 199099#5."/>
      </sharedItems>
    </cacheField>
    <cacheField name="QA'd" numFmtId="0">
      <sharedItems>
        <b v="1"/>
        <b v="0"/>
      </sharedItems>
    </cacheField>
  </cacheFields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4" sheet="April"/>
  </cacheSource>
  <cacheFields>
    <cacheField name="Date" numFmtId="164">
      <sharedItems containsDate="1" containsString="0" containsBlank="1">
        <d v="2026-03-27T00:00:00Z"/>
        <d v="2026-03-30T00:00:00Z"/>
        <d v="2026-04-05T00:00:00Z"/>
        <d v="2026-03-31T00:00:00Z"/>
        <d v="2026-04-01T00:00:00Z"/>
        <d v="2026-04-02T00:00:00Z"/>
        <d v="2026-04-07T00:00:00Z"/>
        <m/>
      </sharedItems>
    </cacheField>
    <cacheField name="External Case ID" numFmtId="49">
      <sharedItems containsBlank="1">
        <s v="4477446#1"/>
        <s v="1078882#1"/>
        <s v="4510416#1"/>
        <s v="4497060#1"/>
        <s v="4516906#1"/>
        <s v="4476068#1"/>
        <s v="3872757#1"/>
        <s v="4383634#1"/>
        <s v="4440839#1"/>
        <s v="4448961#1"/>
        <s v="4487154#1"/>
        <s v="4398393#1"/>
        <s v="4465348#1"/>
        <s v="4468324#1"/>
        <s v="945918#1"/>
        <s v="4402003#1"/>
        <s v="4392763#1"/>
        <s v="1106080#1"/>
        <s v="4414023#1"/>
        <s v="4499283#1"/>
        <s v="1194407#1"/>
        <s v="4385647#1"/>
        <s v="4387994#1"/>
        <s v="4436988#1"/>
        <s v="4518258#1"/>
        <s v="4461130#1"/>
        <s v="216981#5"/>
        <s v="4510410#1"/>
        <s v="4451894#1"/>
        <s v="4445465#1"/>
        <s v="4448486#1"/>
        <s v="4422057#1"/>
        <s v="4470998#1"/>
        <s v="4435235#1"/>
        <s v="4485878#1"/>
        <s v="4372563#1"/>
        <s v="4492012#1"/>
        <s v="1182060#1"/>
        <s v="3891699#1"/>
        <s v="4368825#1"/>
        <s v="4368388#1"/>
        <s v="4431670#1"/>
        <s v="3563324#1"/>
        <s v="4338716#1"/>
        <s v="1078706#1"/>
        <s v="1715621#1"/>
        <s v="1982868#1"/>
        <s v="2416702#1"/>
        <s v="4499547#1"/>
        <s v="4527770#1"/>
        <s v="703756#2"/>
        <s v="4250876#1"/>
        <s v="4435484#1"/>
        <s v="4410588#1"/>
        <s v="1294314#1"/>
        <s v="1659533#1"/>
        <s v="1712747#1"/>
        <s v="3049213#1"/>
        <s v="1790200#2"/>
        <s v="4458358#1"/>
        <s v="4434407#1"/>
        <s v="4461279#1"/>
        <s v="4372560#1"/>
        <s v="4178743#1"/>
        <s v="1592105#1"/>
        <s v="4372481#1"/>
        <s v="4435571#1"/>
        <s v="4432951#1"/>
        <s v="4458938#1"/>
        <s v="4431098#1"/>
        <s v="1599217#1"/>
        <s v="4385499#1"/>
        <s v="2487390#1"/>
        <s v="729090#1"/>
        <s v="4451041#1"/>
        <s v="4431437#1"/>
        <s v="4415545#1"/>
        <s v="2403914#1"/>
        <s v="4385071#1"/>
        <s v="4413777#1"/>
        <s v="1655604#1"/>
        <s v="4460743#1"/>
        <s v="4434133#1"/>
        <s v="4467179#1"/>
        <s v="4319402#1"/>
        <s v="4422196#1"/>
        <s v="4465868#1"/>
        <s v="4448964#1"/>
        <s v="4453364#1"/>
        <s v="4484481#1"/>
        <s v="1027121#1"/>
        <s v="4490214#1"/>
        <s v="4479016#1"/>
        <s v="4471806#1"/>
        <s v="1098597#1"/>
        <m/>
      </sharedItems>
    </cacheField>
    <cacheField name="Case Name" numFmtId="49">
      <sharedItems containsBlank="1">
        <s v="Regaliagroup"/>
        <s v="METODO33"/>
        <s v="Kaizendesign"/>
        <s v="Naturaldepot"/>
        <s v="Phyl"/>
        <s v="Kartos"/>
        <s v="Forums Corporate Event Planning"/>
        <s v="Reyesinterior"/>
        <s v="Equipro"/>
        <s v="Securus SA"/>
        <s v="Brunorenders"/>
        <s v="Labignoniaposada"/>
        <s v="Markova"/>
        <s v="Apex"/>
        <s v="Chic to Chic - Ambientaciones"/>
        <s v="Typetech"/>
        <s v="Mobiliok"/>
        <s v="Olivierirey"/>
        <s v="Ecosurbahia"/>
        <s v="Mchsrl"/>
        <s v="Diez Martin Ignacio"/>
        <s v="Armatasrl"/>
        <s v="Gcsa"/>
        <s v="Mesonesdecocinas"/>
        <s v="Multiref"/>
        <s v="Btoconstructora"/>
        <s v="Hb Sadelec Estructuras Metalicas S.A."/>
        <s v="Cicentro"/>
        <s v="Resof"/>
        <s v="Ciamsoluciones"/>
        <s v="Otif"/>
        <s v="Morphodiseno"/>
        <s v="Dimomuebles"/>
        <s v="ESMetals"/>
        <s v="Octopusforce"/>
        <s v="Myspaceds"/>
        <s v="Multiserviciosbic"/>
        <s v="Tinkko Coworking"/>
        <s v="Fgoyes"/>
        <s v="GSM Globalite S.A. - Safety para tareas MRO (Mantenimiento, Reparación y Operaciones)"/>
        <s v="Santacatalina"/>
        <s v="Gasgreen"/>
        <s v="Sertecinecuador"/>
        <s v="The Coach"/>
        <s v="Dicertcorp"/>
        <s v="INVERSIERRA S.A"/>
        <s v="Rally Ltda."/>
        <s v="It (Juan Carlos Sotomayor Correa)"/>
        <s v="Prietoschaffer"/>
        <s v="Katerinajofre"/>
        <s v="Gpromec"/>
        <s v="Eepg"/>
        <s v="Libreriasbookcenter"/>
        <s v="Abecosistemas"/>
        <s v="De Bracamonte, Haaker &amp; Castellares Abogados"/>
        <s v="Bacata Ingenieros"/>
        <s v="Rmconsulting"/>
        <s v="Soluciones de Alta Disponibilidad S.A.C."/>
        <s v="OK Computer EIRL "/>
        <s v="Beone"/>
        <s v="Esquisse Group"/>
        <s v="Inerciachile"/>
        <s v="Gygarquitectos"/>
        <s v="Impagro"/>
        <s v="Francisco Jose Miguel Gonzales"/>
        <s v="Silvera"/>
        <s v="Eldeber"/>
        <s v="Ruahtec"/>
        <s v="Conexsteel"/>
        <s v="Grafcolors"/>
        <s v="Perú Abogados"/>
        <s v="Mueblesronny&#10;"/>
        <s v="Jean Pierre Bautista Martinez"/>
        <s v="Grupo Modulor S.A.C"/>
        <s v="Calmanrep"/>
        <s v="Bistrocomunica "/>
        <s v="Proyecto5 &#10;"/>
        <s v="Latin America Trips"/>
        <s v="Layer"/>
        <s v="Feingenieria"/>
        <s v="Vorwerk - Chile "/>
        <s v="Zanolo"/>
        <s v="Eprecosrl"/>
        <s v="Carroceriasculpina"/>
        <s v="Transchemicalsa"/>
        <s v="Serelmeg"/>
        <s v="Conmebol"/>
        <s v="Fábrica Boliviana de Envases"/>
        <s v="Hidroelectrogas"/>
        <s v="Arquiespacio "/>
        <s v="Casa Grande Hotel"/>
        <s v="Dtamet"/>
        <s v="Helmut"/>
        <s v="Topeurbano"/>
        <s v="Planaltodevelopments"/>
        <m/>
      </sharedItems>
    </cacheField>
    <cacheField name="Country" numFmtId="49">
      <sharedItems containsBlank="1">
        <s v="Argentina"/>
        <s v="Peru"/>
        <s v="Colombia"/>
        <s v="Ecuador"/>
        <s v="Chile"/>
        <s v="Bolivia"/>
        <m/>
      </sharedItems>
    </cacheField>
    <cacheField name="Investigator" numFmtId="49">
      <sharedItems containsBlank="1">
        <s v="Mariadelaida"/>
        <s v="Luis"/>
        <s v="Noel"/>
        <s v="Eduardo"/>
        <s v="Daniela"/>
        <m/>
      </sharedItems>
    </cacheField>
    <cacheField name="QA Notes" numFmtId="0">
      <sharedItems containsBlank="1">
        <m/>
        <s v="Additional machines were added to the case"/>
        <s v="An Additional machinea was added to the case"/>
        <s v="Disqualified"/>
        <s v="Rejected"/>
        <s v="Same entity as case 729090#1"/>
        <s v="Duplicate"/>
        <s v="Case related with case 4187140#1&#10;and was attended by Kasznar. Rejected"/>
        <s v="Repeated"/>
      </sharedItems>
    </cacheField>
    <cacheField name="QA'd" numFmtId="0">
      <sharedItems>
        <b v="1"/>
        <b v="0"/>
      </sharedItems>
    </cacheField>
  </cacheFields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1004" sheet="April"/>
  </cacheSource>
  <cacheFields>
    <cacheField name="Date" numFmtId="164">
      <sharedItems containsDate="1" containsString="0" containsBlank="1">
        <d v="2026-04-07T00:00:00Z"/>
        <d v="2026-04-08T00:00:00Z"/>
        <d v="2026-04-09T00:00:00Z"/>
        <d v="2026-04-10T00:00:00Z"/>
        <d v="2026-04-13T00:00:00Z"/>
        <d v="2026-04-14T00:00:00Z"/>
        <d v="2026-04-15T00:00:00Z"/>
        <d v="2026-04-16T00:00:00Z"/>
        <m/>
      </sharedItems>
    </cacheField>
    <cacheField name="External Case ID" numFmtId="49">
      <sharedItems containsBlank="1">
        <s v="676939#1"/>
        <s v="339979#1"/>
        <s v="4513828#1 &#10;"/>
        <s v="2230616#1 &#10;"/>
        <s v="1913944#1"/>
        <s v="4418667#1"/>
        <s v="3439465#1"/>
        <s v="4395910#1"/>
        <s v="1996675#1"/>
        <s v="4390155#1"/>
        <s v="4337086#1"/>
        <s v="3400165#1"/>
        <s v="3400160#1"/>
        <s v="4339894#1"/>
        <s v="928330#1 &#10;"/>
        <s v="4372006#1 &#10;"/>
        <s v="1797980#1 &#10;"/>
        <s v="3412174#1"/>
        <s v="4389778#1"/>
        <s v="1094538#1"/>
        <s v="4342126#1"/>
        <s v="931220#1"/>
        <s v="4377849#1"/>
        <s v="657682#1&#10;"/>
        <s v="4365738#1"/>
        <s v="1914016#1&#10;"/>
        <s v="1251937#1"/>
        <s v="574307#1"/>
        <s v="581732#1"/>
        <s v="960351#1&#10;"/>
        <s v="1127489#1 &#10;"/>
        <s v="4341816#1"/>
        <s v="1078725#1 &#10;"/>
        <s v="938829#1 &#10;"/>
        <s v="2431619#1 &#10;"/>
        <s v="4502737#1"/>
        <s v="4460331#1"/>
        <s v="4442942#1"/>
        <s v="4438766#1 "/>
        <s v="4437266#1"/>
        <s v="4425237#1"/>
        <s v="4441811#1"/>
        <s v="4430812#1"/>
        <s v="4330592#1"/>
        <s v="4460507#1"/>
        <s v="4448506#1"/>
        <s v="4468880#1"/>
        <s v="3586563#1"/>
        <s v="561835#1 "/>
        <s v="4387695#1"/>
        <s v="1743644#1"/>
        <s v="1074504#1"/>
        <s v="2218622#1 "/>
        <s v="4432955#1"/>
        <s v="4335906#1 "/>
        <s v="4332496#1"/>
        <s v="419913#1"/>
        <s v="3443029#1"/>
        <s v="3881267#1"/>
        <s v="1612152#1"/>
        <s v="900778#1"/>
        <s v="1029478#1"/>
        <s v="907979#1"/>
        <s v="2380481#1"/>
        <s v="4335017#1"/>
        <s v="2291550#1"/>
        <s v="3887062#1"/>
        <s v="2357872#1"/>
        <s v="3439403#1"/>
        <s v="424723#1"/>
        <s v="3404257#1"/>
        <s v="4463694#1"/>
        <s v="4400315#1"/>
        <s v="4393387#1"/>
        <s v="4386405#1"/>
        <s v="1914486#1"/>
        <s v="1061885#1"/>
        <s v="4341651#1"/>
        <s v="2024541#1"/>
        <s v="2252306#1"/>
        <s v="3473880#1"/>
        <s v="3252089#1"/>
        <s v="2379086#1"/>
        <s v="3257401#1"/>
        <s v="3256185#1"/>
        <s v="2441200#1"/>
        <s v="4325520#1"/>
        <s v="4375880#1"/>
        <s v="4335098#1"/>
        <s v="4412446#1"/>
        <s v="4341937#1"/>
        <s v="4330147#1"/>
        <s v="4395229#1"/>
        <s v="4396421#1"/>
        <s v="4382478#1"/>
        <s v="2477194#1"/>
        <s v="4371128#1"/>
        <s v="959032#1"/>
        <s v="4422736#1"/>
        <s v="4407859#1"/>
        <s v="2176942#1"/>
        <s v="4427908#1"/>
        <s v="4499556#1"/>
        <m/>
      </sharedItems>
    </cacheField>
    <cacheField name="Case Name" numFmtId="49">
      <sharedItems containsBlank="1">
        <s v="IDESA group, S.A. De C.V."/>
        <s v="AEdix"/>
        <s v="Allind"/>
        <s v="Grupo Industrial Garoma S.A. de C.V."/>
        <s v="Vangard Concept Offices - VCO"/>
        <s v="Mcgowensa"/>
        <s v="ATC SYSTEMS PANAMA"/>
        <s v="Utiliteam"/>
        <s v="Divex S.A."/>
        <s v="Asapalsa"/>
        <s v="Emconstruccion"/>
        <s v="Multiserviciosindustriales"/>
        <s v="Effes"/>
        <s v="ICA Inversiones"/>
        <s v="NVX Solar"/>
        <s v="Sebsaingenieria"/>
        <s v="Rentamaquinas.com"/>
        <s v="CYG"/>
        <s v="Kualiprosis"/>
        <s v="Gadea Buildings Systems"/>
        <s v="Studiocincocr"/>
        <s v="Enpapr"/>
        <s v="Nuevocarnic"/>
        <s v="Casa Möbel"/>
        <s v="Equioffi"/>
        <s v="Grupo Inmobiliario Estrena SC"/>
        <s v="Mirage Appliances Inc"/>
        <s v="Lrcorp"/>
        <s v="Gonet México"/>
        <s v="Rapsa"/>
        <s v="ARSAGAL TECNOLOGIA APLICADA EN INFORMATICA SA DE CV"/>
        <s v="Viventa Desarrollos S.A"/>
        <s v="Arista Design"/>
        <s v="Lumika Brillante Solucion S.A. de C.V."/>
        <s v="Sistemas Cubicos"/>
        <s v="Incapro"/>
        <s v="Abx"/>
        <s v="Conamesv"/>
        <s v="Consudespro"/>
        <s v="Afdcr"/>
        <s v="Verdeaquacr"/>
        <s v="Globaldoorscr"/>
        <s v="Blockcr"/>
        <s v="Thekitchen"/>
        <s v="Berkeleycr"/>
        <s v="Kitchenelizar"/>
        <s v="Asfaltosmecsa"/>
        <s v="Tazzer"/>
        <s v="Koop Sheet Metal"/>
        <s v="Iemmsa"/>
        <s v="Miguel Angel Lopez"/>
        <s v="Ieworldwide"/>
        <s v="Polyken S.A. de C.V."/>
        <s v="Sycomex"/>
        <s v="JR Inmobiliaria Bienes Raíces"/>
        <s v="Depromix"/>
        <s v="Grundfos México"/>
        <s v="Realtyworld"/>
        <s v="Panamalighting"/>
        <s v="MPS Dominicana"/>
        <s v="Tendencia S.A"/>
        <s v="Ingeniería Atlántico"/>
        <s v="Prosi PVS Chemicals, SA de CV"/>
        <s v="Grupo Profesional Planeacion y Proyectos, S.A. de C.V."/>
        <s v="Fadimet"/>
        <s v="Immresource"/>
        <s v="Santiagocountryclub"/>
        <s v="Proffinox SA de CV"/>
        <s v="1&amp;.1 Internet Inc"/>
        <s v="Cunadi Tours"/>
        <s v="Pinfra"/>
        <s v="Continueit"/>
        <s v="Toscanacabos"/>
        <s v="Reltic"/>
        <s v="Grupoamasb"/>
        <s v="Grupo 365"/>
        <s v="Supervisiones Tecnicas y Control de Calidad, SA de CV"/>
        <s v="ACCIONA INGENIERIA Y DESARROLLO EMPRESARIAL S.A. DE C.V."/>
        <s v="Empresa De Seguridad Kanan Seguridad Fisica y Electrónica"/>
        <s v="Grupo Lighting"/>
        <s v="HYDROCALSAN SA de CV"/>
        <s v="Eleganciacloset"/>
        <s v="Davyek"/>
        <s v="Muebles Arcano"/>
        <s v="Forest"/>
        <s v="Creafs"/>
        <s v="Incsolar"/>
        <s v="Savycapital"/>
        <s v="Govyndaya"/>
        <s v="Cittyarquitectos"/>
        <s v="Irondeers"/>
        <s v="Assden Mexico"/>
        <s v="4ce"/>
        <s v="Bicuaarquitectura"/>
        <s v="Ferreteriaytlapaleriamaxitlapalero"/>
        <s v="Obinci"/>
        <s v="Creatamuebles"/>
        <s v="Timbermandesigns"/>
        <s v="Ipdvhn"/>
        <s v="Grupodiepsa"/>
        <s v="Saugaservices"/>
        <s v="Remaxrd"/>
        <s v="vesta S.A"/>
        <m/>
      </sharedItems>
    </cacheField>
    <cacheField name="Country" numFmtId="0">
      <sharedItems containsBlank="1">
        <s v="Mexico"/>
        <s v="Costa Rica"/>
        <s v="Panama"/>
        <s v="Guatemala"/>
        <s v="Honduras"/>
        <m/>
        <s v="Nicaragua"/>
        <s v="El Salvador"/>
        <s v="Belize"/>
        <s v="Dominican Republic"/>
      </sharedItems>
    </cacheField>
    <cacheField name="Investigator" numFmtId="49">
      <sharedItems containsBlank="1">
        <s v="Clara"/>
        <s v="Alexis"/>
        <s v="Noel"/>
        <s v="Luis"/>
        <s v="Diana"/>
        <m/>
      </sharedItems>
    </cacheField>
    <cacheField name="QA Notes" numFmtId="0">
      <sharedItems containsBlank="1">
        <m/>
        <s v="Case Rejected."/>
        <s v="Case rejected"/>
        <s v="Case Disqualified"/>
        <s v="Notified to reinvestigate after updating cas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4" sheet="April"/>
  </cacheSource>
  <cacheFields>
    <cacheField name="Date" numFmtId="164">
      <sharedItems containsDate="1" containsString="0" containsBlank="1">
        <d v="2026-04-07T00:00:00Z"/>
        <d v="2026-04-06T00:00:00Z"/>
        <d v="2026-04-08T00:00:00Z"/>
        <d v="2026-04-09T00:00:00Z"/>
        <d v="2026-04-10T00:00:00Z"/>
        <d v="2026-04-13T00:00:00Z"/>
        <m/>
      </sharedItems>
    </cacheField>
    <cacheField name="External Case ID" numFmtId="49">
      <sharedItems containsBlank="1">
        <s v="4440159#1&#10;"/>
        <s v="1940617#1&#10;"/>
        <s v="4478625#1"/>
        <s v="2477368#1"/>
        <s v="963223#1"/>
        <s v="4457611#1&#10;"/>
        <s v="4454022#1"/>
        <s v="4414276#1"/>
        <s v="&#10;4435468#1"/>
        <s v="326343#1"/>
        <s v="1793592#1"/>
        <s v="4472312#1"/>
        <s v="4442784#1"/>
        <s v="4436822#1"/>
        <s v="4443023#1"/>
        <s v="3899486#1"/>
        <s v="4374900#1"/>
        <s v="4436645#1"/>
        <s v="654323#1"/>
        <s v="4446538#1"/>
        <s v="1600484#3"/>
        <s v="4341174#1"/>
        <s v="4339991#1"/>
        <s v="4491782#1"/>
        <s v="4363792#1"/>
        <s v="4339113#1"/>
        <s v="3860483#1"/>
        <s v="4420756#1"/>
        <s v="2920329#1"/>
        <s v="4470171#1"/>
        <s v="4505403#1"/>
        <s v="4492227#1"/>
        <s v="4445675#1"/>
        <s v="4472154#1"/>
        <s v="4433909#1"/>
        <s v="4490636#1"/>
        <s v="1432526#1"/>
        <s v="4482262#1"/>
        <s v="4416785#1"/>
        <s v="1911275#1, 4334727#1"/>
        <s v="4340535#1"/>
        <s v="4341641#1"/>
        <s v="4434946#1"/>
        <s v="4447014#1"/>
        <s v="4479606#1"/>
        <s v="4476077#1"/>
        <s v="4413669#1"/>
        <s v="4432648#1"/>
        <s v="4395005#1"/>
        <s v="1096910#1"/>
        <s v="4335905#1"/>
        <s v="4381847#1"/>
        <s v="4448827#1"/>
        <s v="4449005#1"/>
        <s v="4439829#1"/>
        <s v="1577995#1"/>
        <s v="3638359#2"/>
        <s v="4459069#1"/>
        <s v="4374348#1"/>
        <s v="4332273#1"/>
        <s v="4333029#1"/>
        <s v="4463109#1"/>
        <s v="4434408#1"/>
        <s v="3890328#1"/>
        <s v="4331267#1"/>
        <s v="4386973#1"/>
        <s v="4447719#1"/>
        <s v="4361363#1"/>
        <s v="4418476#1"/>
        <s v="4500412#1"/>
        <s v="4448490#1"/>
        <s v="4329207#1"/>
        <s v="1950258#1"/>
        <s v="1765044#1"/>
        <s v="1972937#1"/>
        <s v="3409283#1"/>
        <s v="4383859#1"/>
        <s v="4315599#1"/>
        <s v="4445783#1"/>
        <s v="4460527#1"/>
        <s v="1073823#1, 853030#2"/>
        <s v="4375200#1"/>
        <s v="4375329#1"/>
        <s v="4417095#1"/>
        <s v="3581383#1"/>
        <s v="4431418#1"/>
        <s v="4419648#1"/>
        <s v="2266165#1"/>
        <s v="4371554#1"/>
        <s v="4384889#1"/>
        <s v="4203639#1"/>
        <s v="4320404#1"/>
        <s v="1679668#1"/>
        <s v="4332684#1"/>
        <s v="4370860#1"/>
        <s v="4425826#1"/>
        <m/>
      </sharedItems>
    </cacheField>
    <cacheField name="Case Name" numFmtId="49">
      <sharedItems containsBlank="1">
        <s v="Comercial Cisneaustral Ltda."/>
        <s v="América Pampa Agroindustrial SA"/>
        <s v="Supernovaequipamientos"/>
        <s v="Cayber Comercial"/>
        <s v="Ddserviciosindustriales"/>
        <s v="Industriaslym"/>
        <s v="Emersus"/>
        <s v="Industec"/>
        <s v="Maplima"/>
        <s v="Pgarq"/>
        <s v="Masdar Jardines Verticales"/>
        <s v="Servicoop"/>
        <s v="Quimicaeg"/>
        <s v="RK Arquitectura"/>
        <s v="Cosmaca"/>
        <s v="Crisner"/>
        <s v="Herracruz"/>
        <s v="Pazacasa"/>
        <s v="MetalYeso, S.L"/>
        <s v="FUNIBLÚ - FUNNY PUFF"/>
        <s v="Gimnasiolaspalmas"/>
        <s v="Owlvisionsas"/>
        <s v="Fenber Ingenieria Sa"/>
        <s v="Xyzdesarrollos"/>
        <s v="METROLOGIA Y SERVICIOS S.A.S."/>
        <s v="San Luis Construcciones"/>
        <s v="Qqmedical"/>
        <s v="Grupocolper"/>
        <s v="Agencia de aduanas Mariano Roldan"/>
        <s v="Soldmant"/>
        <s v="Librebra"/>
        <s v="Acllogistica"/>
        <s v="Ecofusionb"/>
        <s v="Daiog"/>
        <s v="3gen"/>
        <s v="Scafor"/>
        <s v="dwg studio sac"/>
        <s v="Reparame"/>
        <s v="Excolbi"/>
        <s v="Multiexport Foods "/>
        <s v="Electrical"/>
        <s v="Enerside"/>
        <s v="Cedric "/>
        <s v="Drogueria Hofmann Sac"/>
        <s v="Latinproducts"/>
        <s v="Concreacero"/>
        <s v="Crcsas"/>
        <s v="Dielco"/>
        <s v="Constructoravalu"/>
        <s v="A Urbano Construcciones"/>
        <s v="Brutal Agencia"/>
        <s v="Amalgama"/>
        <s v="Transgesa "/>
        <s v="Invexsa SpA "/>
        <s v="Ziontec Servicios SpA"/>
        <s v="Rodrigo Eduardo Hunrichse Poblete"/>
        <s v="NuevoSur"/>
        <s v="Erarquitecto"/>
        <s v="Escenariumevents"/>
        <s v="Aduanadonoso"/>
        <s v="Site Chile S.A. "/>
        <s v="Arqcattaneo"/>
        <s v="Marini estudio"/>
        <s v="Transportes Montalvan S.A"/>
        <s v="Alumina Argentina"/>
        <s v="Co-Ol Limitada"/>
        <s v="Clonsa"/>
        <s v="Inmocredex"/>
        <s v="Metalbuild"/>
        <s v="Huasi"/>
        <s v="Arpay Branding Solutions"/>
        <s v="Cedivenbo"/>
        <s v="Ingenieria y Servicios Medeiros Ltda (RODNEY JABES MEDEIROS RENEDO)"/>
        <s v="Decoll"/>
        <s v="Mariolara"/>
        <s v="Open Comet "/>
        <s v="Hzgroup"/>
        <s v="Ewwo"/>
        <s v="Estudio Manissero Contadores Públicos"/>
        <s v="Interquimicasa"/>
        <s v="EXACTOPERU Marketing Inmobiliario, construction and real estate Kallpa - sales departments"/>
        <s v="Remansaperu"/>
        <s v="Steelasesor"/>
        <s v="Caletadesarrollos"/>
        <s v="Proanalisis S.A"/>
        <s v="Dxelectronica"/>
        <s v="Mirasolespinturerias"/>
        <s v="Guerrero Arquitectos"/>
        <s v="Tiendadeeventos"/>
        <s v="Secapcontratistas"/>
        <s v="Cortinasindustriales"/>
        <s v="Estudio Quijano Y Asociados"/>
        <s v="Imprenta Editora Gráfica Real SAC"/>
        <s v="Imaginate.pe "/>
        <s v="Cademil Porcelanatos"/>
        <s v="Montani"/>
        <m/>
      </sharedItems>
    </cacheField>
    <cacheField name="Country" numFmtId="49">
      <sharedItems containsBlank="1">
        <s v="Chile"/>
        <m/>
        <s v="Argentina"/>
        <s v="Peru"/>
        <s v="Bolivia"/>
        <s v="Colombia"/>
        <s v="Ecuador"/>
        <s v="Uruguay"/>
      </sharedItems>
    </cacheField>
    <cacheField name="Investigator" numFmtId="0">
      <sharedItems containsBlank="1">
        <s v="Alexis"/>
        <s v="Eduardo"/>
        <s v="Daniela"/>
        <s v="Mariadelaida"/>
        <m/>
      </sharedItems>
    </cacheField>
    <cacheField name="QA Notes" numFmtId="0">
      <sharedItems containsBlank="1">
        <m/>
        <s v="Case disqualified, not enough data or information to associate the machine with the entity"/>
        <s v="As a cooperative this entity is constituted as a non profit"/>
        <s v="review"/>
        <s v="QA Disqualified"/>
        <s v="Brought from week 3 to complete the batch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4" sheet="April"/>
  </cacheSource>
  <cacheFields>
    <cacheField name="Date" numFmtId="164">
      <sharedItems containsDate="1" containsString="0" containsBlank="1">
        <d v="2026-04-15T00:00:00Z"/>
        <d v="2026-04-16T00:00:00Z"/>
        <d v="2026-04-17T00:00:00Z"/>
        <d v="2026-04-23T00:00:00Z"/>
        <d v="2026-04-20T00:00:00Z"/>
        <d v="2026-04-21T00:00:00Z"/>
        <d v="2026-04-22T00:00:00Z"/>
        <m/>
      </sharedItems>
    </cacheField>
    <cacheField name="External Case ID" numFmtId="49">
      <sharedItems containsBlank="1">
        <s v="4385435#1"/>
        <s v="4396985#1"/>
        <s v="4393554#1"/>
        <s v="4405672#1"/>
        <s v="4390664#1"/>
        <s v="4385291#1"/>
        <s v="4369830#1"/>
        <s v="4432958#1"/>
        <s v=" 41272085"/>
        <s v="2919963#1"/>
        <s v="4427846#1"/>
        <s v="4328282#1"/>
        <s v="1007455#1"/>
        <s v="4530835#1"/>
        <s v="1913397#1"/>
        <s v="4529510#1"/>
        <s v="551688#1"/>
        <s v="4528685#1"/>
        <s v="4521195#1"/>
        <s v="4470161#1&#10;"/>
        <s v="4467163#1"/>
        <s v="4465936#1&#10;"/>
        <s v="4453558#1"/>
        <s v="4426007#1&#10;"/>
        <s v="4431495#1"/>
        <s v="4432062#1"/>
        <s v="4430426#1"/>
        <s v="4431698#1"/>
        <s v="4422192#1"/>
        <s v="4372037#1"/>
        <s v="4479003#1&#10;"/>
        <s v="4402335#1"/>
        <s v="4431180#1"/>
        <s v="4371620#1"/>
        <s v="4382766#1"/>
        <s v="1013343#1&#10;"/>
        <s v="4378168#1"/>
        <s v="1777798#1"/>
        <s v="3940227#1"/>
        <s v="4388738#1"/>
        <s v="4386113#1"/>
        <s v="4390638#1"/>
        <s v="4432926#1"/>
        <s v="4382296#1"/>
        <s v="587848#1"/>
        <s v="387403#1"/>
        <s v="4377683#1"/>
        <s v="217110#2"/>
        <s v="4338265#1"/>
        <s v="2010682#1"/>
        <s v="4277621#1"/>
        <s v="4450547#"/>
        <s v="4447726#1"/>
        <s v="4525285#1"/>
        <s v="322331#1"/>
        <s v="4469856#1"/>
        <s v="4209361#1"/>
        <s v="4428783#1"/>
        <s v="4389404#1"/>
        <s v="4449575#1"/>
        <s v="4302182#1"/>
        <s v="4330507#1"/>
        <s v="4369007#1"/>
        <s v="3399269#1"/>
        <s v="1708720#1"/>
        <s v="964684#1"/>
        <s v="4382471#1"/>
        <s v="4458907#1"/>
        <s v="4503276#1"/>
        <s v="4458116#1"/>
        <s v="4432101#1"/>
        <s v="4390782#1"/>
        <s v="4495385#1"/>
        <s v="4449804#1"/>
        <s v="4449261#1"/>
        <s v="4447897#1"/>
        <s v="4443806#1"/>
        <s v="4424605#1"/>
        <s v="4440302#1"/>
        <s v="4523216#1"/>
        <s v="4460102#1"/>
        <s v="4470747#1"/>
        <s v="4526562#1"/>
        <s v="4480724#1"/>
        <s v="4448757#1"/>
        <s v="4503645#1"/>
        <s v="4502771#1"/>
        <s v="4503799#1"/>
        <s v="4465898#1"/>
        <s v="4520740#1"/>
        <s v="3550634#1"/>
        <s v="3519161#1"/>
        <s v="3548011#1"/>
        <s v="3550055#1"/>
        <s v="4462880#1"/>
        <s v="3564445#1"/>
        <s v="4425543#1"/>
        <s v="4483032#1"/>
        <s v="4413048#1"/>
        <s v="4429730#1"/>
        <s v="4360530#1"/>
        <s v="3533935#1"/>
        <s v="4331169#1"/>
        <s v="4337375#1"/>
        <s v="4319475#1"/>
        <s v="2180850#1"/>
        <s v="2132857#1"/>
        <s v="4393185#1"/>
        <s v="4201472#1"/>
        <s v="3861317#1"/>
        <s v="1607442#1"/>
        <s v="556392#1"/>
        <s v="3398017#1"/>
        <s v="4337293#1"/>
        <s v="458033#1"/>
        <s v="1309206# &#10;"/>
        <s v="4371356#1"/>
        <s v="4395620#1"/>
        <s v="4418462#1"/>
        <s v="4397361#1"/>
        <s v="4509882#1"/>
        <s v="4371794#1"/>
        <s v="4302342#1"/>
        <s v="3879155#1"/>
        <s v="4327176#1"/>
        <s v="917699#1"/>
        <s v="4432095#1"/>
        <s v="4439789#1"/>
        <s v="4394566#1"/>
        <s v="905187#1"/>
        <s v="4522226#1"/>
        <m/>
      </sharedItems>
    </cacheField>
    <cacheField name="Case Name" numFmtId="49">
      <sharedItems containsBlank="1">
        <s v="Famaq"/>
        <s v="Construccionessecaba"/>
        <s v="Catarsisarquitectura"/>
        <s v="Profilglasspty"/>
        <s v="Tutierramx"/>
        <s v="Bluevisiontechnologies"/>
        <s v="Guayacan"/>
        <s v="Doblec"/>
        <s v="Signode International IP Holdings LLC"/>
        <s v="Pentagonolegal"/>
        <s v="Barraganbr"/>
        <s v="Offimodular"/>
        <s v="Inversiones Ovimay"/>
        <s v="Rosso"/>
        <s v="Advance Business Service"/>
        <s v="Inversionesbriko"/>
        <s v="sgs1847"/>
        <s v="Proinsa"/>
        <s v="Origamiwood"/>
        <s v="Cementeriolaresurreccion"/>
        <s v="Teisapanama"/>
        <s v="Invelaconstructora"/>
        <s v="Zayercom"/>
        <s v="Sagrisa"/>
        <s v="Articoimportaciones"/>
        <s v="Rivieramanagement"/>
        <s v="Shoemat"/>
        <s v="Perezvelascoarquitectos"/>
        <s v="Mbkcst"/>
        <s v="Itysa"/>
        <s v="4479003#1 "/>
        <s v="Altermob"/>
        <s v="Altecingenieria"/>
        <s v="Mdconsultores"/>
        <s v="Orvelectric"/>
        <s v="Caobadoors S.A."/>
        <s v="Envaseshv"/>
        <s v="KATaero"/>
        <s v="Tcsa"/>
        <s v="Maesolution"/>
        <s v="Sydm"/>
        <s v="Ipsmty"/>
        <s v="Ncreativefactory "/>
        <s v="Promospublicidad"/>
        <s v="Compuprisma"/>
        <s v="aura architects"/>
        <s v="Trimansa"/>
        <s v="Popcase Marketing, S.A. De C.V."/>
        <s v="Kohyoungamerica "/>
        <s v="Rotugra Construcciones, S.A. De C.V."/>
        <s v="The Panama Clinic Medical S.A."/>
        <s v="Fvdistribuciones"/>
        <s v="Dcbcostarica"/>
        <s v="Airbrush"/>
        <s v="Vientoencontra"/>
        <s v="Eymsa"/>
        <s v="RESTAURANTE DON CARLOS - QUETZALTENANGO."/>
        <s v="Plasticinalab"/>
        <s v="Novocolor"/>
        <s v="Nmhn"/>
        <s v="Opgash"/>
        <s v="CORPORATIVO SITPE SOLUCIONES"/>
        <s v="Ramcorproducciones"/>
        <s v="Rodinox"/>
        <s v="Agsa"/>
        <s v="CARIFEX, srl."/>
        <s v="Aswshanghai"/>
        <s v="Chaconarq"/>
        <s v="Zofracro"/>
        <s v="Azure"/>
        <s v="Paragasgt"/>
        <s v="Dcl"/>
        <s v="Imodu"/>
        <s v="Maderas Ibericas"/>
        <s v="Tecdimcsa"/>
        <s v="Cixsa"/>
        <s v="Ophtech"/>
        <s v="Qualicons"/>
        <s v="Conexyner SRL"/>
        <s v="Asiloexpress"/>
        <s v="Grupoadipsa"/>
        <s v="Grupocap"/>
        <s v="Mayoreodelistmocr"/>
        <s v="Itqscr"/>
        <s v="Koolmovilcr"/>
        <s v="Unoconsulting"/>
        <s v="Cemiing"/>
        <s v="Inghenia"/>
        <s v="Euroseatingamerica"/>
        <s v="Pconsulting"/>
        <s v="Ilkaax"/>
        <s v="D artesano"/>
        <s v="Althera Energia Sustentable"/>
        <s v="Navarretearq "/>
        <s v="Mejingenieria"/>
        <s v="GAS IMPERIAL "/>
        <s v="Naturalatexfoam"/>
        <s v="Hdlgt"/>
        <s v="Andares"/>
        <s v="Industriatapicera"/>
        <s v="Coopunased"/>
        <s v="Jkmingenieriasa"/>
        <s v="Thermo King De Panama"/>
        <s v="Copasapma"/>
        <s v="Grupochavon"/>
        <s v="nacionsushi"/>
        <s v="Traber Group S.A. de C.V."/>
        <s v="Gc1holding"/>
        <s v="Artesanostijax"/>
        <s v="Onqoc"/>
        <s v="Becosa"/>
        <s v="Empresa Hospitalaria Cemesa S.A./Centro Medico"/>
        <s v="Phoenixcalibration"/>
        <s v="Alexandercel"/>
        <s v="Seis Arquitectos S.A."/>
        <s v="Gta"/>
        <s v="Welsysco"/>
        <s v="Copre"/>
        <s v="Gozaka"/>
        <s v="Redmarketinglab"/>
        <s v="Vadesigncr"/>
        <s v="Azuliverdecr"/>
        <s v="ICICOR Costa Rica S.A"/>
        <s v="Bcingenieria"/>
        <s v="Alumicentro"/>
        <s v="Rimet"/>
        <s v="Grid"/>
        <s v="Proindasv"/>
        <s v="Dipreco"/>
        <s v="Grupomacroaws"/>
        <s v="Reycodelvalle"/>
        <m/>
      </sharedItems>
    </cacheField>
    <cacheField name="Country" numFmtId="0">
      <sharedItems containsBlank="1">
        <s v="Mexico"/>
        <s v="Panama"/>
        <s v="Guatemala"/>
        <s v="El Salvador"/>
        <s v="Honduras"/>
        <s v="Costa Rica"/>
        <m/>
        <s v="Dominican Republic"/>
      </sharedItems>
    </cacheField>
    <cacheField name="Investigator" numFmtId="49">
      <sharedItems containsBlank="1">
        <s v="Alexis"/>
        <s v="Noel"/>
        <s v="Luis"/>
        <s v="Daniela"/>
        <s v="Clara"/>
        <s v="Eduardo"/>
        <s v="Mariadelaida"/>
        <m/>
      </sharedItems>
    </cacheField>
    <cacheField name="QA Notes" numFmtId="0">
      <sharedItems containsBlank="1">
        <m/>
        <s v="QA - Disqualified (Contact Profiling)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1002" sheet="April"/>
  </cacheSource>
  <cacheFields>
    <cacheField name="Date" numFmtId="164">
      <sharedItems containsDate="1" containsString="0" containsBlank="1">
        <d v="2026-04-13T00:00:00Z"/>
        <d v="2026-04-14T00:00:00Z"/>
        <d v="2026-04-15T00:00:00Z"/>
        <d v="2026-04-16T00:00:00Z"/>
        <d v="2026-04-17T00:00:00Z"/>
        <m/>
      </sharedItems>
    </cacheField>
    <cacheField name="External Case ID" numFmtId="49">
      <sharedItems containsBlank="1">
        <s v="3885757#1"/>
        <s v="2465255#1"/>
        <s v="1827653#1"/>
        <s v="4413390#1"/>
        <s v="906929#1"/>
        <s v="1724897#1"/>
        <s v="1760990#1"/>
        <s v="4400485#1"/>
        <s v="3899341#1"/>
        <s v="1779923#1"/>
        <s v="1857529#1"/>
        <s v="4433262#1"/>
        <s v="2490810#1"/>
        <s v="4396486#1"/>
        <s v="4379083#1"/>
        <s v="4490205#1"/>
        <s v="4473992#1"/>
        <s v="4416011#1"/>
        <s v="4448941#1"/>
        <s v="4489713#1"/>
        <s v="4441339#1"/>
        <s v="4369932#1"/>
        <s v="4361157#1"/>
        <s v="4373941#1"/>
        <s v="4397550#1"/>
        <s v="4446726#1"/>
        <s v="4426065#1"/>
        <s v="1855786#1"/>
        <s v="4381827#1"/>
        <s v="4395102#1"/>
        <s v="4391511#1"/>
        <s v="4393737#1"/>
        <s v="4427091#1"/>
        <s v="3900435#1"/>
        <s v="4436649#1"/>
        <s v="4529098#1"/>
        <s v="4497270#1"/>
        <s v="4460049#1"/>
        <s v="3257064#1"/>
        <s v="4447843#1"/>
        <s v="2295237#1"/>
        <s v="4466559#1"/>
        <s v="4376102#1"/>
        <s v="4402047#1"/>
        <s v="1081773#1"/>
        <s v="2207682#1"/>
        <s v="4521734#1"/>
        <s v="4458957#1"/>
        <s v="719223#2"/>
        <s v="4417782#1"/>
        <s v="4438107#1"/>
        <s v="4413897#1"/>
        <s v="4519919#1"/>
        <s v="4514847#1"/>
        <s v="4520359#1"/>
        <s v="4521326#1"/>
        <s v="4392229#1"/>
        <s v="3563251#1"/>
        <s v="4415137#1"/>
        <s v="4427874#1"/>
        <s v="4377765#1"/>
        <s v="4432049#1"/>
        <s v="4398545#1"/>
        <m/>
        <s v="4382315#1"/>
        <s v="4523418#1"/>
        <s v="4521174#1"/>
        <s v="4527957#1"/>
        <s v="4525063#1"/>
        <s v="4435988#1"/>
        <s v="4521743#1"/>
        <s v="4521305#1"/>
        <s v="4468376#1"/>
        <s v="4446320#1"/>
        <s v="4444558#1"/>
      </sharedItems>
    </cacheField>
    <cacheField name="Case Name" numFmtId="49">
      <sharedItems containsBlank="1">
        <s v="Metalurgica Andrea"/>
        <s v="Camisar Fernando Gabriel"/>
        <s v="Hermanar"/>
        <s v="Helpasa"/>
        <s v="Millerzell"/>
        <s v="Symbar"/>
        <s v="Canorolon"/>
        <s v="Akemusic"/>
        <s v="Gruponk"/>
        <s v="AGS Arquitectura"/>
        <s v="Vaccarezza y Tenesini Arquitectos"/>
        <s v="Arcoequipos"/>
        <s v="Ambientes Virtuales punto Com"/>
        <s v="Enconcreto"/>
        <s v="Redesunidas"/>
        <s v="Alutraficled"/>
        <s v="Verde.Esperanza"/>
        <s v="Woodstore"/>
        <s v="Fulgor"/>
        <s v="Gestionpublicitaria"/>
        <s v="Suseincosas"/>
        <s v="Oparquitectos"/>
        <s v="Besthealth"/>
        <s v="Confiteriacentral"/>
        <s v="Ceacustica "/>
        <s v="Calles Amarillas SRL"/>
        <s v="Arayaconstrucciones"/>
        <s v="Ignacio Montaldo"/>
        <s v="Arqkul"/>
        <s v="Verdical "/>
        <s v="Ecofast"/>
        <s v="Apiros"/>
        <s v="Performa"/>
        <s v="entraenlanube.com"/>
        <s v="La Meca Concept"/>
        <s v="Parquesanto"/>
        <s v="Indusur"/>
        <s v="Tinajeroarquitectura"/>
        <s v="Jethandling"/>
        <s v="Missionpetroleum"/>
        <s v="Rectiequipos"/>
        <s v="Mauriciosalazar"/>
        <s v="Imaster"/>
        <s v="Renderstudiogg"/>
        <s v="Jaime Leiva Cardenas"/>
        <s v="Hector Aquiles Mansilla Alvarez"/>
        <s v="Designconexion"/>
        <s v="Utmagistralsalud"/>
        <s v="Unispan Colombia S.A.S"/>
        <s v="Esdeco"/>
        <s v="Kostazul"/>
        <s v="Mayerli.Ordones"/>
        <s v="Atticadesign"/>
        <s v="Monadconstruccion"/>
        <s v="Nexabpo"/>
        <s v="Imporrepuestos"/>
        <s v="Fleteya"/>
        <s v="Andamik"/>
        <s v="Flexseal "/>
        <s v="Macservicios"/>
        <s v="Chilerayo"/>
        <s v="Sungrowamericas"/>
        <s v="Kombuchu"/>
        <m/>
        <s v="Elpalaciodelascocinasfontibon"/>
        <s v="Forcenter"/>
        <s v="Unionbatsa"/>
        <s v="Natpro"/>
        <s v="Dibell"/>
        <s v="Nuevacostanera"/>
        <s v="Quelimpio"/>
        <s v="Xelena"/>
        <s v="Mitsuba"/>
        <s v="SCHWARTZ VRENA SRL"/>
        <s v="Acontri"/>
      </sharedItems>
    </cacheField>
    <cacheField name="Country" numFmtId="0">
      <sharedItems containsBlank="1">
        <s v="Argentina"/>
        <s v="Colombia"/>
        <s v="Chile"/>
        <s v="Bolivia"/>
        <m/>
        <s v="Ecuador"/>
      </sharedItems>
    </cacheField>
    <cacheField name="Investigator" numFmtId="0">
      <sharedItems containsBlank="1">
        <s v="Mariadelaida"/>
        <s v="Eduardo"/>
        <s v="Daniela"/>
        <m/>
      </sharedItems>
    </cacheField>
    <cacheField name="QA Notes" numFmtId="0">
      <sharedItems containsBlank="1">
        <m/>
        <s v="Disqualified. No events on the target company country"/>
        <s v="Entity already contacted. Rejected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6" sheet="April"/>
  </cacheSource>
  <cacheFields>
    <cacheField name="Date" numFmtId="164">
      <sharedItems containsDate="1" containsString="0" containsBlank="1">
        <d v="2026-04-21T00:00:00Z"/>
        <d v="2026-04-22T00:00:00Z"/>
        <d v="2026-04-23T00:00:00Z"/>
        <d v="2026-04-20T00:00:00Z"/>
        <m/>
        <d v="2026-04-28T00:00:00Z"/>
        <d v="2026-04-29T00:00:00Z"/>
      </sharedItems>
    </cacheField>
    <cacheField name="External Case ID" numFmtId="49">
      <sharedItems containsBlank="1">
        <s v="4324234#1"/>
        <s v="4410547#1"/>
        <s v="4482376#1"/>
        <s v="4472103#1"/>
        <s v="1577767#1"/>
        <s v="4373727#1"/>
        <s v="4511566#1"/>
        <s v="4445727#1"/>
        <s v="4486005#1"/>
        <s v="4516738#1"/>
        <s v="2291551#1"/>
        <s v="4445729#1"/>
        <s v="4374292#1"/>
        <s v="4494109#1"/>
        <s v="3870707#1"/>
        <s v="4460538#1"/>
        <s v="4344373#1"/>
        <s v="2489523#1"/>
        <s v="4320727#1"/>
        <s v="4327733#1"/>
        <s v="900155#1"/>
        <s v="4361088#1"/>
        <s v="4333223#1"/>
        <s v="4383357#1"/>
        <s v="1348664#1"/>
        <s v="935040#3"/>
        <s v="4438511#1"/>
        <s v="4423878#1"/>
        <s v="4469209#1"/>
        <s v="4475383#1"/>
        <s v="4490521#1"/>
        <s v="4475779#1"/>
        <s v="3880949#1"/>
        <s v="4447515#1"/>
        <s v="4472601#1"/>
        <s v="4437631#1"/>
        <s v="4448047#1"/>
        <s v="2428334#1"/>
        <s v="996187#1"/>
        <s v="1067514#1"/>
        <s v="4399058#1"/>
        <s v="3939708#1"/>
        <s v="4319513#1"/>
        <s v="4470997#1"/>
        <s v="4493840#1"/>
        <s v="3582959#1"/>
        <s v="1676075#1"/>
        <s v="906417#1"/>
        <m/>
        <s v="4507728#1"/>
        <s v="4452404#1"/>
        <s v="448910#1"/>
        <s v="1089886#1"/>
        <s v="304353#1"/>
        <s v="617495#1"/>
        <s v="2035128#1"/>
        <s v="1827895#1"/>
        <s v="1627433#1"/>
        <s v="1908896#1"/>
        <s v="381113#1"/>
        <s v="707921#1"/>
        <s v="1076989#1"/>
        <s v="926633#1"/>
        <s v="1254786#1"/>
        <s v="1796135#1"/>
        <s v="337459#1"/>
        <s v="1657508#1"/>
        <s v="689099#2"/>
        <s v="4640912#1"/>
        <s v="1177349#1"/>
        <s v="2293257#1"/>
        <s v="387724#1"/>
        <s v="1097950#1"/>
        <s v="806328#2"/>
        <s v="1069991#1"/>
        <s v="1742670#1"/>
        <s v="995577#1"/>
        <s v="1044380#1"/>
        <s v="655644#1"/>
        <s v="1281635#1"/>
        <s v="294359#1"/>
        <s v="1913530#1"/>
        <s v="1079959#1"/>
        <s v="1259830#1"/>
        <s v="561023#1"/>
        <s v="4491328#1"/>
        <s v="4446722#1"/>
        <s v="4485605#1"/>
        <s v="4441055#1"/>
        <s v="3875961#1"/>
        <s v="1908005#1"/>
        <s v="998529#1"/>
        <s v="925102#1"/>
        <s v="3259643#1"/>
        <s v="4503154#1"/>
      </sharedItems>
    </cacheField>
    <cacheField name="Case Name" numFmtId="49">
      <sharedItems containsBlank="1">
        <s v="multiservicios industriales leto"/>
        <s v="Ferrarapacific"/>
        <s v="Roconsultores"/>
        <s v="Grupohb"/>
        <s v="Electrogaza"/>
        <s v="Stef"/>
        <s v="Anunciosunipolares"/>
        <s v="Redexplorer"/>
        <s v="Munsa"/>
        <s v="Ibsei"/>
        <s v="Nnarquitecura"/>
        <s v="Green matters México"/>
        <s v="Hohprecht"/>
        <s v="Alfran"/>
        <s v="Visiong"/>
        <s v="Phh"/>
        <s v="Direktorgroup"/>
        <s v="Cim06"/>
        <s v="Dbic"/>
        <s v="Agmelsalvador"/>
        <s v="Sistemas Tecnicos De Guatemala"/>
        <s v="Arferdinand"/>
        <s v="Perez y Antebi - Abogados | Attorneys at Law | Law Firm Panama (Perez y Antebi - Firma Abogados Panama)"/>
        <s v="Itechsv"/>
        <s v="Diagramstudio"/>
        <s v="Tejada i Torres - Arquitectura • Agrimensura • Construcción"/>
        <s v="Elsauco"/>
        <s v="Amenities"/>
        <s v="Gruasvillarreal"/>
        <s v="Mimar"/>
        <s v="Nuur"/>
        <s v="Pdoeg"/>
        <s v="Nur"/>
        <s v="Carpas &amp;. Estructuras Móviles"/>
        <s v="Covertek"/>
        <s v="LBC COCINAS INTEGRALES"/>
        <s v="Renovable"/>
        <s v="Wesol"/>
        <s v="HVACalderón Diseño, S.A. de C.V."/>
        <s v="A3D Visualización"/>
        <s v="Autosasa"/>
        <s v="Corinfar"/>
        <s v="CADELGA"/>
        <s v="Burosa"/>
        <s v="Siman"/>
        <s v="Casalilas"/>
        <s v="IDS Mechatronics "/>
        <s v="Lcinfra"/>
        <m/>
        <s v="Harida"/>
        <s v="Coimprit"/>
        <s v="Taller de Urbanismo MX"/>
        <s v="Pingol, S.A. de C.V."/>
        <s v="Servicio De Comunicacion En Linea Sa De Cv"/>
        <s v="Grupo Kamar Impulsora"/>
        <s v="Fenabel"/>
        <s v="Bombas Suarez S.A. de C.V."/>
        <s v="Jogo"/>
        <s v="Bansbach Instrumentos Musicales"/>
        <s v="ICESA S.A."/>
        <s v="Edica"/>
        <s v="Cymca"/>
        <s v="Hipotecario"/>
        <s v="Fundidora Del Norte"/>
        <s v="LEYDE"/>
        <s v="Storecheck SA de CV"/>
        <s v="Perforadora Latina"/>
        <s v="Ser San Antonio"/>
        <s v="MD Estructural SC"/>
        <s v="Food Equipment Service"/>
        <s v="NPunto Arquitectura"/>
        <s v="Unosquare, LLC"/>
        <s v="Artdesingsa"/>
        <s v="Strukturat LTD"/>
        <s v="Stadium Source"/>
        <s v="MARE Desing Center"/>
        <s v="Goattechs"/>
        <s v="Colegioguadalupano"/>
        <s v="Estudios Tecnicos y Economicos S.A. de C.V."/>
        <s v="Rajesh Nandwani"/>
        <s v="Maderas Sostenibles"/>
        <s v="Constructora VIDES"/>
        <s v="Proyser Constructora S.A."/>
        <s v="Revinterior"/>
        <s v="Refriprosa"/>
        <s v="Preserof"/>
        <s v="Total Gráficos"/>
        <s v="Generacreative"/>
        <s v="Pasogaivt"/>
        <s v="Bajacontenedores"/>
        <s v="Avis"/>
        <s v="Adan Salazar"/>
        <s v="INNOVAK"/>
        <s v="Rayhsa Vallejo, Sa De Cv"/>
        <s v="Olliviermadero"/>
      </sharedItems>
    </cacheField>
    <cacheField name="Country" numFmtId="0">
      <sharedItems containsBlank="1">
        <s v="Mexico"/>
        <s v="El Salvador"/>
        <s v="Nicaragua"/>
        <s v="Panama"/>
        <s v="Dominican Republic"/>
        <s v="Guatemala"/>
        <s v="Costa Rica"/>
        <s v="Honduras"/>
        <m/>
      </sharedItems>
    </cacheField>
    <cacheField name="Investigator" numFmtId="49">
      <sharedItems containsBlank="1">
        <s v="Mariadelaida"/>
        <s v="Noel"/>
        <s v="Eduardo"/>
        <s v="Clara"/>
        <s v="Daniela"/>
        <m/>
      </sharedItems>
    </cacheField>
    <cacheField name="QA Notes" numFmtId="0">
      <sharedItems containsBlank="1">
        <m/>
        <s v="QA - Disqualified (Data)"/>
        <s v="Disqualified (Data)"/>
        <s v="QA - Disqualified (Contact Profiling)"/>
        <s v="There is another case related to the entity. Case ID 3893431#1. Status Closed - Not Won (Exhausted)."/>
        <s v="There is a previous case related to the entity. Case ID 671806#1. Status Closed - Not Won (Lost)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1002" sheet="April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1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3" sheet="May"/>
  </cacheSource>
  <cacheFields>
    <cacheField name="Date" numFmtId="164">
      <sharedItems containsDate="1" containsString="0" containsBlank="1">
        <d v="2026-04-29T00:00:00Z"/>
        <d v="2026-04-30T00:00:00Z"/>
        <d v="2026-04-20T00:00:00Z"/>
        <d v="2026-04-24T00:00:00Z"/>
        <d v="2026-04-27T00:00:00Z"/>
        <d v="2026-04-28T00:00:00Z"/>
        <d v="2026-05-04T00:00:00Z"/>
        <d v="2026-05-05T00:00:00Z"/>
        <d v="2026-05-06T00:00:00Z"/>
        <d v="2026-05-08T00:00:00Z"/>
        <m/>
      </sharedItems>
    </cacheField>
    <cacheField name="External Case ID" numFmtId="49">
      <sharedItems containsBlank="1">
        <s v="1437462#3"/>
        <s v="4640913#1"/>
        <s v="4640916#1"/>
        <s v="3879144#1"/>
        <s v="653893#1"/>
        <s v="953282#1"/>
        <s v="915187#1"/>
        <s v="4463453#1"/>
        <s v="4521636#1"/>
        <s v="4447260#1"/>
        <s v="4426122#1"/>
        <s v="4517167#1"/>
        <s v="4322656#1"/>
        <s v="1249782#1"/>
        <s v="572551#1"/>
        <s v="2142718#1"/>
        <s v="797209#1"/>
        <s v="686907#2"/>
        <s v="2142939#1"/>
        <s v="915029#1"/>
        <s v="656124#1"/>
        <s v="4589849#1"/>
        <s v="1970161#1"/>
        <s v="2028766#3"/>
        <s v="4376402#1"/>
        <s v="4376241#1"/>
        <s v="4386535#1"/>
        <s v="4380535#1"/>
        <s v="4325886#1"/>
        <s v="4390368#1"/>
        <s v="4343511#1"/>
        <s v="4472175#1"/>
        <s v="3902742#1"/>
        <s v="4521000#1"/>
        <s v="4336632#1"/>
        <s v="2254090#1"/>
        <s v="1105626#1"/>
        <s v="4427313#1"/>
        <s v="4446738#1"/>
        <s v="4447905#1"/>
        <s v="2144791#1"/>
        <s v="3875976#1"/>
        <s v="2076609#1"/>
        <s v="2075910#1"/>
        <s v="2128303#1"/>
        <s v="2144620#1"/>
        <s v="2147778#1"/>
        <s v="2133516#1"/>
        <s v="2147698#1"/>
        <s v="4369386#1"/>
        <s v="4370096#1"/>
        <s v="4425239#1"/>
        <s v="4449272#1"/>
        <s v="4468605#1"/>
        <s v="4360541#1"/>
        <s v="4368409#1"/>
        <s v="4332706#1"/>
        <s v="372823#1"/>
        <s v="1995341#1"/>
        <s v="4319617#1"/>
        <s v="3529219#1"/>
        <s v="909929#1"/>
        <s v="902419#"/>
        <s v="1097165#1"/>
        <s v="603842#1"/>
        <s v="4341414#1"/>
        <s v="4336364#1"/>
        <s v="4333290#1"/>
        <s v="4315465#1"/>
        <s v="760410#1"/>
        <s v="3877066#1"/>
        <s v="2249360#1,573765#1"/>
        <s v="4366848#1"/>
        <s v="4432478#1"/>
        <s v="4366918#1"/>
        <s v="4469219#1"/>
        <s v="4420781#1"/>
        <s v="4443640#1"/>
        <s v="704646#1"/>
        <s v="4336984#1"/>
        <s v="1545195#1"/>
        <s v="4459445#1"/>
        <s v="4372524#1"/>
        <s v="301242#1"/>
        <s v="1447295#1"/>
        <s v="594813#1"/>
        <s v="2281278#1"/>
        <s v="1531402#1"/>
        <s v="1007440#1"/>
        <s v="1098960#1"/>
        <s v="1840727#1"/>
        <s v="1156959#1"/>
        <s v="1777007#1"/>
        <s v="2065165#1"/>
        <s v="1481034#2"/>
        <s v="280451#2"/>
        <s v="4476107#1"/>
        <s v="581813#1"/>
        <s v="1678852#1"/>
        <s v="899915#1"/>
        <s v="479428#1"/>
        <s v="739073#1"/>
        <s v="4641272#1"/>
        <s v="4502865#1"/>
        <s v="4531346#1"/>
        <s v="1052413# &#10;"/>
        <s v="1071679#1"/>
        <s v="1629702#1"/>
        <s v="4146808#1"/>
        <s v="418513#1"/>
        <s v="3410628#1"/>
        <s v="4442163#1"/>
        <s v="4444041#1"/>
        <s v="4441560#1"/>
        <s v="4405542#1"/>
        <s v="2073979#1"/>
        <s v="4363883#1"/>
        <s v="4530619#1"/>
        <m/>
      </sharedItems>
    </cacheField>
    <cacheField name="Case Name" numFmtId="49">
      <sharedItems containsBlank="1">
        <s v="Grupo ERA"/>
        <s v="Impulsa Arquitectos"/>
        <s v="Diseño y Gestión Inmobiliaria"/>
        <s v="Lisso S.A Finished Center"/>
        <s v="Arqlabs"/>
        <s v="REC RENTAS DE ESPACIOS COMERCIALES"/>
        <s v="LICCO ESD SA de CV"/>
        <s v="2concepts"/>
        <s v="Antoniomorales"/>
        <s v="Wattsantos Arquitectos"/>
        <s v="Sicemmc"/>
        <s v="Ironside"/>
        <s v="vilego"/>
        <s v="Fmodernas"/>
        <s v="Proenergy Energia Renovable"/>
        <s v="Roto Cristales y Partes"/>
        <s v="Francisco Javier Garcia Moreno Elizondo"/>
        <s v="Grupo Construcciones y Servicios S.A. de C.V."/>
        <s v="Landa Suberville"/>
        <s v="Landa Arquitectos"/>
        <s v="Art.chitecture"/>
        <s v="Jdestudio"/>
        <s v="Telaio Networks SA de CV"/>
        <s v="Valtre"/>
        <s v="Coopermex"/>
        <s v="Eternadesarrollos"/>
        <s v="Eenergia"/>
        <s v="Maquinadosat"/>
        <s v="Diegdl"/>
        <s v="Incuadra"/>
        <s v="Setecnorte"/>
        <s v="Grupoeuroaires"/>
        <s v="Thefullprint"/>
        <s v="Exclusivecr"/>
        <s v="Sampetrinos"/>
        <s v="Vicisa"/>
        <s v="T+R Arquitectos"/>
        <s v="Boboazul"/>
        <s v="Constructoraprudence"/>
        <s v="Adoquininvestments"/>
        <s v="Upgrade! Comunicación y Entretenimiento"/>
        <s v="Gfdsystems"/>
        <s v="Pacifico Aquaculture SAPI de CV"/>
        <s v="DSDCERO"/>
        <s v="Carte Arquitectos, S. A. de C. V."/>
        <s v="Terramar Marmol"/>
        <s v="Removi Eventos"/>
        <s v="Táctica Gráfica "/>
        <s v="BESUN Paneles Solares Monterrey"/>
        <s v="Arquitreke"/>
        <s v="Codex Studio"/>
        <s v="Adharagroup"/>
        <s v="Sumsersa"/>
        <s v="Tecnoconsultcr"/>
        <s v="Onestoppromo"/>
        <s v="Americanclass"/>
        <s v="Credileasing"/>
        <s v="360camcr"/>
        <s v="Edificio Finsa"/>
        <s v="Dinaju "/>
        <s v="Navsat"/>
        <s v="Almacenes Vidri S.A. de C.V."/>
        <s v="Alvia"/>
        <s v="SUPERMERCADOS LA COLONIA"/>
        <s v="Biznovator"/>
        <s v="Bacco"/>
        <s v="Luxuscr"/>
        <s v="Goselectronica"/>
        <s v="Matra"/>
        <s v="Tecmcgregor"/>
        <s v="Moprinsa"/>
        <s v="INFRA DE EL SALVADOR, S.A. DE C.V."/>
        <s v="Palmerolaairport"/>
        <s v="Mass"/>
        <s v="Grupo Serproma (Serproma)"/>
        <s v="Vectralis"/>
        <s v="Verticeproyectos"/>
        <s v="Oltech"/>
        <s v="Biotecap"/>
        <s v="Eliteindustrial"/>
        <s v="Jaquestudio"/>
        <s v="Alcove"/>
        <s v="Domoarquitectura"/>
        <s v="Garnier Arquitectos"/>
        <s v="FENIX ARQUITECTOS"/>
        <s v="Mallol y Mallol Arquitectos"/>
        <s v="Sinergia Tamaulipas"/>
        <s v="Deinnic"/>
        <s v="El Colegio de Urbanistas de México a.c. ECUM"/>
        <s v="Cisac"/>
        <s v="IMDHER"/>
        <s v="Triple I"/>
        <s v="A3 Arquitectos"/>
        <s v="Oktomx"/>
        <s v="Pysargom"/>
        <s v="Cablevision S.A. De C.V."/>
        <s v="Sict"/>
        <s v="Grupo Castelli "/>
        <s v="Ministerio de Hacienda de Costa Rica"/>
        <s v="Secretaria Estado Medio Ambiente"/>
        <s v="Ministerio De Desarrollo Social Mides"/>
        <s v="MOPT Costa Rica "/>
        <s v="Obras públicas del H. AYUNTAMIENTO"/>
        <s v="Tampico"/>
        <s v="Prourvika"/>
        <s v="Ccytet"/>
        <s v="Aldo Alvarez Tostado Martinez"/>
        <s v="Indamex"/>
        <s v="Vcrica"/>
        <s v="Consorcio Intra "/>
        <s v="Accsa"/>
        <s v="Blackswan"/>
        <s v="Olgacrisee"/>
        <s v="Baronyvicario"/>
        <s v="Outputsv"/>
        <s v="Yanyunis Inc SA"/>
        <s v="Kali"/>
        <s v="Frame"/>
        <m/>
      </sharedItems>
    </cacheField>
    <cacheField name="Country" numFmtId="0">
      <sharedItems containsBlank="1">
        <s v="Mexico"/>
        <s v="Costa Rica"/>
        <s v="El Salvador"/>
        <s v="Guatemala"/>
        <s v="Nicaragua"/>
        <s v="Honduras"/>
        <s v="Dominican Republic"/>
        <s v="Panama"/>
        <m/>
      </sharedItems>
    </cacheField>
    <cacheField name="Investigator" numFmtId="0">
      <sharedItems containsBlank="1">
        <s v="Daniela"/>
        <s v="Clara"/>
        <s v="Mariadelaida"/>
        <s v="Alexis"/>
        <s v="Eduardo"/>
        <s v="Noel"/>
        <s v="Luis"/>
        <m/>
      </sharedItems>
    </cacheField>
    <cacheField name="QA Notes" numFmtId="0">
      <sharedItems containsBlank="1">
        <m/>
        <s v="Missing notes."/>
        <s v="Golden batch. Identified additional case."/>
        <s v="3 machines approved with the refresh. "/>
        <s v="3 machines"/>
        <s v="+3 machines after identifying additional case."/>
        <s v="There is another case related to this entity. It was already delivered. Case ID 582917#1. No revenue opportunity. "/>
        <s v="+3 machines"/>
        <s v="+3 machines. Added additional case related to the entity."/>
        <s v="3 machine"/>
        <s v="QA - Disqualified (Entity Profiling)"/>
        <s v="New case discovered, multiple case. Sent to investigate"/>
        <s v="+3 machines. Connor"/>
        <s v="Company seems to be inactive."/>
        <s v="There is a previous case related to the entity. It was already engaged. Case ID 715092#1. Status Closed - Not Won (Lost). Effective date 2024-07-09 &#10;"/>
        <s v="Ruvixx Strategic Old Accounts"/>
        <s v="Ruvixx Strategic Old Accounts / related entiti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0" sheet="May"/>
  </cacheSource>
  <cacheFields>
    <cacheField name="Date">
      <sharedItems containsDate="1" containsString="0" containsBlank="1" containsMixedTypes="1">
        <d v="2026-05-04T00:00:00Z"/>
        <m/>
        <d v="2026-05-06T00:00:00Z"/>
        <d v="2026-05-07T00:00:00Z"/>
        <d v="2026-05-08T00:00:00Z"/>
        <d v="2026-05-05T00:00:00Z"/>
        <d v="2026-04-27T00:00:00Z"/>
        <n v="-620053.0"/>
      </sharedItems>
    </cacheField>
    <cacheField name="External Case ID" numFmtId="49">
      <sharedItems containsBlank="1">
        <s v="2333929#1"/>
        <s v="758698#1"/>
        <s v="654052#1"/>
        <s v="983146#1"/>
        <s v="722742#1"/>
        <s v="47508#4"/>
        <s v="1007631#1"/>
        <s v="691796#1"/>
        <s v="159200#3"/>
        <s v="1463073#1"/>
        <s v="3047489#1"/>
        <m/>
        <s v="4640917#1"/>
        <s v="4474253#1"/>
        <s v="4523712#1"/>
        <s v="4485660#1"/>
        <s v="4486389#1"/>
        <s v="4486643#1"/>
        <s v="4487512#1"/>
        <s v="4491404#1"/>
        <s v="4496092#1"/>
        <s v="887687#1"/>
        <s v="937794#1"/>
        <s v="1157817#1"/>
        <s v="4315213#1"/>
        <s v="1694790#1"/>
        <s v="1629571#1"/>
        <s v="1128338#1"/>
        <s v="586453#1"/>
        <s v="1099937#1"/>
        <s v="3511114#1"/>
        <s v="1004856#1"/>
        <s v="2513623#1"/>
        <s v="3528712#1"/>
        <s v="2276868#1"/>
        <s v="4447985#1"/>
        <s v="4520385#1"/>
        <s v="4448913#1"/>
        <s v="4396484#1"/>
        <s v="4421288#1"/>
        <s v="2023729#1"/>
        <s v="4443796#1"/>
        <s v="4366353#1"/>
        <s v="3891528#1"/>
        <s v="4437820#1"/>
        <s v="4438116#1"/>
        <s v="3127846#1"/>
        <s v="4431496#1"/>
        <s v="683628#2"/>
        <s v="4298561#1"/>
        <s v="4394106#1"/>
        <s v="4381680#1"/>
        <s v="4468024#1"/>
        <s v="3563963#1"/>
        <s v="4318483#1"/>
        <s v="1576484#1"/>
        <s v="650559#1"/>
        <s v="1068258#1"/>
        <s v="4302524#1"/>
        <s v="684995#2"/>
        <s v="2466522#1"/>
        <s v="3048398#1"/>
        <s v="4331422#1"/>
        <s v="3684367#2"/>
        <s v="4327588#1"/>
        <s v="1416257#1"/>
        <s v="4418761#1"/>
        <s v="4405289#1"/>
        <s v="1496313#1"/>
        <s v="3814641#2"/>
        <s v="1915762#1"/>
        <s v="1002347#1"/>
        <s v="939649#1"/>
        <s v="1376517#1"/>
        <s v="1005443#1"/>
        <s v="4326565#1"/>
        <s v="1098212#1"/>
        <s v="2952620#1"/>
        <s v="568832#1"/>
        <s v="4344357#1"/>
        <s v="3250945#1"/>
        <s v="68940#3"/>
        <s v="1546662#1"/>
        <s v="1935040#1"/>
        <s v="4456066#1, 4477023#1"/>
        <s v="4450132#1"/>
        <s v="4466868#1"/>
        <s v="1156514#1"/>
        <s v="1146550#"/>
        <s v="1593064#1"/>
        <s v="4184802#1"/>
        <s v="1639504#1"/>
        <s v="4417403#1"/>
        <s v="4419940#1"/>
        <s v="4318685#1"/>
        <s v="3051904#1"/>
        <s v="1003468#1"/>
        <s v="4219514#1"/>
        <s v="2166030#1"/>
        <s v="593497#1"/>
        <s v="4375024#1"/>
        <s v="4344638#1"/>
        <s v="1194094#1"/>
        <s v="4337378#1"/>
        <s v="2025942#1"/>
        <s v="4375513#1"/>
        <s v="1639108#1"/>
        <s v="1960748#1"/>
        <s v="3271846#1"/>
      </sharedItems>
    </cacheField>
    <cacheField name="Case Name" numFmtId="49">
      <sharedItems containsBlank="1">
        <s v="Colegiopalermochico"/>
        <s v="Boetto Y Buttigliengo S A"/>
        <s v="Estudiosaenz"/>
        <s v="Mko01"/>
        <s v="Klonal S R L"/>
        <s v="Aceitera General Deheza S.A."/>
        <s v="Rodriguez Viviana Claudia"/>
        <s v="Chediack José J. Saica"/>
        <s v="Envases Del Plata (Inf)"/>
        <s v="Puma Energy"/>
        <s v="Packall"/>
        <m/>
        <s v="Universidad Jean Piaget (CECAPRO)"/>
        <s v="Gruponts"/>
        <s v="Intra"/>
        <s v="Skava"/>
        <s v="Sealsautomatizacion"/>
        <s v="Runo"/>
        <s v="Tpgcabrera"/>
        <s v="Andor"/>
        <s v="Gpbarq"/>
        <s v="Maddalena Jorge Hugo"/>
        <s v="VISUAR S.A."/>
        <s v="MARKETING PERSONAL S A"/>
        <s v="Ingeade"/>
        <s v="CasaLuker S.A.-890.800.718-1"/>
        <s v="Ubicca Group"/>
        <s v="Orientoil"/>
        <s v="Comandato"/>
        <s v="Vitopel SA"/>
        <s v="Vtsa"/>
        <s v="Canal 10 Uruguay"/>
        <s v="MES Ingenieria S.A"/>
        <s v="Grupotoratto"/>
        <s v="Bcsa"/>
        <s v="Linalca Informática S.A.S Bic"/>
        <s v="Solciviles"/>
        <s v="Jstools"/>
        <s v="Concrecivil"/>
        <s v="Kastormobiliario"/>
        <s v="Circuitonaranja"/>
        <s v="Riossilva"/>
        <s v="Servilog"/>
        <s v="Pinturas Helios S.A.S"/>
        <s v="Primerefrigeracion"/>
        <s v="Roldanlogistica"/>
        <s v="Sd Opticas"/>
        <s v="Momentossonados"/>
        <s v="JMS Ingenieros"/>
        <s v="Cifnegsa"/>
        <s v="Corbet"/>
        <s v="Ambitoperu"/>
        <s v="Iesdesarrollosinmobiliarios"/>
        <s v="Condiser"/>
        <s v="Unioccidente"/>
        <s v="Lf"/>
        <s v="Quality S.A."/>
        <s v="Sergio Rubn Gonzales Odar"/>
        <s v="INMOBITEC"/>
        <s v="Sigral S.A."/>
        <s v="Liderman"/>
        <s v="Cambrils Inversiones Sac"/>
        <s v="Inproelec"/>
        <s v="Corporacion Colegio Cristobal Colon"/>
        <s v="Acabadosytechos"/>
        <s v="Climapoweringenieria"/>
        <s v="Soe360"/>
        <s v="Unicordobaco"/>
        <s v="Diseñatumueble.com"/>
        <s v="GRUPO G.V.C. S.A.S."/>
        <s v="Ambrosini+Pesaque arquitectos"/>
        <s v="Jgaviria"/>
        <s v="CONCRETERA PROME"/>
        <s v="Reychcontratistas"/>
        <s v="Mosaicos Lenzi S A"/>
        <s v="24hs"/>
        <s v="Arquitecstore"/>
        <s v="Grupocasatua"/>
        <s v="Volumen Arquitectos SAS"/>
        <s v="Edificarsa"/>
        <s v="Ike Asistencia Argentina S.A."/>
        <s v="Darc Libertador Sa"/>
        <s v="Estudiosinergia"/>
        <s v="Sociedad Mar Mau Ltda"/>
        <s v="Alcaldía de Cubará "/>
        <s v="Gatblac"/>
        <s v="Tejasmaxtech"/>
        <s v="Mopc"/>
        <s v="Emapa"/>
        <s v="Mindef"/>
        <s v="Munipocollay"/>
        <s v="Jardineros"/>
        <s v="Colorblue"/>
        <s v="Skinsolutions"/>
        <s v="Naturcol"/>
        <s v="Snkcontadores"/>
        <s v="Solumec"/>
        <s v="Moldpetsas"/>
        <s v="Le.Tengo Estudio de Arquitectura"/>
        <s v="UpInmobiliario"/>
        <s v="Ancorachile "/>
        <s v="Magnaexport"/>
        <s v="Civita Arquitectos Ltda."/>
        <s v="Grekad Met Ltda."/>
        <s v="Energy to Business SPA"/>
        <s v="Solucionesmfm"/>
        <s v="Operadores Tecnicos De Estaciones De Servicio S.A.S"/>
        <s v="Ntf"/>
        <s v="Lud Creativo s.a.s"/>
      </sharedItems>
    </cacheField>
    <cacheField name="Country" numFmtId="49">
      <sharedItems containsBlank="1">
        <s v="Argentina"/>
        <m/>
        <s v="Chile"/>
        <s v="Colombia"/>
        <s v="Ecuador"/>
        <s v="Uruguay"/>
        <s v="Paraguay"/>
        <s v="Peru"/>
        <s v="Bolivia"/>
      </sharedItems>
    </cacheField>
    <cacheField name="Investigator" numFmtId="49">
      <sharedItems containsBlank="1">
        <s v="Daniela"/>
        <s v="Mariadelaida"/>
        <m/>
        <s v="Eduardo"/>
        <s v="Clara"/>
        <s v="Noel"/>
        <s v="Rafael"/>
        <s v="Luis"/>
        <s v="Enrique"/>
      </sharedItems>
    </cacheField>
    <cacheField name="QA Notes" numFmtId="0">
      <sharedItems containsBlank="1">
        <m/>
        <s v="+3 machines"/>
        <s v="3 machines"/>
        <s v="Ruvixx Strategic Old Accounts"/>
        <s v="Disqualified (Data)"/>
        <s v="Government related"/>
        <s v="There is another case related to the entity and it was already engaged. Case ID 4473992#1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1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9" sheet="May"/>
  </cacheSource>
  <cacheFields>
    <cacheField name="Date" numFmtId="164">
      <sharedItems containsDate="1" containsString="0" containsBlank="1">
        <d v="2026-05-12T00:00:00Z"/>
        <d v="2026-04-29T00:00:00Z"/>
        <d v="2026-05-13T00:00:00Z"/>
        <d v="2026-05-14T00:00:00Z"/>
        <d v="2026-05-15T00:00:00Z"/>
        <d v="2026-05-18T00:00:00Z"/>
        <d v="2026-05-19T00:00:00Z"/>
        <d v="2026-05-20T00:00:00Z"/>
        <m/>
      </sharedItems>
    </cacheField>
    <cacheField name="External Case ID" numFmtId="49">
      <sharedItems containsBlank="1">
        <s v="661630#1"/>
        <s v="3405988#1"/>
        <s v="1562762#1"/>
        <s v="70045#4"/>
        <s v="1044365#1"/>
        <s v="3893313#1"/>
        <s v="966388#1"/>
        <s v="1695529#1"/>
        <s v="4375210#1"/>
        <s v="1796719#1"/>
        <s v="308482#1"/>
        <s v="1495617#1"/>
        <s v="2951413#1"/>
        <s v="1071255#1"/>
        <s v="557607#1"/>
        <s v="564760#1"/>
        <s v="2514461#1"/>
        <s v="3443870#1"/>
        <s v="1328219#1"/>
        <s v="928101#1"/>
        <s v="1530425#1"/>
        <s v="798575#1"/>
        <s v="533601#1"/>
        <s v="2217248#1"/>
        <s v="1911888#1"/>
        <s v="798041#1"/>
        <s v="1287738#1"/>
        <s v="611209#1"/>
        <s v="860712#2"/>
        <s v="958774#1&#10;"/>
        <s v="1762714#1"/>
        <s v="936841#1"/>
        <s v="686798#2&#10;"/>
        <s v="3435559#2 "/>
        <s v="2954270#1"/>
        <s v="918931#1"/>
        <s v="1002843#1"/>
        <s v="4332769#1"/>
        <s v="1144660#1"/>
        <s v="913800#1"/>
        <s v="2131479#1"/>
        <s v="2077279#1"/>
        <s v="3567981#1"/>
        <s v="676830#1"/>
        <s v="1196126#1"/>
        <s v="547175#1"/>
        <s v="1746298#1"/>
        <s v="368221#1"/>
        <s v="809221#1 &#10;"/>
        <s v="2333441#1&#10;"/>
        <s v="1762273#1"/>
        <s v="1325131#1"/>
        <s v="1430127#1"/>
        <s v="2294943#1"/>
        <s v="522329#1"/>
        <s v="1971606#1"/>
        <s v="1872238#1"/>
        <s v="576328#1"/>
        <s v="4372499#1"/>
        <s v="530631#1"/>
        <s v="885905#1"/>
        <s v="1348902#1&#10;"/>
        <s v="527291#1&#10;"/>
        <s v="562476#1&#10;"/>
        <s v="665815#3&#10;"/>
        <s v="1986700#1"/>
        <s v="4393790#1"/>
        <s v="922168#1"/>
        <s v="2267473#1&#10;"/>
        <m/>
        <s v="1262563#1"/>
      </sharedItems>
    </cacheField>
    <cacheField name="Case Name" numFmtId="49">
      <sharedItems containsBlank="1">
        <s v="carlosk Arroyo Landero"/>
        <s v="AmericaNet"/>
        <s v="Tangente Arquitectura Local"/>
        <s v="Herramientas Y Sist. Computo S.A."/>
        <s v="Puntoasterisco, S.C."/>
        <s v="Accordecoracion"/>
        <s v="yersan.com"/>
        <s v="Enko Arquitectura"/>
        <s v="Merino Group"/>
        <s v="Indéa Capital Partners"/>
        <s v="NaturalFilms"/>
        <s v="Adarga Consultores en Seguros"/>
        <s v="Cesar Fernendo Rosales Juseppe"/>
        <s v="Soluciones Conarq"/>
        <s v="Planlife Edificaciones"/>
        <s v="Wesdap"/>
        <s v="Empire Technologies"/>
        <s v="Caldero"/>
        <s v="Cendcom"/>
        <s v="Modulac Servicios S.A. de C.V"/>
        <s v="Idea Arquitectura"/>
        <s v="Switch It MX"/>
        <s v="Avon de COsta Rica"/>
        <s v="Posco De Mexico Sa De Cv"/>
        <s v="Florencio Hernandez Martinez"/>
        <s v="Servicios Gala, S.A. de C.V."/>
        <s v="Garnier BBDO"/>
        <s v="Corpinto"/>
        <s v="Corporativo A I A"/>
        <s v="Ubiksa"/>
        <s v="Tracmex Maquinaria"/>
        <s v="Diamondelectronics"/>
        <s v="Guisa Construcciones&#10;"/>
        <s v="Omesa"/>
        <s v="IRSAMÉXICO S.A."/>
        <s v="SUR Desarrollos"/>
        <s v="Oiko"/>
        <s v="Sdemx"/>
        <s v="Diego Cavazos de Lira"/>
        <s v="Hidrotec, S.A. De C.V."/>
        <s v="Merrod Constucciones"/>
        <s v="Pedro Davila"/>
        <s v="WINDSTAR LPG INC"/>
        <s v="Aredsa"/>
        <s v="Ghio Arquitectos"/>
        <s v="FTM Sourcing S.A. de C.V."/>
        <s v="MARVAL AVALÚOS"/>
        <s v="Inverplus S.A. De C.V."/>
        <s v="Ingeniería Consultoría en Obras y Proyectos S.A. de C.V."/>
        <s v="Arte y Técnica en Construcción"/>
        <s v="MAD Living"/>
        <s v="Multifrio"/>
        <s v="Aisa Millenium"/>
        <s v="Living contemporary"/>
        <s v="Hargamand"/>
        <s v="Boardwalk Realty Puerto Vallarta"/>
        <s v="Construcciones FA S.A de C.V"/>
        <s v="Taller Aragones / Miguel Angel Aragones"/>
        <s v="Cromaviz"/>
        <s v="Quadrant Alternative"/>
        <s v="Elevadores Altius S.A. de C.V."/>
        <s v="David Masis Arquitectura&#10;"/>
        <s v="Tegramedical&#10;"/>
        <s v="Colegio De Abogados&#10;"/>
        <s v="Agua Buena&#10;"/>
        <s v="Dompeingenieria"/>
        <s v="Reddmx"/>
        <s v="QDI"/>
        <s v="Aeme"/>
        <m/>
        <s v="NEUBOX"/>
      </sharedItems>
    </cacheField>
    <cacheField name="Country" numFmtId="0">
      <sharedItems containsBlank="1">
        <s v="Mexico"/>
        <m/>
        <s v="Costa Rica"/>
        <s v="Guatemala"/>
      </sharedItems>
    </cacheField>
    <cacheField name="Investigator" numFmtId="0">
      <sharedItems containsBlank="1">
        <s v="Noel"/>
        <s v="Francisco"/>
        <s v="Alexis"/>
        <s v="Clara"/>
        <s v="Aegis/Mariadelaida"/>
        <s v="Aegis/Noel"/>
        <s v="Luis"/>
        <m/>
      </sharedItems>
    </cacheField>
    <cacheField name="QA Notes" numFmtId="0">
      <sharedItems containsBlank="1">
        <m/>
        <s v="Disqualified (Contact Profiling)"/>
        <s v="Disqualified (data)"/>
        <s v="No Case notes"/>
        <s v="Wrong wntity name, changed name to correct name"/>
        <s v="The Wi-Fi location at the company's address is not present in recent events.  Username relation to the entity could not be validated. &#10;"/>
        <s v="No approvable machine with the last event since 2023."/>
        <s v="Correct case found for approved machine. MAchine was trasnferred "/>
        <s v="No machine with last event 2023+ approved. Rejected."/>
        <s v="Sent to add contact information and links "/>
        <s v="Case disqualified, not enough data or information to associate machine with entity"/>
        <s v="Case Rejected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0" sheet="May"/>
  </cacheSource>
  <cacheFields>
    <cacheField name="Date" numFmtId="164">
      <sharedItems containsDate="1" containsString="0" containsBlank="1">
        <d v="2026-05-12T00:00:00Z"/>
        <d v="2026-05-11T00:00:00Z"/>
        <m/>
        <d v="2026-05-13T00:00:00Z"/>
        <d v="2026-05-14T00:00:00Z"/>
        <d v="2026-05-15T00:00:00Z"/>
        <d v="2026-05-18T00:00:00Z"/>
        <d v="2026-05-19T00:00:00Z"/>
        <d v="2026-05-20T00:00:00Z"/>
      </sharedItems>
    </cacheField>
    <cacheField name="External Case ID" numFmtId="49">
      <sharedItems containsBlank="1">
        <s v="3437653#1"/>
        <s v="2062222#1"/>
        <s v="1625290#1"/>
        <s v="1384662#2"/>
        <s v="714639#1, 1697445#1"/>
        <s v="557859#1"/>
        <s v="1986947#1"/>
        <s v="3454271#1"/>
        <s v="2333677#1"/>
        <s v="427655#1"/>
        <s v="946254#1"/>
        <s v="680686#1"/>
        <s v="298987#1"/>
        <s v="555918#1, 698500#1"/>
        <m/>
        <s v="1400546#1"/>
        <s v="1172611#1"/>
        <s v="4152842#1"/>
        <s v="236419#3"/>
        <s v="1414177#1, 662475#1"/>
        <s v="616479#1, 603517#1"/>
        <s v="1446547#1"/>
        <s v="419950#1"/>
        <s v="1077251#1"/>
        <s v="999630#1"/>
        <s v="764109#1"/>
        <s v="2379511#1"/>
        <s v="1192183#1"/>
        <s v="1179955#1"/>
        <s v="1089630#1"/>
        <s v="1613472#1"/>
        <s v="556135#1"/>
        <s v="2415354#1"/>
        <s v="2394267#1"/>
        <s v="1792740#1"/>
        <s v="1106753#1"/>
        <s v="496771#1"/>
        <s v="198171#4"/>
        <s v="1098874#1"/>
        <s v="1626663#1"/>
        <s v="1348726#1"/>
        <s v="2036655#1"/>
        <s v="1295465#1"/>
        <s v="717847#2, 4388900#1"/>
        <s v="1401722#1"/>
        <s v="2358132#1"/>
        <s v="801551#2"/>
        <s v="1946730#1"/>
        <s v="1209021#1"/>
        <s v="1098623#1"/>
        <s v="561873#1"/>
        <s v="4107571#1"/>
        <s v="1565130#1"/>
        <s v="1472422#1"/>
        <s v="1713475#1"/>
        <s v="3931889#1"/>
        <s v="938606#1"/>
        <s v="2274513#2"/>
        <s v="1430654#1"/>
        <s v="1870768#1"/>
        <s v="1101247#1"/>
        <s v="615138#1"/>
        <s v="919709#1"/>
        <s v="3142257#2"/>
        <s v="985072#2"/>
        <s v="565999#1"/>
        <s v="716880#2"/>
        <s v="1041233#1"/>
        <s v="874537#2"/>
        <s v="2473921#1"/>
        <s v="1090216#1"/>
        <s v="717957#2"/>
        <s v="4364542#1"/>
        <s v="RRP Ingeniería"/>
        <s v="4252437#1"/>
        <s v="4247538#1"/>
        <s v="4400953#1"/>
        <s v="3549797#1"/>
        <s v="3532613#1"/>
        <s v="1263876#1"/>
        <s v="4325879#1"/>
        <s v="4322598#1"/>
        <s v="3399902#1"/>
        <s v="2295731#3"/>
        <s v="1104241#1"/>
        <s v="1991622#2"/>
        <s v="1914580#1"/>
        <s v="1107440#1"/>
        <s v="2416403#1&#10;"/>
        <s v="1141644#1"/>
        <s v="1873286#1"/>
        <s v="909780#1"/>
        <s v="1417145#1"/>
        <s v="754933#1"/>
        <s v="1614259#1"/>
        <s v="3856617#1"/>
        <s v="1612597#1"/>
        <s v="887507#1"/>
        <s v="1694271#1"/>
        <s v="2954407#1"/>
        <s v="1474593#1"/>
        <s v="4419771#1"/>
        <s v="4339004#1"/>
        <s v="4307386#1"/>
        <s v="4324367#1"/>
        <s v="4330121#1"/>
        <s v="1091629#1 "/>
      </sharedItems>
    </cacheField>
    <cacheField name="Case Name" numFmtId="49">
      <sharedItems containsBlank="1">
        <s v="Ohioestudio"/>
        <s v="SURSOLAR"/>
        <s v="Daismol - Ingeniería &amp; Construcción"/>
        <s v="Suma Publicidad S.R.L."/>
        <s v="Minera SOTRAMI SA"/>
        <s v="LA JOYA"/>
        <s v="Decorbell Interiores E.I.R.L."/>
        <s v="Mifarma S.A.C."/>
        <s v="Ada Chafloque Cespedes"/>
        <s v="BOGA Visual"/>
        <s v="Estudios Hidrogeologicos GEOTOTAL SAS"/>
        <s v="Kospo Power Services ltda"/>
        <s v="Capitalizarme.com"/>
        <s v="Tecnoedil S.A. Constructora"/>
        <m/>
        <s v="Elements "/>
        <s v="Chimuasa"/>
        <s v="Coresam"/>
        <s v="Ememsa Empresa Metal Mecanica S.A."/>
        <s v="Puerto Montt"/>
        <s v="VStudios 3D "/>
        <s v="ThemeFusion"/>
        <s v="Diarq (Dieguez Y CãA. Ltda.)"/>
        <s v="PAISAJE VIVO"/>
        <s v="Square Constructores Y Consultores Sac"/>
        <s v="Coasin"/>
        <s v="Constructora Aconcagua ltda."/>
        <s v="Forero Conde y Cía. Ltda."/>
        <s v="Francisco Javier Lazcano Burgos"/>
        <s v="Constructora e inversiones lafken ltda"/>
        <s v="Andrea Boudeguer Simonetti"/>
        <s v="Igarreta S.A.C.I."/>
        <s v="Greenyellow"/>
        <s v="Calitte"/>
        <s v="Shp"/>
        <s v="La Venturosa"/>
        <s v="Menorca Lotes"/>
        <s v="Heap Leaching Consulting SAC"/>
        <s v="Fiambres Lario"/>
        <s v="3dadvancedstudio"/>
        <s v="Universidad de AysÃ©n"/>
        <s v="Ciampagna &amp; Asociados S.A."/>
        <s v="GEOTOTAL AMBIENTAL"/>
        <s v="Universidad Pedro de Valdivia"/>
        <s v="Consuegrasantos"/>
        <s v="SC arquitectos"/>
        <s v="MEPS Consultores"/>
        <s v="La Nueva Metropol Sociedad Anonima De Transporte Automotor Comercial E Industrial"/>
        <s v="Capco Srl"/>
        <s v="Rodriguez Rolfi Francisco"/>
        <s v="Alonso Humberto Santiago"/>
        <s v="Cuerpo De Bomberos De Santiago"/>
        <s v="Ofaarquitectos"/>
        <s v="Inducascos"/>
        <s v="MUEBLES TIERRA"/>
        <s v="Deteco"/>
        <s v="Plain Diseno Y Produccion Limitada"/>
        <s v="Serpet JR Y CIA S.A.S."/>
        <s v="Lar Placas y Maderas"/>
        <s v="RVO"/>
        <s v="Arturo Prat University"/>
        <s v="AutomatizaciÃ³n de procesos industriales"/>
        <s v="Upsa"/>
        <s v="Arquimed Educación"/>
        <s v="CHILEMAT"/>
        <s v="Redcarozzi"/>
        <s v="Grupo FCAB"/>
        <s v="Pablo Andres Letelier Swinburn"/>
        <s v="Orengo y Asociados"/>
        <s v="Ciardi"/>
        <s v="Crosetto Ingeniería SA"/>
        <s v="IDE Business School"/>
        <s v="Icomallas "/>
        <s v="RRP Ingeniería"/>
        <s v="Mrenovables"/>
        <s v="Bioximad"/>
        <s v="Arquitecturaymobiliario"/>
        <s v="Adecuo"/>
        <s v="Giuseppelozano"/>
        <s v="Rodenstock Chile S.A."/>
        <s v="Almaarquitectos"/>
        <s v="Exponerarquitectura"/>
        <s v="Gruposidec"/>
        <s v="Orlando Gabriel Gadea"/>
        <s v="Smart Fit Colombia"/>
        <s v="ILTEC"/>
        <s v="Ezgo S.A."/>
        <s v="Increxa"/>
        <s v="s.g natclar s.a.c"/>
        <s v="Devannaarquitectura"/>
        <s v="OrangeFresh Argentina"/>
        <s v="Urbanova"/>
        <s v="Transsa Consultores Inmobiliarios"/>
        <s v="Medialab Teilhard de Chardin JS - Colegio San Ignacio El Bosque"/>
        <s v="Adquisiciones Y Servicios Empresariales S.A"/>
        <s v="Factotal S.A"/>
        <s v="Teknochile Limitada (TEKNOCHILE LIMITADA)"/>
        <s v="Bright Star Chile"/>
        <s v="Derco"/>
        <s v="House Fuegia SRL"/>
        <s v="Capex S A"/>
        <s v="Navasynavas"/>
        <s v="Arquitecturaabierta"/>
        <s v="Contrafuerte"/>
        <s v="Johannaortiz"/>
        <s v="TISSINI"/>
        <s v="Rodenstock"/>
      </sharedItems>
    </cacheField>
    <cacheField name="Country" numFmtId="0">
      <sharedItems containsBlank="1">
        <m/>
        <s v="Peru"/>
        <s v="Ecuador"/>
        <s v="Colombia"/>
        <s v="Chile"/>
        <s v="Paraguay"/>
        <s v="Argentina"/>
        <s v="Bolivia"/>
        <s v="Uruguay"/>
      </sharedItems>
    </cacheField>
    <cacheField name="Investigator" numFmtId="0">
      <sharedItems containsBlank="1">
        <s v="Rafael"/>
        <s v="Eduardo"/>
        <s v="Luis"/>
        <s v="Mariadelaida"/>
        <s v="Daniela"/>
        <m/>
        <s v="Enrique"/>
      </sharedItems>
    </cacheField>
    <cacheField name="QA Notes" numFmtId="49">
      <sharedItems containsBlank="1">
        <s v="Disqualified (Data)"/>
        <s v="Disqualified (Data) "/>
        <m/>
        <s v="Kasznar"/>
        <s v="Multiple case."/>
        <s v="High potential."/>
        <s v="Multinational Organization"/>
        <s v="High value. Found two additional cases related to the entity."/>
        <s v="The case is related to case 946254#1, which corresponds to the company activities in Colombia. "/>
        <s v="Additional case found during QA. Review required"/>
        <s v="Multiple cases. Case ID 565999#1.&#10;There is a previous entity related to this company; it has no case link to it, but it has a revenue opportunity. Entity name: Redcarozzi. Status Closed - Not Won (Lost). Effective Date 2022-12-26."/>
        <s v="Wrong company profiling."/>
        <s v="There is another case related to the entity. Case ID 662317#1 &#10;"/>
        <s v="Case disqualified, not enough data or information to associate the machine with the entity"/>
        <s v="Case disqualified, not enough data or information to associate the machine with the entity "/>
        <s v="There is another case related to the entity. Case ID 1679817#1. It was already engaged. Status won. Effective date: 2025-05-09. New unlicensed events after the effective date."/>
        <s v="We could not validate the physical presence of the company in Colombia.  "/>
        <s v="Uruguay subsidiary for Rodenstock. The Chile case is also available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0" sheet="May"/>
  </cacheSource>
  <cacheFields>
    <cacheField name="Date" numFmtId="164">
      <sharedItems containsDate="1" containsString="0" containsBlank="1">
        <d v="2026-05-21T00:00:00Z"/>
        <d v="2026-05-22T00:00:00Z"/>
        <d v="2026-05-25T00:00:00Z"/>
        <d v="2026-05-26T00:00:00Z"/>
        <d v="2026-05-27T00:00:00Z"/>
        <m/>
      </sharedItems>
    </cacheField>
    <cacheField name="External Case ID" numFmtId="49">
      <sharedItems containsBlank="1">
        <s v="4015529#1"/>
        <s v="1013337#1"/>
        <s v="1563144#1"/>
        <s v="4192144#1"/>
        <s v="303110#1"/>
        <s v="554427#1"/>
        <s v="693667#1"/>
        <s v="2490966#1"/>
        <s v="1463031#1"/>
        <s v="1826525#1"/>
        <s v="572792#1"/>
        <s v="957874#1, 711207#1"/>
        <s v="1897145#1"/>
        <s v="4370386#1"/>
        <s v="685483#2"/>
        <s v="1419090#1"/>
        <s v="2333981#1"/>
        <s v="2463451#1"/>
        <s v="367105#1"/>
        <s v="4447922#1"/>
        <s v="4417775#1"/>
        <s v="4506244#1"/>
        <s v="4519216#1"/>
        <s v="4511902#1"/>
        <s v="4521612#1"/>
        <s v="4516336#1"/>
        <s v="4502261#1"/>
        <s v="2954709#1"/>
        <s v="3444630#1"/>
        <s v="4332070#1"/>
        <s v="1828383#1"/>
        <s v="698153#1"/>
        <s v="1110862#2"/>
        <s v="734794#1"/>
        <s v="572431#2"/>
        <s v="4398540#1"/>
        <s v="4413372#1"/>
        <s v="4367616#1"/>
        <s v="1714244#1"/>
        <s v="4386540#1"/>
        <s v="4480323#1"/>
        <s v="4415862#1"/>
        <s v="4365766#1"/>
        <s v="4411719#1"/>
        <s v="1429799#1"/>
        <s v="4343306#1"/>
        <s v="3400649#1"/>
        <s v="4323528#1"/>
        <s v="4323094#1"/>
        <s v="2922527#1"/>
        <s v="2920516#1"/>
        <s v="2074292#1"/>
        <s v="1961037#1"/>
        <s v="4531348#1"/>
        <s v="4530940#1"/>
        <s v="4530203#1"/>
        <s v="4443641#1"/>
        <s v="1827212#1"/>
        <s v="941326#1"/>
        <s v="4530302#1"/>
        <s v="594612#1"/>
        <m/>
      </sharedItems>
    </cacheField>
    <cacheField name="Case Name" numFmtId="49">
      <sharedItems containsBlank="1">
        <s v="Indutex"/>
        <s v="Brenntag El Salvador S.A.De C.V."/>
        <s v="Jaime Martinez Dominguez"/>
        <s v="Cospersv"/>
        <s v="iCorp Mexico"/>
        <s v="ALB Energia S.C."/>
        <s v="Pinnacle Properties Puerto Vallarta"/>
        <s v="Roberto Lara Hernandez"/>
        <s v="Nextia consultoría y obras"/>
        <s v="maxiled de occidente s de rl de cv"/>
        <s v="Agave Arquitectos"/>
        <s v="Jesus Alfonso Espinoza"/>
        <s v="Richam"/>
        <s v="Menro"/>
        <s v="Estudios y Supervision del Sureste ESSSA"/>
        <s v="Kitchenlabs"/>
        <s v="Costquim"/>
        <s v="Adnmexa"/>
        <s v="Victoria Pasten"/>
        <s v="Crearquitectos"/>
        <s v="Gepesamx"/>
        <s v="F3rr1nd"/>
        <s v="Garcaps"/>
        <s v="Ambakiti"/>
        <s v="Kuzapark"/>
        <s v="Proyectomuseo"/>
        <s v="Proconman"/>
        <s v="KEY Soluciones de Limpieza Guatemala"/>
        <s v="Gpoangular"/>
        <s v="Glass Mountain BPO"/>
        <s v="Kumaru"/>
        <s v="Hutchinsonsealmexico"/>
        <s v="Divemex"/>
        <s v="Persianas y Pisos Luigi"/>
        <s v="MEPROSA Construcciones, S.A. de C.V."/>
        <s v="Aznusi"/>
        <s v="Findep"/>
        <s v="Casaflorea"/>
        <s v="RMV"/>
        <s v="Supercocinasguatemala"/>
        <s v="Creativelatam"/>
        <s v="Proyectoscordillera"/>
        <s v="Serviciosq"/>
        <s v="Sgt"/>
        <s v="Mueblesazof"/>
        <s v="SABOR MANÍ"/>
        <s v="Thisisown"/>
        <s v="Scr01"/>
        <s v="Workshop 44"/>
        <s v="Inmobiliariacerrodelasilla"/>
        <s v="Invierte Solar - Paneles Solares en Quintana Roo"/>
        <s v="La Sultana SALDOS 36"/>
        <s v="Pro Green Irrigation"/>
        <s v="Angelesleon"/>
        <s v="Avcs"/>
        <s v="Sistemasglobal"/>
        <s v="Calpasv"/>
        <s v="Grupospetro"/>
        <s v="Peterborough Youth Soccer Club"/>
        <s v="Crpglobal"/>
        <s v="Edifikconstrucciones&#10;"/>
        <s v="Inversiones Mobilare"/>
        <m/>
      </sharedItems>
    </cacheField>
    <cacheField name="Country" numFmtId="0">
      <sharedItems containsBlank="1">
        <s v="Guatemala"/>
        <s v="Mexico"/>
        <s v="El Salvador"/>
        <m/>
        <s v="Costa Rica"/>
        <s v="Nicaragua"/>
      </sharedItems>
    </cacheField>
    <cacheField name="Investigator" numFmtId="0">
      <sharedItems containsBlank="1">
        <s v="Clara"/>
        <s v="Luis"/>
        <s v="Alexis"/>
        <s v="Noel"/>
        <s v="Francisco"/>
        <s v="Mariadelaida"/>
        <s v="Rafael"/>
        <s v="Enrique"/>
        <s v="Maria Celeste"/>
        <m/>
      </sharedItems>
    </cacheField>
    <cacheField name="QA Notes" numFmtId="0">
      <sharedItems containsBlank="1">
        <m/>
        <s v="No approved machine with last event since 2023. "/>
        <s v="Recent events show no relation to the entity as they occur in a different city and show username Jose Luis which could not be linked to the entity. &#10;"/>
        <s v="Case disqualified, not enough data or information to associate the machine with the entity. "/>
        <s v="Disqualified due to a lack of recent events associated with the company."/>
        <s v="This entity is already in an engagement process."/>
        <s v="This entity was already engaged. The status will be checked to see if it can be relaunched. "/>
        <s v="This entity relates to Meprosa Mecanizaciones y Proyectos S.A. de C.V (Case ID 604860#1). That case was exhausted. They belong to the same business group. That case has new events and high value.  "/>
        <s v="Case disqualified, not enough data or information to associate machine with entity"/>
        <s v="Rejected due lack of information"/>
      </sharedItems>
    </cacheField>
    <cacheField name="QA'd" numFmtId="0">
      <sharedItems containsBlank="1">
        <b v="1"/>
        <b v="0"/>
        <m/>
      </sharedItems>
    </cacheField>
  </cacheFields>
</pivotCacheDefinition>
</file>

<file path=xl/pivotCache/pivotCacheDefinition2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8" sheet="May"/>
  </cacheSource>
  <cacheFields>
    <cacheField name="Date" numFmtId="164">
      <sharedItems containsDate="1" containsString="0" containsBlank="1">
        <d v="2026-05-20T00:00:00Z"/>
        <d v="2026-05-21T00:00:00Z"/>
        <d v="2026-05-22T00:00:00Z"/>
        <d v="2026-05-25T00:00:00Z"/>
        <m/>
      </sharedItems>
    </cacheField>
    <cacheField name="External Case ID" numFmtId="49">
      <sharedItems containsBlank="1">
        <s v="4427081#1"/>
        <s v="4400955#1"/>
        <s v="4414433#1"/>
        <s v="3048872#1"/>
        <s v="4529628#1"/>
        <s v="4529677#1"/>
        <s v="4516554#1"/>
        <s v="4448375#1"/>
        <s v="1580675#1"/>
        <s v="1255935#1"/>
        <s v="1124609#1"/>
        <s v="1108158#1"/>
        <s v="2454457#1"/>
        <s v="4449088#1"/>
        <s v="3403196#1"/>
        <s v="4448281#1"/>
        <s v="2022243#1"/>
        <s v="4447817#1"/>
        <s v="2953675#1"/>
        <s v="3257020#1"/>
        <s v="3255722#1"/>
        <s v="4364752#1"/>
        <s v="1103820#1"/>
        <s v="2279858#1"/>
        <s v="3052575#1"/>
        <s v="3455175#1"/>
        <s v="4383940#1"/>
        <s v="178061#1"/>
        <s v="3879113#1"/>
        <s v="600004#1"/>
        <s v="4319597#1"/>
        <s v="3896055#1"/>
        <s v="4383654#1"/>
        <s v="4388418#1"/>
        <s v="68880#3"/>
        <s v="4320240#1"/>
        <s v="3861555#1"/>
        <s v="4439780#1"/>
        <s v="4435198#1"/>
        <s v="4179043#1"/>
        <s v="4519182#1"/>
        <s v="4519568#1"/>
        <s v="4515167#1"/>
        <s v="4382970#1"/>
        <s v="4410743#1"/>
        <s v="289849#2"/>
        <s v="455622#1"/>
        <s v="4315900#1 "/>
        <s v="4458604#1"/>
        <m/>
      </sharedItems>
    </cacheField>
    <cacheField name="Case Name" numFmtId="49">
      <sharedItems containsBlank="1">
        <s v="Rta"/>
        <s v="Moreraconstrucciones"/>
        <s v="Lamicolorvalle"/>
        <s v="Vochoarq"/>
        <s v="Magromer"/>
        <s v="Panamer"/>
        <s v="Olivaresarqdesign"/>
        <s v="Miguelllao"/>
        <s v="Boletin Laboral Ediciones Ltda."/>
        <s v="Altos de Araguaney"/>
        <s v="Edificio Workennedy S.A."/>
        <s v="Condominio los Olivos de MaipÃº"/>
        <s v="Orsini Mariano Hernan"/>
        <s v="SUMAK Ingeniería"/>
        <s v="Zatecsf"/>
        <s v="Oscarlopez"/>
        <s v="OSMO Service Argentina"/>
        <s v="Testori S.R.L."/>
        <s v="Florencia Moreno Cisternas"/>
        <s v="Vidrios Arango."/>
        <s v="crecerweb"/>
        <s v="Powerchinasolar"/>
        <s v="Isoarquitectura"/>
        <s v="Imp International Global Trading Ltda"/>
        <s v="Juan Pablo Sepulveda Oberleiter"/>
        <s v="Maestranzaverco"/>
        <s v="Insidebay"/>
        <s v="Raveconstrucciones"/>
        <s v="Butik109"/>
        <s v="Noviasyeventos"/>
        <s v="Bremymg Ltda"/>
        <s v="Intuitodis"/>
        <s v="Recintoconstructora"/>
        <s v="Mad"/>
        <s v="Destileria Argentina De Petroleo Sa (Dapsa)"/>
        <s v="Avicolasantaana"/>
        <s v="PIROPLAST"/>
        <s v="Hagraf"/>
        <s v="Bloomcolombia"/>
        <s v="Proyectos Visibles S.A.S"/>
        <s v="Jgingenierias"/>
        <s v="Papelesnacionales"/>
        <s v="Eliteingenieros"/>
        <s v="Brutarquitectura"/>
        <s v="Metalcivil"/>
        <s v="Ingenio Construcciones &amp; Consultorias S.A.S."/>
        <s v="Sudproducciones"/>
        <s v="Amr"/>
        <s v="Williamthomsoninternacional"/>
        <m/>
      </sharedItems>
    </cacheField>
    <cacheField name="Country" numFmtId="0">
      <sharedItems containsBlank="1">
        <s v="Colombia"/>
        <s v="Argentina"/>
        <s v="Chile"/>
        <s v="Ecuador"/>
        <m/>
      </sharedItems>
    </cacheField>
    <cacheField name="Investigator" numFmtId="0">
      <sharedItems containsBlank="1">
        <s v="Mariadelaida"/>
        <s v="Enrique"/>
        <s v="Rafael"/>
        <s v="Luis"/>
        <m/>
      </sharedItems>
    </cacheField>
    <cacheField name="QA Notes" numFmtId="0">
      <sharedItems containsBlank="1">
        <m/>
        <s v="Case disqualified, not enough data or information to associate the machine with the entity"/>
        <s v="Case disqualified, recent events do not show evidence related to the target entity."/>
        <s v="Additional cases related to the entity have to be reviewed: 449086#1 and 3895815#1"/>
        <s v="The most recent event with evidence related to the entity is from 2019."/>
        <s v="Case disqualified, not enough data or information to associate the machine with the entity. &#10;There is another case related to this entity. Case ID 2465410#1."/>
        <s v="Target entity is a non profit organization."/>
      </sharedItems>
    </cacheField>
    <cacheField name="QA'd" numFmtId="0">
      <sharedItems containsBlank="1">
        <b v="1"/>
        <m/>
      </sharedItems>
    </cacheField>
  </cacheFields>
</pivotCacheDefinition>
</file>

<file path=xl/pivotCache/pivotCacheDefinition2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2" sheet="May"/>
  </cacheSource>
  <cacheFields>
    <cacheField name="Date" numFmtId="164">
      <sharedItems containsDate="1" containsString="0" containsBlank="1">
        <d v="2026-05-26T00:00:00Z"/>
        <d v="2026-05-27T00:00:00Z"/>
        <d v="2026-05-28T00:00:00Z"/>
        <d v="2026-05-29T00:00:00Z"/>
        <m/>
      </sharedItems>
    </cacheField>
    <cacheField name="External Case ID" numFmtId="49">
      <sharedItems containsBlank="1">
        <s v="3868839#1"/>
        <s v="4373005#1"/>
        <s v="4360904#1"/>
        <s v="3518866#1"/>
        <s v="1645237#1"/>
        <s v="4454629#1 "/>
        <s v="1873215#1"/>
        <s v="3896252#1"/>
        <s v="1625685#1 "/>
        <s v="1497637#1"/>
        <s v="1692364#1"/>
        <s v="1266392#1"/>
        <s v="3473025#1"/>
        <s v="1656922#1"/>
        <s v="3476649#1"/>
        <s v="1461456#1"/>
        <s v="2078623#1"/>
        <s v="2294958#1"/>
        <s v="4340547#1"/>
        <s v="3439401#1"/>
        <s v="4424119#1 "/>
        <s v="760397#1"/>
        <s v="4599740#1"/>
        <s v="1193869#1"/>
        <s v="4590727#1"/>
        <s v="1249732#1"/>
        <s v="3648129#2"/>
        <s v="1497782#1"/>
        <s v="2281091#1"/>
        <s v="2323484#1"/>
        <s v="4335647#1"/>
        <s v="4175441#1"/>
        <s v="2475108#1"/>
        <s v="1826880#1"/>
        <s v="1959834#1"/>
        <s v="1627767#1"/>
        <s v="1105197#1"/>
        <s v="4391592#1"/>
        <s v="885686#1"/>
        <s v="4389223#1"/>
        <s v="2380494#1"/>
        <s v="1416787#1"/>
        <s v="576329#1"/>
        <s v="4575789#1"/>
        <s v="3402446#1"/>
        <s v="4587538#1"/>
        <s v="4552311#1"/>
        <s v="1024601#1"/>
        <s v="903827#1"/>
        <s v="1140589#1"/>
        <s v="4610090#1&#10;"/>
        <s v="4588222#1"/>
        <s v="4567670#1"/>
        <m/>
      </sharedItems>
    </cacheField>
    <cacheField name="Case Name" numFmtId="49">
      <sharedItems containsBlank="1">
        <s v="Fulzer"/>
        <s v="Asevensa"/>
        <s v="Guavaservices"/>
        <s v="acromax dominicana"/>
        <s v="Luxurybi2re"/>
        <s v="Prk"/>
        <s v="Macshop SA de CV"/>
        <s v="Instrumet"/>
        <s v="Alejandra Rodriguez Jimenez"/>
        <s v="D1ES"/>
        <s v="Conuee"/>
        <s v="Arq&amp;Rest"/>
        <s v="Sorjic"/>
        <s v="Iaccom"/>
        <s v="MOE PANAMA Visual Merchandising Orgánico &amp;. Estructural ..."/>
        <s v="Metralum"/>
        <s v="Pgf Arquitectura"/>
        <s v="CarpinTecno"/>
        <s v="Equibal Panamá"/>
        <s v="Acerocyc"/>
        <s v="Cubic33group"/>
        <s v="DIPRO Innovation Design"/>
        <s v="Ventosarquitectos"/>
        <s v="Atento"/>
        <s v="Latrinidad"/>
        <s v="Cahsa"/>
        <s v="Callcom"/>
        <s v="Union Technologies"/>
        <s v="Urbimax"/>
        <s v="Andres Romero Lope"/>
        <s v="Pdcprelosa"/>
        <s v="Grupocpe"/>
        <s v="Diresa MX"/>
        <s v="Grupokelra"/>
        <s v="Juan Rogelio Cardenas"/>
        <s v="Armando Bonilla Cruz"/>
        <s v="Suma Internacional"/>
        <s v="Ccurity"/>
        <s v="Dume"/>
        <s v="Hersoalimentos"/>
        <s v="OficeMart"/>
        <s v="Mabs8009127N0"/>
        <s v="Alvaro Ramirez + Arquitectos"/>
        <s v="PMO El Salvador"/>
        <s v="Ibsolutionsmexico"/>
        <s v="Entornoarquitectura"/>
        <s v="So2"/>
        <s v="Edgar Armando Landois Serrano"/>
        <s v="Cuervo"/>
        <s v="Gruposolaire"/>
        <s v="Proporción Arq"/>
        <s v="Tmg"/>
        <s v="MAZ Soluciones"/>
        <m/>
      </sharedItems>
    </cacheField>
    <cacheField name="Country" numFmtId="0">
      <sharedItems containsBlank="1">
        <s v="Costa Rica"/>
        <s v="Dominican Republic"/>
        <m/>
        <s v="Mexico"/>
        <s v="Panama"/>
        <s v="Guatemala"/>
        <s v="Honduras"/>
        <s v="El Salvador"/>
      </sharedItems>
    </cacheField>
    <cacheField name="Investigator" numFmtId="0">
      <sharedItems containsBlank="1">
        <s v="Alexis"/>
        <s v="Luis"/>
        <s v="Francisco"/>
        <s v="Clara"/>
        <s v="Noel"/>
        <s v="Antonella"/>
        <s v="Maria Celeste"/>
        <m/>
      </sharedItems>
    </cacheField>
    <cacheField name="QA Notes" numFmtId="0">
      <sharedItems containsBlank="1">
        <m/>
        <s v="Case disqualified, not enough data or information to associate machine with entity"/>
        <s v="Entity changed to correct entity name"/>
        <s v="No hostname or username info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8" sheet="May"/>
  </cacheSource>
  <cacheFields>
    <cacheField name="Date" numFmtId="164">
      <sharedItems containsDate="1" containsString="0" containsBlank="1">
        <d v="2026-05-27T00:00:00Z"/>
        <d v="2026-05-28T00:00:00Z"/>
        <d v="2026-05-29T00:00:00Z"/>
        <m/>
      </sharedItems>
    </cacheField>
    <cacheField name="External Case ID" numFmtId="49">
      <sharedItems containsBlank="1">
        <s v="2063801#1 "/>
        <s v="441408#1"/>
        <s v="1545697#1"/>
        <s v="4569001#1"/>
        <s v="1412798#1"/>
        <s v="4440252#1"/>
        <s v="1150173#2"/>
        <s v="1037970#1"/>
        <s v="755586#1"/>
        <s v="562159#1"/>
        <s v="929957#1"/>
        <s v="1989605#2"/>
        <s v="1334623#2"/>
        <s v="4600843#1"/>
        <s v="4542491#1"/>
        <s v="4622156#1"/>
        <s v="4604263#1"/>
        <s v="2442948#1"/>
        <s v="4527079#1"/>
        <s v="796585#2"/>
        <s v="4548512#1"/>
        <s v="4196083#1"/>
        <s v="3890335#1"/>
        <s v="4342386#1"/>
        <s v="4298791#1"/>
        <s v="1359636#1"/>
        <s v="3267144#3"/>
        <s v="1173012#1"/>
        <s v="1568650#2"/>
        <s v="1936639#1"/>
        <s v="2984986#1"/>
        <s v="938126#1"/>
        <s v="1954161#2"/>
        <s v="1677334#1"/>
        <s v="2335220#1"/>
        <s v="336762#1"/>
        <s v="1091086#1"/>
        <s v="4601242#1"/>
        <s v="729104#1"/>
        <s v="4583990#1"/>
        <s v="4498544#1"/>
        <s v="4614340#1"/>
        <s v="4423154#1"/>
        <s v="4543231#1"/>
        <s v="4518541#1"/>
        <s v="4606666#1"/>
        <s v="4551304#1"/>
        <m/>
      </sharedItems>
    </cacheField>
    <cacheField name="Case Name" numFmtId="49">
      <sharedItems containsBlank="1">
        <s v="Cubic 33 Group - Perú"/>
        <s v="Ciemsa S.A."/>
        <s v="Koga Impact Lab"/>
        <s v="Aquaclean"/>
        <s v="Unjbg"/>
        <s v="Universidad Nacional Ciro Alegría"/>
        <s v="Ball Horticultural"/>
        <s v="Casino Puerto Santa Fe S.A."/>
        <s v="NKstudios"/>
        <s v="Uprosanluis"/>
        <s v="Tepsi"/>
        <s v="Laboratorios Roemmers"/>
        <s v="Profesionales Asociados LTDA"/>
        <s v="Kgbsas"/>
        <s v="Praderas del Valle Srl"/>
        <s v="Ahkbol"/>
        <s v="148celsiainternet"/>
        <s v="INSTITUTO POLITÉCNICO MODELO"/>
        <s v="Tiferet"/>
        <s v="Catholic University of Uruguay"/>
        <s v="Despromin"/>
        <s v="Larproyectos"/>
        <s v="Ambientes Funcionales S.R.L"/>
        <s v="VAPEU SRL. Empresa Constructora"/>
        <s v="Colamp"/>
        <s v="Ancla"/>
        <s v="Lasalleconocoto"/>
        <s v="Ersa"/>
        <s v="Corporacion Autonoma De Naria O"/>
        <s v="GRUPO AMPO. Lofts de Bahia Grande"/>
        <s v="Centro Aire"/>
        <s v="Sommier Center"/>
        <s v="Theos Group"/>
        <s v="equindeca"/>
        <s v="Kranec"/>
        <s v="Imprenta Mariscal Cia. Ltda."/>
        <s v="Studio K"/>
        <s v="Reactlab Import Cia. Ltda."/>
        <s v="Ucu"/>
        <s v="Ecosolarcolombia"/>
        <s v="Gentrackmasteri"/>
        <s v="Arce Arquitectos Limitada"/>
        <s v="Cientifica"/>
        <s v="Mqvconstrucciones"/>
        <s v="Armasarquitectura"/>
        <s v="Senave"/>
        <s v="Alfredo Sosa Martinez"/>
        <m/>
      </sharedItems>
    </cacheField>
    <cacheField name="Country" numFmtId="0">
      <sharedItems containsBlank="1">
        <s v="Peru"/>
        <s v="Uruguay"/>
        <s v="Paraguay"/>
        <m/>
        <s v="Colombia"/>
        <s v="Argentina"/>
        <s v="Bolivia"/>
        <s v="Chile"/>
        <s v="Ecuador"/>
      </sharedItems>
    </cacheField>
    <cacheField name="Investigator" numFmtId="0">
      <sharedItems containsBlank="1">
        <s v="Luis"/>
        <s v="Enrique"/>
        <s v="Mariadelaida"/>
        <s v="Rafael"/>
        <m/>
      </sharedItems>
    </cacheField>
    <cacheField name="QA Notes" numFmtId="0">
      <sharedItems containsBlank="1">
        <m/>
        <s v="Case disqualified, not enough data or information to associate the machine with the entity"/>
        <s v="Duplicate case found, sent to investigate as multiple case to expand"/>
        <s v="New case found, sent to investigate as multiple case to expand"/>
        <s v="Additional case for Universidad de Buenos Aires"/>
        <s v="Additional case identified. It has to be completed to launch the entity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3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0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9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0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0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8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2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3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8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2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4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_rels/pivotTable7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pivotTable1.xml><?xml version="1.0" encoding="utf-8"?>
<pivotTableDefinition xmlns="http://schemas.openxmlformats.org/spreadsheetml/2006/main" name="Summary-March" cacheId="0" dataCaption="" compact="0" compactData="0">
  <location ref="B2:C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2.xml><?xml version="1.0" encoding="utf-8"?>
<pivotTableDefinition xmlns="http://schemas.openxmlformats.org/spreadsheetml/2006/main" name="Summary-March 2" cacheId="0" dataCaption="" compact="0" compactData="0">
  <location ref="E2:F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3.xml><?xml version="1.0" encoding="utf-8"?>
<pivotTableDefinition xmlns="http://schemas.openxmlformats.org/spreadsheetml/2006/main" name="Summary-March 3" cacheId="1" dataCaption="" compact="0" compactData="0">
  <location ref="H2:I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4.xml><?xml version="1.0" encoding="utf-8"?>
<pivotTableDefinition xmlns="http://schemas.openxmlformats.org/spreadsheetml/2006/main" name="Summary-March 4" cacheId="1" dataCaption="" compact="0" compactData="0">
  <location ref="K2:L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5.xml><?xml version="1.0" encoding="utf-8"?>
<pivotTableDefinition xmlns="http://schemas.openxmlformats.org/spreadsheetml/2006/main" name="Summary-March 5" cacheId="2" dataCaption="" compact="0" compactData="0">
  <location ref="B22:C2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.xml><?xml version="1.0" encoding="utf-8"?>
<pivotTableDefinition xmlns="http://schemas.openxmlformats.org/spreadsheetml/2006/main" name="Summary-March 6" cacheId="2" dataCaption="" compact="0" compactData="0">
  <location ref="E22:F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5"/>
        <item x="3"/>
        <item x="4"/>
        <item x="1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.xml><?xml version="1.0" encoding="utf-8"?>
<pivotTableDefinition xmlns="http://schemas.openxmlformats.org/spreadsheetml/2006/main" name="Summary-March 7" cacheId="3" dataCaption="" compact="0" compactData="0">
  <location ref="H22:I2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1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8.xml><?xml version="1.0" encoding="utf-8"?>
<pivotTableDefinition xmlns="http://schemas.openxmlformats.org/spreadsheetml/2006/main" name="Summary-March 8" cacheId="3" dataCaption="" compact="0" compactData="0">
  <location ref="K22:L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axis="axisRow" dataField="1" compact="0" outline="0" multipleItemSelectionAllowed="1" showAll="0" sortType="ascending">
      <items>
        <item x="6"/>
        <item x="0"/>
        <item x="4"/>
        <item x="2"/>
        <item x="3"/>
        <item x="5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9.xml><?xml version="1.0" encoding="utf-8"?>
<pivotTableDefinition xmlns="http://schemas.openxmlformats.org/spreadsheetml/2006/main" name="Summary-March 9" cacheId="4" dataCaption="" compact="0" compactData="0">
  <location ref="B42:C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4"/>
        <item x="3"/>
        <item x="5"/>
        <item x="1"/>
        <item x="2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0.xml><?xml version="1.0" encoding="utf-8"?>
<pivotTableDefinition xmlns="http://schemas.openxmlformats.org/spreadsheetml/2006/main" name="Summary-March 10" cacheId="4" dataCaption="" compact="0" compactData="0">
  <location ref="E42:F5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axis="axisRow" dataField="1" compact="0" outline="0" multipleItemSelectionAllowed="1" showAll="0" sortType="ascending">
      <items>
        <item x="10"/>
        <item x="6"/>
        <item x="5"/>
        <item x="0"/>
        <item x="7"/>
        <item x="3"/>
        <item x="1"/>
        <item x="8"/>
        <item x="2"/>
        <item x="4"/>
        <item x="9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1.xml><?xml version="1.0" encoding="utf-8"?>
<pivotTableDefinition xmlns="http://schemas.openxmlformats.org/spreadsheetml/2006/main" name="Summary-March 11" cacheId="5" dataCaption="" compact="0" compactData="0">
  <location ref="H42:I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4"/>
        <item x="2"/>
        <item x="1"/>
        <item x="0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2.xml><?xml version="1.0" encoding="utf-8"?>
<pivotTableDefinition xmlns="http://schemas.openxmlformats.org/spreadsheetml/2006/main" name="Summary-March 12" cacheId="5" dataCaption="" compact="0" compactData="0">
  <location ref="K42:L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3"/>
        <item x="4"/>
        <item x="1"/>
        <item x="5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3.xml><?xml version="1.0" encoding="utf-8"?>
<pivotTableDefinition xmlns="http://schemas.openxmlformats.org/spreadsheetml/2006/main" name="Summary-March 13" cacheId="6" dataCaption="" compact="0" compactData="0">
  <location ref="B66:C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Investigator" axis="axisRow" dataField="1" compact="0" outline="0" multipleItemSelectionAllowed="1" showAll="0" sortType="ascending">
      <items>
        <item x="2"/>
        <item x="1"/>
        <item x="3"/>
        <item x="0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4.xml><?xml version="1.0" encoding="utf-8"?>
<pivotTableDefinition xmlns="http://schemas.openxmlformats.org/spreadsheetml/2006/main" name="Summary-March 14" cacheId="6" dataCaption="" compact="0" compactData="0">
  <location ref="E66:F7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8"/>
        <item x="7"/>
        <item x="9"/>
        <item x="10"/>
        <item x="1"/>
        <item x="3"/>
        <item x="4"/>
        <item x="2"/>
        <item x="0"/>
        <item x="5"/>
        <item x="1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5.xml><?xml version="1.0" encoding="utf-8"?>
<pivotTableDefinition xmlns="http://schemas.openxmlformats.org/spreadsheetml/2006/main" name="Summary-March 15" cacheId="7" dataCaption="" compact="0" compactData="0">
  <location ref="H66:I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6.xml><?xml version="1.0" encoding="utf-8"?>
<pivotTableDefinition xmlns="http://schemas.openxmlformats.org/spreadsheetml/2006/main" name="Summary-March 16" cacheId="7" dataCaption="" compact="0" compactData="0">
  <location ref="K66:L7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4"/>
        <item x="3"/>
        <item x="1"/>
        <item x="0"/>
        <item x="6"/>
        <item x="2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7.xml><?xml version="1.0" encoding="utf-8"?>
<pivotTableDefinition xmlns="http://schemas.openxmlformats.org/spreadsheetml/2006/main" name="Summary-April" cacheId="8" dataCaption="" compact="0" compactData="0">
  <location ref="B3:C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8.xml><?xml version="1.0" encoding="utf-8"?>
<pivotTableDefinition xmlns="http://schemas.openxmlformats.org/spreadsheetml/2006/main" name="Summary-April 2" cacheId="8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axis="axisRow" dataField="1" compact="0" outline="0" multipleItemSelectionAllowed="1" showAll="0" sortType="ascending">
      <items>
        <item x="9"/>
        <item x="5"/>
        <item x="3"/>
        <item x="0"/>
        <item x="8"/>
        <item x="6"/>
        <item x="4"/>
        <item x="1"/>
        <item x="7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9.xml><?xml version="1.0" encoding="utf-8"?>
<pivotTableDefinition xmlns="http://schemas.openxmlformats.org/spreadsheetml/2006/main" name="Summary-April 3" cacheId="9" dataCaption="" compact="0" compactData="0">
  <location ref="H3:I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0.xml><?xml version="1.0" encoding="utf-8"?>
<pivotTableDefinition xmlns="http://schemas.openxmlformats.org/spreadsheetml/2006/main" name="Summary-April 4" cacheId="9" dataCaption="" compact="0" compactData="0">
  <location ref="K3:L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dataField="1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1.xml><?xml version="1.0" encoding="utf-8"?>
<pivotTableDefinition xmlns="http://schemas.openxmlformats.org/spreadsheetml/2006/main" name="Summary-April 5" cacheId="8" dataCaption="" createdVersion="6" compact="0" compactData="0">
  <location ref="B25:C35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2.xml><?xml version="1.0" encoding="utf-8"?>
<pivotTableDefinition xmlns="http://schemas.openxmlformats.org/spreadsheetml/2006/main" name="Summary-April 6" cacheId="9" dataCaption="" createdVersion="6" compact="0" compactData="0">
  <location ref="H27:I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3.xml><?xml version="1.0" encoding="utf-8"?>
<pivotTableDefinition xmlns="http://schemas.openxmlformats.org/spreadsheetml/2006/main" name="Summary-April 7" cacheId="10" dataCaption="" compact="0" compactData="0">
  <location ref="B39:C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1"/>
        <item x="0"/>
        <item x="4"/>
        <item x="3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4.xml><?xml version="1.0" encoding="utf-8"?>
<pivotTableDefinition xmlns="http://schemas.openxmlformats.org/spreadsheetml/2006/main" name="Summary-April 8" cacheId="10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dataField="1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5.xml><?xml version="1.0" encoding="utf-8"?>
<pivotTableDefinition xmlns="http://schemas.openxmlformats.org/spreadsheetml/2006/main" name="Summary-April 9" cacheId="11" dataCaption="" compact="0" compactData="0">
  <location ref="H39:I4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ascending">
      <items>
        <item x="4"/>
        <item x="0"/>
        <item x="2"/>
        <item x="1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6.xml><?xml version="1.0" encoding="utf-8"?>
<pivotTableDefinition xmlns="http://schemas.openxmlformats.org/spreadsheetml/2006/main" name="Summary-April 10" cacheId="11" dataCaption="" compact="0" compactData="0">
  <location ref="K39:L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7.xml><?xml version="1.0" encoding="utf-8"?>
<pivotTableDefinition xmlns="http://schemas.openxmlformats.org/spreadsheetml/2006/main" name="Summary-April 11" cacheId="10" dataCaption="" createdVersion="6" compact="0" compactData="0">
  <location ref="E63:F73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8.xml><?xml version="1.0" encoding="utf-8"?>
<pivotTableDefinition xmlns="http://schemas.openxmlformats.org/spreadsheetml/2006/main" name="Summary-April 12" cacheId="11" dataCaption="" createdVersion="6" compact="0" compactData="0">
  <location ref="H63:I71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9.xml><?xml version="1.0" encoding="utf-8"?>
<pivotTableDefinition xmlns="http://schemas.openxmlformats.org/spreadsheetml/2006/main" name="Summary-April 13" cacheId="12" dataCaption="" compact="0" compactData="0">
  <location ref="B75:C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numFmtId="49" outline="0" multipleItemSelectionAllowed="1" showAll="0" sortType="ascending">
      <items>
        <item x="7"/>
        <item x="0"/>
        <item x="4"/>
        <item x="3"/>
        <item x="5"/>
        <item x="2"/>
        <item x="6"/>
        <item x="1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0.xml><?xml version="1.0" encoding="utf-8"?>
<pivotTableDefinition xmlns="http://schemas.openxmlformats.org/spreadsheetml/2006/main" name="Summary-April 14" cacheId="12" dataCaption="" compact="0" compactData="0">
  <location ref="E75:F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axis="axisRow" dataField="1" compact="0" outline="0" multipleItemSelectionAllowed="1" showAll="0" sortType="ascending">
      <items>
        <item x="6"/>
        <item x="5"/>
        <item x="7"/>
        <item x="3"/>
        <item x="2"/>
        <item x="4"/>
        <item x="0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1.xml><?xml version="1.0" encoding="utf-8"?>
<pivotTableDefinition xmlns="http://schemas.openxmlformats.org/spreadsheetml/2006/main" name="Summary-April 15" cacheId="13" dataCaption="" compact="0" compactData="0">
  <location ref="H75:I7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1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2.xml><?xml version="1.0" encoding="utf-8"?>
<pivotTableDefinition xmlns="http://schemas.openxmlformats.org/spreadsheetml/2006/main" name="Summary-April 16" cacheId="13" dataCaption="" compact="0" compactData="0">
  <location ref="K75:L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axis="axisRow" dataField="1" compact="0" outline="0" multipleItemSelectionAllowed="1" showAll="0" sortType="ascending">
      <items>
        <item x="4"/>
        <item x="0"/>
        <item x="3"/>
        <item x="2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3.xml><?xml version="1.0" encoding="utf-8"?>
<pivotTableDefinition xmlns="http://schemas.openxmlformats.org/spreadsheetml/2006/main" name="Summary-April 17" cacheId="14" dataCaption="" compact="0" compactData="0">
  <location ref="B111:C11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3"/>
        <item x="4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4.xml><?xml version="1.0" encoding="utf-8"?>
<pivotTableDefinition xmlns="http://schemas.openxmlformats.org/spreadsheetml/2006/main" name="Summary-April 18" cacheId="14" dataCaption="" compact="0" compactData="0">
  <location ref="E111:F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8"/>
        <item x="6"/>
        <item x="4"/>
        <item x="1"/>
        <item x="5"/>
        <item x="7"/>
        <item x="0"/>
        <item x="2"/>
        <item x="3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5.xml><?xml version="1.0" encoding="utf-8"?>
<pivotTableDefinition xmlns="http://schemas.openxmlformats.org/spreadsheetml/2006/main" name="Summary-April 19" cacheId="15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6.xml><?xml version="1.0" encoding="utf-8"?>
<pivotTableDefinition xmlns="http://schemas.openxmlformats.org/spreadsheetml/2006/main" name="Summary-April 20" cacheId="15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7.xml><?xml version="1.0" encoding="utf-8"?>
<pivotTableDefinition xmlns="http://schemas.openxmlformats.org/spreadsheetml/2006/main" name="Summary-May" cacheId="16" dataCaption="" compact="0" compactData="0">
  <location ref="B3:C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8.xml><?xml version="1.0" encoding="utf-8"?>
<pivotTableDefinition xmlns="http://schemas.openxmlformats.org/spreadsheetml/2006/main" name="Summary-May 2" cacheId="16" dataCaption="" compact="0" compactData="0">
  <location ref="E3:F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axis="axisRow" dataField="1" compact="0" outline="0" multipleItemSelectionAllowed="1" showAll="0" sortType="ascending">
      <items>
        <item x="8"/>
        <item x="1"/>
        <item x="6"/>
        <item x="2"/>
        <item x="3"/>
        <item x="5"/>
        <item x="0"/>
        <item x="4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9.xml><?xml version="1.0" encoding="utf-8"?>
<pivotTableDefinition xmlns="http://schemas.openxmlformats.org/spreadsheetml/2006/main" name="Summary-May 3" cacheId="17" dataCaption="" compact="0" compactData="0">
  <location ref="H3:I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0.xml><?xml version="1.0" encoding="utf-8"?>
<pivotTableDefinition xmlns="http://schemas.openxmlformats.org/spreadsheetml/2006/main" name="Summary-May 4" cacheId="17" dataCaption="" compact="0" compactData="0">
  <location ref="K3:L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1.xml><?xml version="1.0" encoding="utf-8"?>
<pivotTableDefinition xmlns="http://schemas.openxmlformats.org/spreadsheetml/2006/main" name="Summary-May 5" cacheId="16" dataCaption="" createdVersion="6" compact="0" compactData="0">
  <location ref="B25:C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2.xml><?xml version="1.0" encoding="utf-8"?>
<pivotTableDefinition xmlns="http://schemas.openxmlformats.org/spreadsheetml/2006/main" name="Summary-May 6" cacheId="17" dataCaption="" createdVersion="6" compact="0" compactData="0">
  <location ref="H27:I36" firstHeaderRow="0" firstDataRow="1" firstDataCol="0" rowPageCount="1" colPageCount="1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3.xml><?xml version="1.0" encoding="utf-8"?>
<pivotTableDefinition xmlns="http://schemas.openxmlformats.org/spreadsheetml/2006/main" name="Summary-May 7" cacheId="18" dataCaption="" compact="0" compactData="0">
  <location ref="B39:C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t="default"/>
      </items>
    </pivotField>
    <pivotField name="Investigator" axis="axisRow" dataField="1" compact="0" outline="0" multipleItemSelectionAllowed="1" showAll="0" sortType="ascending">
      <items>
        <item x="7"/>
        <item x="4"/>
        <item x="5"/>
        <item x="2"/>
        <item x="3"/>
        <item x="1"/>
        <item x="6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4.xml><?xml version="1.0" encoding="utf-8"?>
<pivotTableDefinition xmlns="http://schemas.openxmlformats.org/spreadsheetml/2006/main" name="Summary-May 8" cacheId="18" dataCaption="" compact="0" compactData="0">
  <location ref="E39:F4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dataField="1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5.xml><?xml version="1.0" encoding="utf-8"?>
<pivotTableDefinition xmlns="http://schemas.openxmlformats.org/spreadsheetml/2006/main" name="Summary-May 9" cacheId="19" dataCaption="" compact="0" compactData="0">
  <location ref="H39:I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4"/>
        <item x="1"/>
        <item x="6"/>
        <item x="2"/>
        <item x="3"/>
        <item x="0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6.xml><?xml version="1.0" encoding="utf-8"?>
<pivotTableDefinition xmlns="http://schemas.openxmlformats.org/spreadsheetml/2006/main" name="Summary-May 10" cacheId="19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dataField="1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7.xml><?xml version="1.0" encoding="utf-8"?>
<pivotTableDefinition xmlns="http://schemas.openxmlformats.org/spreadsheetml/2006/main" name="Summary-May 11" cacheId="18" dataCaption="" createdVersion="6" compact="0" compactData="0">
  <location ref="E63:F67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8.xml><?xml version="1.0" encoding="utf-8"?>
<pivotTableDefinition xmlns="http://schemas.openxmlformats.org/spreadsheetml/2006/main" name="Summary-May 12" cacheId="19" dataCaption="" createdVersion="6" compact="0" compactData="0">
  <location ref="H63:I70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9.xml><?xml version="1.0" encoding="utf-8"?>
<pivotTableDefinition xmlns="http://schemas.openxmlformats.org/spreadsheetml/2006/main" name="Summary-May 13" cacheId="20" dataCaption="" compact="0" compactData="0">
  <location ref="B75:C8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9"/>
        <item x="2"/>
        <item x="0"/>
        <item x="7"/>
        <item x="4"/>
        <item x="1"/>
        <item x="8"/>
        <item x="5"/>
        <item x="3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0.xml><?xml version="1.0" encoding="utf-8"?>
<pivotTableDefinition xmlns="http://schemas.openxmlformats.org/spreadsheetml/2006/main" name="Summary-May 14" cacheId="20" dataCaption="" compact="0" compactData="0">
  <location ref="E75:F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axis="axisRow" dataField="1" compact="0" outline="0" multipleItemSelectionAllowed="1" showAll="0" sortType="ascending">
      <items>
        <item x="3"/>
        <item x="4"/>
        <item x="2"/>
        <item x="0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1.xml><?xml version="1.0" encoding="utf-8"?>
<pivotTableDefinition xmlns="http://schemas.openxmlformats.org/spreadsheetml/2006/main" name="Summary-May 15" cacheId="21" dataCaption="" compact="0" compactData="0">
  <location ref="H75:I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3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2.xml><?xml version="1.0" encoding="utf-8"?>
<pivotTableDefinition xmlns="http://schemas.openxmlformats.org/spreadsheetml/2006/main" name="Summary-May 16" cacheId="21" dataCaption="" compact="0" compactData="0">
  <location ref="K75:L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axis="axisRow" dataField="1" compact="0" outline="0" multipleItemSelectionAllowed="1" showAll="0" sortType="ascending">
      <items>
        <item x="4"/>
        <item x="1"/>
        <item x="2"/>
        <item x="0"/>
        <item x="3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3.xml><?xml version="1.0" encoding="utf-8"?>
<pivotTableDefinition xmlns="http://schemas.openxmlformats.org/spreadsheetml/2006/main" name="Summary-May 17" cacheId="22" dataCaption="" compact="0" compactData="0">
  <location ref="B111:C11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ascending">
      <items>
        <item x="7"/>
        <item x="0"/>
        <item x="5"/>
        <item x="3"/>
        <item x="2"/>
        <item x="1"/>
        <item x="6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4.xml><?xml version="1.0" encoding="utf-8"?>
<pivotTableDefinition xmlns="http://schemas.openxmlformats.org/spreadsheetml/2006/main" name="Summary-May 18" cacheId="22" dataCaption="" compact="0" compactData="0">
  <location ref="E111:F11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t="default"/>
      </items>
    </pivotField>
    <pivotField name="Country" axis="axisRow" dataField="1" compact="0" outline="0" multipleItemSelectionAllowed="1" showAll="0" sortType="ascending">
      <items>
        <item x="2"/>
        <item x="0"/>
        <item x="1"/>
        <item x="7"/>
        <item x="5"/>
        <item x="6"/>
        <item x="3"/>
        <item x="4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5.xml><?xml version="1.0" encoding="utf-8"?>
<pivotTableDefinition xmlns="http://schemas.openxmlformats.org/spreadsheetml/2006/main" name="Summary-May 19" cacheId="23" dataCaption="" compact="0" compactData="0">
  <location ref="H111:I11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0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6.xml><?xml version="1.0" encoding="utf-8"?>
<pivotTableDefinition xmlns="http://schemas.openxmlformats.org/spreadsheetml/2006/main" name="Summary-May 20" cacheId="23" dataCaption="" compact="0" compactData="0">
  <location ref="K111:L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t="default"/>
      </items>
    </pivotField>
    <pivotField name="Country" axis="axisRow" dataField="1" compact="0" outline="0" multipleItemSelectionAllowed="1" showAll="0" sortType="ascending">
      <items>
        <item x="3"/>
        <item x="5"/>
        <item x="6"/>
        <item x="7"/>
        <item x="4"/>
        <item x="8"/>
        <item x="2"/>
        <item x="0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7.xml><?xml version="1.0" encoding="utf-8"?>
<pivotTableDefinition xmlns="http://schemas.openxmlformats.org/spreadsheetml/2006/main" name="Summary-June" cacheId="24" dataCaption="" compact="0" compactData="0">
  <location ref="B3:C4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descending">
      <items>
        <item x="0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8.xml><?xml version="1.0" encoding="utf-8"?>
<pivotTableDefinition xmlns="http://schemas.openxmlformats.org/spreadsheetml/2006/main" name="Summary-June 2" cacheId="24" dataCaption="" compact="0" compactData="0">
  <location ref="E3:F4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9.xml><?xml version="1.0" encoding="utf-8"?>
<pivotTableDefinition xmlns="http://schemas.openxmlformats.org/spreadsheetml/2006/main" name="Summary-June 3" cacheId="25" dataCaption="" compact="0" compactData="0">
  <location ref="H3:I4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descending">
      <items>
        <item x="0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0.xml><?xml version="1.0" encoding="utf-8"?>
<pivotTableDefinition xmlns="http://schemas.openxmlformats.org/spreadsheetml/2006/main" name="Summary-June 4" cacheId="25" dataCaption="" compact="0" compactData="0">
  <location ref="K3:L4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1.xml><?xml version="1.0" encoding="utf-8"?>
<pivotTableDefinition xmlns="http://schemas.openxmlformats.org/spreadsheetml/2006/main" name="Summary-June 5" cacheId="26" dataCaption="" compact="0" compactData="0">
  <location ref="B39:C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2.xml><?xml version="1.0" encoding="utf-8"?>
<pivotTableDefinition xmlns="http://schemas.openxmlformats.org/spreadsheetml/2006/main" name="Summary-June 6" cacheId="26" dataCaption="" compact="0" compactData="0">
  <location ref="E39:F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3.xml><?xml version="1.0" encoding="utf-8"?>
<pivotTableDefinition xmlns="http://schemas.openxmlformats.org/spreadsheetml/2006/main" name="Summary-June 7" cacheId="27" dataCaption="" compact="0" compactData="0">
  <location ref="H39:I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4.xml><?xml version="1.0" encoding="utf-8"?>
<pivotTableDefinition xmlns="http://schemas.openxmlformats.org/spreadsheetml/2006/main" name="Summary-June 8" cacheId="27" dataCaption="" compact="0" compactData="0">
  <location ref="K39:L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5.xml><?xml version="1.0" encoding="utf-8"?>
<pivotTableDefinition xmlns="http://schemas.openxmlformats.org/spreadsheetml/2006/main" name="Summary-June 9" cacheId="28" dataCaption="" compact="0" compactData="0">
  <location ref="B75:C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6.xml><?xml version="1.0" encoding="utf-8"?>
<pivotTableDefinition xmlns="http://schemas.openxmlformats.org/spreadsheetml/2006/main" name="Summary-June 10" cacheId="28" dataCaption="" compact="0" compactData="0">
  <location ref="E75:F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7.xml><?xml version="1.0" encoding="utf-8"?>
<pivotTableDefinition xmlns="http://schemas.openxmlformats.org/spreadsheetml/2006/main" name="Summary-June 11" cacheId="29" dataCaption="" compact="0" compactData="0">
  <location ref="H75:I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8.xml><?xml version="1.0" encoding="utf-8"?>
<pivotTableDefinition xmlns="http://schemas.openxmlformats.org/spreadsheetml/2006/main" name="Summary-June 12" cacheId="29" dataCaption="" compact="0" compactData="0">
  <location ref="K75:L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9.xml><?xml version="1.0" encoding="utf-8"?>
<pivotTableDefinition xmlns="http://schemas.openxmlformats.org/spreadsheetml/2006/main" name="Summary-June 13" cacheId="30" dataCaption="" compact="0" compactData="0">
  <location ref="B111:C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0.xml><?xml version="1.0" encoding="utf-8"?>
<pivotTableDefinition xmlns="http://schemas.openxmlformats.org/spreadsheetml/2006/main" name="Summary-June 14" cacheId="30" dataCaption="" compact="0" compactData="0">
  <location ref="E111:F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1.xml><?xml version="1.0" encoding="utf-8"?>
<pivotTableDefinition xmlns="http://schemas.openxmlformats.org/spreadsheetml/2006/main" name="Summary-June 15" cacheId="31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2.xml><?xml version="1.0" encoding="utf-8"?>
<pivotTableDefinition xmlns="http://schemas.openxmlformats.org/spreadsheetml/2006/main" name="Summary-June 16" cacheId="31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tables/table1.xml><?xml version="1.0" encoding="utf-8"?>
<table xmlns="http://schemas.openxmlformats.org/spreadsheetml/2006/main" ref="A1:D150" displayName="Week_1_CC" name="Week_1_CC" id="1">
  <tableColumns count="4">
    <tableColumn name="External Case ID" id="1"/>
    <tableColumn name="Case Name" id="2"/>
    <tableColumn name="Country" id="3"/>
    <tableColumn name="Investigator" id="4"/>
  </tableColumns>
  <tableStyleInfo name="March-style" showColumnStripes="0" showFirstColumn="1" showLastColumn="1" showRowStripes="1"/>
</table>
</file>

<file path=xl/tables/table2.xml><?xml version="1.0" encoding="utf-8"?>
<table xmlns="http://schemas.openxmlformats.org/spreadsheetml/2006/main" ref="F1:I150" displayName="Week_1_CS" name="Week_1_CS" id="2">
  <tableColumns count="4">
    <tableColumn name="External Case ID" id="1"/>
    <tableColumn name="Case Name" id="2"/>
    <tableColumn name="Country" id="3"/>
    <tableColumn name="Investigator" id="4"/>
  </tableColumns>
  <tableStyleInfo name="March-style 2" showColumnStripes="0" showFirstColumn="1" showLastColumn="1" showRowStripes="1"/>
</table>
</file>

<file path=xl/tables/table3.xml><?xml version="1.0" encoding="utf-8"?>
<table xmlns="http://schemas.openxmlformats.org/spreadsheetml/2006/main" ref="K1:P150" displayName="Week_2_CC" name="Week_2_CC" id="3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3" showColumnStripes="0" showFirstColumn="1" showLastColumn="1" showRowStripes="1"/>
</table>
</file>

<file path=xl/tables/table4.xml><?xml version="1.0" encoding="utf-8"?>
<table xmlns="http://schemas.openxmlformats.org/spreadsheetml/2006/main" ref="R1:W150" displayName="Week_2_CS" name="Week_2_CS" id="4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4" showColumnStripes="0" showFirstColumn="1" showLastColumn="1" showRowStripes="1"/>
</table>
</file>

<file path=xl/tables/table5.xml><?xml version="1.0" encoding="utf-8"?>
<table xmlns="http://schemas.openxmlformats.org/spreadsheetml/2006/main" ref="Y1:AD150" displayName="Week_3_CC" name="Week_3_CC" id="5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5" showColumnStripes="0" showFirstColumn="1" showLastColumn="1" showRowStripes="1"/>
</table>
</file>

<file path=xl/tables/table6.xml><?xml version="1.0" encoding="utf-8"?>
<table xmlns="http://schemas.openxmlformats.org/spreadsheetml/2006/main" ref="AF1:AK150" displayName="Week_3_CS" name="Week_3_CS" id="6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6" showColumnStripes="0" showFirstColumn="1" showLastColumn="1" showRowStripes="1"/>
</table>
</file>

<file path=xl/tables/table7.xml><?xml version="1.0" encoding="utf-8"?>
<table xmlns="http://schemas.openxmlformats.org/spreadsheetml/2006/main" ref="AM1:AS150" displayName="Week_4_CC" name="Week_4_CC" id="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Column 1" id="7"/>
  </tableColumns>
  <tableStyleInfo name="March-style 7" showColumnStripes="0" showFirstColumn="1" showLastColumn="1" showRowStripes="1"/>
</table>
</file>

<file path=xl/tables/table8.xml><?xml version="1.0" encoding="utf-8"?>
<table xmlns="http://schemas.openxmlformats.org/spreadsheetml/2006/main" ref="AT1:AY150" displayName="Week_4_CS" name="Week_4_CS" id="8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8" showColumnStripes="0" showFirstColumn="1" showLastColumn="1" showRowStripes="1"/>
</table>
</file>

<file path=xl/tables/table9.xml><?xml version="1.0" encoding="utf-8"?>
<table xmlns="http://schemas.openxmlformats.org/spreadsheetml/2006/main" ref="B1:H1007" displayName="MCC_Week_1" name="MCC_Week_1" id="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" showColumnStripes="0" showFirstColumn="1" showLastColumn="1" showRowStripes="1"/>
</table>
</file>

<file path=xl/tables/table10.xml><?xml version="1.0" encoding="utf-8"?>
<table xmlns="http://schemas.openxmlformats.org/spreadsheetml/2006/main" ref="J1:P1014" displayName="CS_Week_1" name="CS_Week_1" id="1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2" showColumnStripes="0" showFirstColumn="1" showLastColumn="1" showRowStripes="1"/>
</table>
</file>

<file path=xl/tables/table11.xml><?xml version="1.0" encoding="utf-8"?>
<table xmlns="http://schemas.openxmlformats.org/spreadsheetml/2006/main" ref="R1:X1004" displayName="MCC_Week_2" name="MCC_Week_2" id="1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3" showColumnStripes="0" showFirstColumn="1" showLastColumn="1" showRowStripes="1"/>
</table>
</file>

<file path=xl/tables/table12.xml><?xml version="1.0" encoding="utf-8"?>
<table xmlns="http://schemas.openxmlformats.org/spreadsheetml/2006/main" ref="Z1:AF1004" displayName="CS_Week_2" name="CS_Week_2" id="1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4" showColumnStripes="0" showFirstColumn="1" showLastColumn="1" showRowStripes="1"/>
</table>
</file>

<file path=xl/tables/table13.xml><?xml version="1.0" encoding="utf-8"?>
<table xmlns="http://schemas.openxmlformats.org/spreadsheetml/2006/main" ref="AH1:AN1004" displayName="MCC_Week_3" name="MCC_Week_3" id="1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5" showColumnStripes="0" showFirstColumn="1" showLastColumn="1" showRowStripes="1"/>
</table>
</file>

<file path=xl/tables/table14.xml><?xml version="1.0" encoding="utf-8"?>
<table xmlns="http://schemas.openxmlformats.org/spreadsheetml/2006/main" ref="AP1:AV1002" displayName="CS_Week_3" name="CS_Week_3" id="1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6" showColumnStripes="0" showFirstColumn="1" showLastColumn="1" showRowStripes="1"/>
</table>
</file>

<file path=xl/tables/table15.xml><?xml version="1.0" encoding="utf-8"?>
<table xmlns="http://schemas.openxmlformats.org/spreadsheetml/2006/main" ref="AX1:BD986" displayName="MCC_Week_4" name="MCC_Week_4" id="15">
  <autoFilter ref="$AX$1:$BD$986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7" showColumnStripes="0" showFirstColumn="1" showLastColumn="1" showRowStripes="1"/>
</table>
</file>

<file path=xl/tables/table16.xml><?xml version="1.0" encoding="utf-8"?>
<table xmlns="http://schemas.openxmlformats.org/spreadsheetml/2006/main" ref="BF1:BL1002" displayName="CS_Week_4" name="CS_Week_4" id="1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8" showColumnStripes="0" showFirstColumn="1" showLastColumn="1" showRowStripes="1"/>
</table>
</file>

<file path=xl/tables/table17.xml><?xml version="1.0" encoding="utf-8"?>
<table xmlns="http://schemas.openxmlformats.org/spreadsheetml/2006/main" ref="B1:H1003" displayName="MCC_May_Week_1" name="MCC_May_Week_1" id="1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" showColumnStripes="0" showFirstColumn="1" showLastColumn="1" showRowStripes="1"/>
</table>
</file>

<file path=xl/tables/table18.xml><?xml version="1.0" encoding="utf-8"?>
<table xmlns="http://schemas.openxmlformats.org/spreadsheetml/2006/main" ref="J1:P1010" displayName="CS_May_Week_1" name="CS_May_Week_1" id="1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2" showColumnStripes="0" showFirstColumn="1" showLastColumn="1" showRowStripes="1"/>
</table>
</file>

<file path=xl/tables/table19.xml><?xml version="1.0" encoding="utf-8"?>
<table xmlns="http://schemas.openxmlformats.org/spreadsheetml/2006/main" ref="R1:X999" displayName="MCC_May_Week_2" name="MCC_May_Week_2" id="1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3" showColumnStripes="0" showFirstColumn="1" showLastColumn="1" showRowStripes="1"/>
</table>
</file>

<file path=xl/tables/table20.xml><?xml version="1.0" encoding="utf-8"?>
<table xmlns="http://schemas.openxmlformats.org/spreadsheetml/2006/main" ref="Z1:AF1000" displayName="CS_May_Week_2" name="CS_May_Week_2" id="2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4" showColumnStripes="0" showFirstColumn="1" showLastColumn="1" showRowStripes="1"/>
</table>
</file>

<file path=xl/tables/table21.xml><?xml version="1.0" encoding="utf-8"?>
<table xmlns="http://schemas.openxmlformats.org/spreadsheetml/2006/main" ref="AH1:AN1000" displayName="MCC_May_Week_3" name="MCC_May_Week_3" id="2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5" showColumnStripes="0" showFirstColumn="1" showLastColumn="1" showRowStripes="1"/>
</table>
</file>

<file path=xl/tables/table22.xml><?xml version="1.0" encoding="utf-8"?>
<table xmlns="http://schemas.openxmlformats.org/spreadsheetml/2006/main" ref="AP1:AV998" displayName="CS_May_Week_3" name="CS_May_Week_3" id="2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6" showColumnStripes="0" showFirstColumn="1" showLastColumn="1" showRowStripes="1"/>
</table>
</file>

<file path=xl/tables/table23.xml><?xml version="1.0" encoding="utf-8"?>
<table xmlns="http://schemas.openxmlformats.org/spreadsheetml/2006/main" ref="AX1:BD982" displayName="MCC_May_Week_4" name="MCC_May_Week_4" id="2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7" showColumnStripes="0" showFirstColumn="1" showLastColumn="1" showRowStripes="1"/>
</table>
</file>

<file path=xl/tables/table24.xml><?xml version="1.0" encoding="utf-8"?>
<table xmlns="http://schemas.openxmlformats.org/spreadsheetml/2006/main" ref="BF1:BL998" displayName="CS_May_Week_4" name="CS_May_Week_4" id="2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8" showColumnStripes="0" showFirstColumn="1" showLastColumn="1" showRowStripes="1"/>
</table>
</file>

<file path=xl/tables/table25.xml><?xml version="1.0" encoding="utf-8"?>
<table xmlns="http://schemas.openxmlformats.org/spreadsheetml/2006/main" ref="B1:H1003" displayName="MCC_June_Week_1" name="MCC_June_Week_1" id="25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" showColumnStripes="0" showFirstColumn="1" showLastColumn="1" showRowStripes="1"/>
</table>
</file>

<file path=xl/tables/table26.xml><?xml version="1.0" encoding="utf-8"?>
<table xmlns="http://schemas.openxmlformats.org/spreadsheetml/2006/main" ref="J1:P1010" displayName="CS_June_Week_1" name="CS_June_Week_1" id="2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2" showColumnStripes="0" showFirstColumn="1" showLastColumn="1" showRowStripes="1"/>
</table>
</file>

<file path=xl/tables/table27.xml><?xml version="1.0" encoding="utf-8"?>
<table xmlns="http://schemas.openxmlformats.org/spreadsheetml/2006/main" ref="R1:X999" displayName="MCC_June_Week_2" name="MCC_June_Week_2" id="2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3" showColumnStripes="0" showFirstColumn="1" showLastColumn="1" showRowStripes="1"/>
</table>
</file>

<file path=xl/tables/table28.xml><?xml version="1.0" encoding="utf-8"?>
<table xmlns="http://schemas.openxmlformats.org/spreadsheetml/2006/main" ref="Z1:AF1000" displayName="CS_June_Week_2" name="CS_June_Week_2" id="2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4" showColumnStripes="0" showFirstColumn="1" showLastColumn="1" showRowStripes="1"/>
</table>
</file>

<file path=xl/tables/table29.xml><?xml version="1.0" encoding="utf-8"?>
<table xmlns="http://schemas.openxmlformats.org/spreadsheetml/2006/main" ref="AH1:AN1000" displayName="MCC_June_Week_3" name="MCC_June_Week_3" id="2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5" showColumnStripes="0" showFirstColumn="1" showLastColumn="1" showRowStripes="1"/>
</table>
</file>

<file path=xl/tables/table30.xml><?xml version="1.0" encoding="utf-8"?>
<table xmlns="http://schemas.openxmlformats.org/spreadsheetml/2006/main" ref="AP1:AV998" displayName="CS_June_Week_3" name="CS_June_Week_3" id="3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6" showColumnStripes="0" showFirstColumn="1" showLastColumn="1" showRowStripes="1"/>
</table>
</file>

<file path=xl/tables/table31.xml><?xml version="1.0" encoding="utf-8"?>
<table xmlns="http://schemas.openxmlformats.org/spreadsheetml/2006/main" ref="AX1:BD982" displayName="MCC_June_Week_4" name="MCC_June_Week_4" id="3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7" showColumnStripes="0" showFirstColumn="1" showLastColumn="1" showRowStripes="1"/>
</table>
</file>

<file path=xl/tables/table32.xml><?xml version="1.0" encoding="utf-8"?>
<table xmlns="http://schemas.openxmlformats.org/spreadsheetml/2006/main" ref="BF1:BL998" displayName="CS_June_Week_4" name="CS_June_Week_4" id="3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8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T27" dT="2026-05-18T12:33:56.00" personId="{0c6c1ac4-2350-4323-8363-50a55addc001}" id="{2f38e238-a26a-42f7-84f7-0630b16dd759}" done="0">
    <x18tc:text xml:space="preserve">Email address "info@ddelta.mx" is already connected to a contact whose entity I could not identified. Contact information: https://www.sketchup.pleteo.com/contacts/6668/activityLog?page=1</x18tc:text>
    <x18tc:extLst>
      <ext uri="{F7C98A9C-CBB3-438F-8F68-D28B6AF4A901}">
        <xltc2:checksum/>
        <xltc2:hyperlink startIndex="123" length="64" url="https://www.sketchup.pleteo.com/contacts/6668/activityLog?page=1"/>
      </ext>
    </x18tc:extLst>
  </x18tc:threadedComment>
</x18tc:ThreadedComments>
</file>

<file path=xl/worksheets/_rels/sheet1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11.xml"/><Relationship Id="rId10" Type="http://schemas.openxmlformats.org/officeDocument/2006/relationships/pivotTable" Target="../pivotTables/pivotTable10.xml"/><Relationship Id="rId13" Type="http://schemas.openxmlformats.org/officeDocument/2006/relationships/pivotTable" Target="../pivotTables/pivotTable13.xml"/><Relationship Id="rId12" Type="http://schemas.openxmlformats.org/officeDocument/2006/relationships/pivotTable" Target="../pivotTables/pivotTable12.xml"/><Relationship Id="rId1" Type="http://schemas.openxmlformats.org/officeDocument/2006/relationships/pivotTable" Target="../pivotTables/pivotTable1.xml"/><Relationship Id="rId2" Type="http://schemas.openxmlformats.org/officeDocument/2006/relationships/pivotTable" Target="../pivotTables/pivotTable2.xml"/><Relationship Id="rId3" Type="http://schemas.openxmlformats.org/officeDocument/2006/relationships/pivotTable" Target="../pivotTables/pivotTable3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Relationship Id="rId15" Type="http://schemas.openxmlformats.org/officeDocument/2006/relationships/pivotTable" Target="../pivotTables/pivotTable15.xml"/><Relationship Id="rId14" Type="http://schemas.openxmlformats.org/officeDocument/2006/relationships/pivotTable" Target="../pivotTables/pivotTable14.xml"/><Relationship Id="rId17" Type="http://schemas.openxmlformats.org/officeDocument/2006/relationships/drawing" Target="../drawings/drawing1.xml"/><Relationship Id="rId16" Type="http://schemas.openxmlformats.org/officeDocument/2006/relationships/pivotTable" Target="../pivotTables/pivotTable16.xml"/><Relationship Id="rId5" Type="http://schemas.openxmlformats.org/officeDocument/2006/relationships/pivotTable" Target="../pivotTables/pivotTable5.xml"/><Relationship Id="rId6" Type="http://schemas.openxmlformats.org/officeDocument/2006/relationships/pivotTable" Target="../pivotTables/pivotTable6.xml"/><Relationship Id="rId7" Type="http://schemas.openxmlformats.org/officeDocument/2006/relationships/pivotTable" Target="../pivotTables/pivotTable7.xml"/><Relationship Id="rId8" Type="http://schemas.openxmlformats.org/officeDocument/2006/relationships/pivotTable" Target="../pivotTables/pivotTable8.xml"/></Relationships>
</file>

<file path=xl/worksheets/_rels/sheet2.xml.rels><?xml version="1.0" encoding="UTF-8" standalone="yes"?><Relationships xmlns="http://schemas.openxmlformats.org/package/2006/relationships"><Relationship Id="rId11" Type="http://schemas.openxmlformats.org/officeDocument/2006/relationships/table" Target="../tables/table2.xml"/><Relationship Id="rId10" Type="http://schemas.openxmlformats.org/officeDocument/2006/relationships/table" Target="../tables/table1.xml"/><Relationship Id="rId13" Type="http://schemas.openxmlformats.org/officeDocument/2006/relationships/table" Target="../tables/table4.xml"/><Relationship Id="rId12" Type="http://schemas.openxmlformats.org/officeDocument/2006/relationships/table" Target="../tables/table3.xml"/><Relationship Id="rId1" Type="http://schemas.openxmlformats.org/officeDocument/2006/relationships/drawing" Target="../drawings/drawing2.xml"/><Relationship Id="rId15" Type="http://schemas.openxmlformats.org/officeDocument/2006/relationships/table" Target="../tables/table6.xml"/><Relationship Id="rId14" Type="http://schemas.openxmlformats.org/officeDocument/2006/relationships/table" Target="../tables/table5.xml"/><Relationship Id="rId17" Type="http://schemas.openxmlformats.org/officeDocument/2006/relationships/table" Target="../tables/table8.xml"/><Relationship Id="rId16" Type="http://schemas.openxmlformats.org/officeDocument/2006/relationships/table" Target="../tables/table7.xml"/></Relationships>
</file>

<file path=xl/worksheets/_rels/sheet3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36.xml"/><Relationship Id="rId11" Type="http://schemas.openxmlformats.org/officeDocument/2006/relationships/pivotTable" Target="../pivotTables/pivotTable27.xml"/><Relationship Id="rId10" Type="http://schemas.openxmlformats.org/officeDocument/2006/relationships/pivotTable" Target="../pivotTables/pivotTable26.xml"/><Relationship Id="rId21" Type="http://schemas.openxmlformats.org/officeDocument/2006/relationships/drawing" Target="../drawings/drawing3.xml"/><Relationship Id="rId13" Type="http://schemas.openxmlformats.org/officeDocument/2006/relationships/pivotTable" Target="../pivotTables/pivotTable29.xml"/><Relationship Id="rId12" Type="http://schemas.openxmlformats.org/officeDocument/2006/relationships/pivotTable" Target="../pivotTables/pivotTable28.xml"/><Relationship Id="rId1" Type="http://schemas.openxmlformats.org/officeDocument/2006/relationships/pivotTable" Target="../pivotTables/pivotTable17.xml"/><Relationship Id="rId2" Type="http://schemas.openxmlformats.org/officeDocument/2006/relationships/pivotTable" Target="../pivotTables/pivotTable18.xml"/><Relationship Id="rId3" Type="http://schemas.openxmlformats.org/officeDocument/2006/relationships/pivotTable" Target="../pivotTables/pivotTable19.xml"/><Relationship Id="rId4" Type="http://schemas.openxmlformats.org/officeDocument/2006/relationships/pivotTable" Target="../pivotTables/pivotTable20.xml"/><Relationship Id="rId9" Type="http://schemas.openxmlformats.org/officeDocument/2006/relationships/pivotTable" Target="../pivotTables/pivotTable25.xml"/><Relationship Id="rId15" Type="http://schemas.openxmlformats.org/officeDocument/2006/relationships/pivotTable" Target="../pivotTables/pivotTable31.xml"/><Relationship Id="rId14" Type="http://schemas.openxmlformats.org/officeDocument/2006/relationships/pivotTable" Target="../pivotTables/pivotTable30.xml"/><Relationship Id="rId17" Type="http://schemas.openxmlformats.org/officeDocument/2006/relationships/pivotTable" Target="../pivotTables/pivotTable33.xml"/><Relationship Id="rId16" Type="http://schemas.openxmlformats.org/officeDocument/2006/relationships/pivotTable" Target="../pivotTables/pivotTable32.xml"/><Relationship Id="rId5" Type="http://schemas.openxmlformats.org/officeDocument/2006/relationships/pivotTable" Target="../pivotTables/pivotTable21.xml"/><Relationship Id="rId19" Type="http://schemas.openxmlformats.org/officeDocument/2006/relationships/pivotTable" Target="../pivotTables/pivotTable35.xml"/><Relationship Id="rId6" Type="http://schemas.openxmlformats.org/officeDocument/2006/relationships/pivotTable" Target="../pivotTables/pivotTable22.xml"/><Relationship Id="rId18" Type="http://schemas.openxmlformats.org/officeDocument/2006/relationships/pivotTable" Target="../pivotTables/pivotTable34.xml"/><Relationship Id="rId7" Type="http://schemas.openxmlformats.org/officeDocument/2006/relationships/pivotTable" Target="../pivotTables/pivotTable23.xml"/><Relationship Id="rId8" Type="http://schemas.openxmlformats.org/officeDocument/2006/relationships/pivotTable" Target="../pivotTables/pivotTable24.xml"/></Relationships>
</file>

<file path=xl/worksheets/_rels/sheet4.xml.rels><?xml version="1.0" encoding="UTF-8" standalone="yes"?><Relationships xmlns="http://schemas.openxmlformats.org/package/2006/relationships"><Relationship Id="rId20" Type="http://schemas.openxmlformats.org/officeDocument/2006/relationships/table" Target="../tables/table16.xml"/><Relationship Id="rId13" Type="http://schemas.openxmlformats.org/officeDocument/2006/relationships/table" Target="../tables/table9.xml"/><Relationship Id="rId1" Type="http://schemas.openxmlformats.org/officeDocument/2006/relationships/hyperlink" Target="http://rentamaquinas.com" TargetMode="External"/><Relationship Id="rId2" Type="http://schemas.openxmlformats.org/officeDocument/2006/relationships/hyperlink" Target="http://entraenlanube.com" TargetMode="External"/><Relationship Id="rId3" Type="http://schemas.openxmlformats.org/officeDocument/2006/relationships/hyperlink" Target="http://imaginate.pe" TargetMode="External"/><Relationship Id="rId4" Type="http://schemas.openxmlformats.org/officeDocument/2006/relationships/drawing" Target="../drawings/drawing4.xml"/><Relationship Id="rId15" Type="http://schemas.openxmlformats.org/officeDocument/2006/relationships/table" Target="../tables/table11.xml"/><Relationship Id="rId14" Type="http://schemas.openxmlformats.org/officeDocument/2006/relationships/table" Target="../tables/table10.xml"/><Relationship Id="rId17" Type="http://schemas.openxmlformats.org/officeDocument/2006/relationships/table" Target="../tables/table13.xml"/><Relationship Id="rId16" Type="http://schemas.openxmlformats.org/officeDocument/2006/relationships/table" Target="../tables/table12.xml"/><Relationship Id="rId19" Type="http://schemas.openxmlformats.org/officeDocument/2006/relationships/table" Target="../tables/table15.xml"/><Relationship Id="rId18" Type="http://schemas.openxmlformats.org/officeDocument/2006/relationships/table" Target="../tables/table14.xml"/></Relationships>
</file>

<file path=xl/worksheets/_rels/sheet5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56.xml"/><Relationship Id="rId11" Type="http://schemas.openxmlformats.org/officeDocument/2006/relationships/pivotTable" Target="../pivotTables/pivotTable47.xml"/><Relationship Id="rId10" Type="http://schemas.openxmlformats.org/officeDocument/2006/relationships/pivotTable" Target="../pivotTables/pivotTable46.xml"/><Relationship Id="rId21" Type="http://schemas.openxmlformats.org/officeDocument/2006/relationships/drawing" Target="../drawings/drawing5.xml"/><Relationship Id="rId13" Type="http://schemas.openxmlformats.org/officeDocument/2006/relationships/pivotTable" Target="../pivotTables/pivotTable49.xml"/><Relationship Id="rId12" Type="http://schemas.openxmlformats.org/officeDocument/2006/relationships/pivotTable" Target="../pivotTables/pivotTable48.xml"/><Relationship Id="rId1" Type="http://schemas.openxmlformats.org/officeDocument/2006/relationships/pivotTable" Target="../pivotTables/pivotTable37.xml"/><Relationship Id="rId2" Type="http://schemas.openxmlformats.org/officeDocument/2006/relationships/pivotTable" Target="../pivotTables/pivotTable38.xml"/><Relationship Id="rId3" Type="http://schemas.openxmlformats.org/officeDocument/2006/relationships/pivotTable" Target="../pivotTables/pivotTable39.xml"/><Relationship Id="rId4" Type="http://schemas.openxmlformats.org/officeDocument/2006/relationships/pivotTable" Target="../pivotTables/pivotTable40.xml"/><Relationship Id="rId9" Type="http://schemas.openxmlformats.org/officeDocument/2006/relationships/pivotTable" Target="../pivotTables/pivotTable45.xml"/><Relationship Id="rId15" Type="http://schemas.openxmlformats.org/officeDocument/2006/relationships/pivotTable" Target="../pivotTables/pivotTable51.xml"/><Relationship Id="rId14" Type="http://schemas.openxmlformats.org/officeDocument/2006/relationships/pivotTable" Target="../pivotTables/pivotTable50.xml"/><Relationship Id="rId17" Type="http://schemas.openxmlformats.org/officeDocument/2006/relationships/pivotTable" Target="../pivotTables/pivotTable53.xml"/><Relationship Id="rId16" Type="http://schemas.openxmlformats.org/officeDocument/2006/relationships/pivotTable" Target="../pivotTables/pivotTable52.xml"/><Relationship Id="rId5" Type="http://schemas.openxmlformats.org/officeDocument/2006/relationships/pivotTable" Target="../pivotTables/pivotTable41.xml"/><Relationship Id="rId19" Type="http://schemas.openxmlformats.org/officeDocument/2006/relationships/pivotTable" Target="../pivotTables/pivotTable55.xml"/><Relationship Id="rId6" Type="http://schemas.openxmlformats.org/officeDocument/2006/relationships/pivotTable" Target="../pivotTables/pivotTable42.xml"/><Relationship Id="rId18" Type="http://schemas.openxmlformats.org/officeDocument/2006/relationships/pivotTable" Target="../pivotTables/pivotTable54.xml"/><Relationship Id="rId7" Type="http://schemas.openxmlformats.org/officeDocument/2006/relationships/pivotTable" Target="../pivotTables/pivotTable43.xml"/><Relationship Id="rId8" Type="http://schemas.openxmlformats.org/officeDocument/2006/relationships/pivotTable" Target="../pivotTables/pivotTable44.xml"/></Relationships>
</file>

<file path=xl/worksheets/_rels/sheet6.xml.rels><?xml version="1.0" encoding="UTF-8" standalone="yes"?><Relationships xmlns="http://schemas.openxmlformats.org/package/2006/relationships"><Relationship Id="rId20" Type="http://schemas.openxmlformats.org/officeDocument/2006/relationships/table" Target="../tables/table21.xml"/><Relationship Id="rId22" Type="http://schemas.openxmlformats.org/officeDocument/2006/relationships/table" Target="../tables/table23.xml"/><Relationship Id="rId21" Type="http://schemas.openxmlformats.org/officeDocument/2006/relationships/table" Target="../tables/table22.xml"/><Relationship Id="rId23" Type="http://schemas.openxmlformats.org/officeDocument/2006/relationships/table" Target="../tables/table24.xml"/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hyperlink" Target="http://yersan.com/" TargetMode="External"/><Relationship Id="rId17" Type="http://schemas.openxmlformats.org/officeDocument/2006/relationships/table" Target="../tables/table18.xml"/><Relationship Id="rId16" Type="http://schemas.openxmlformats.org/officeDocument/2006/relationships/table" Target="../tables/table17.xml"/><Relationship Id="rId5" Type="http://schemas.openxmlformats.org/officeDocument/2006/relationships/hyperlink" Target="http://capitalizarme.com" TargetMode="External"/><Relationship Id="rId19" Type="http://schemas.openxmlformats.org/officeDocument/2006/relationships/table" Target="../tables/table20.xml"/><Relationship Id="rId6" Type="http://schemas.openxmlformats.org/officeDocument/2006/relationships/drawing" Target="../drawings/drawing6.xml"/><Relationship Id="rId18" Type="http://schemas.openxmlformats.org/officeDocument/2006/relationships/table" Target="../tables/table19.xml"/><Relationship Id="rId7" Type="http://schemas.openxmlformats.org/officeDocument/2006/relationships/vmlDrawing" Target="../drawings/vmlDrawing1.vml"/></Relationships>
</file>

<file path=xl/worksheets/_rels/sheet7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67.xml"/><Relationship Id="rId10" Type="http://schemas.openxmlformats.org/officeDocument/2006/relationships/pivotTable" Target="../pivotTables/pivotTable66.xml"/><Relationship Id="rId13" Type="http://schemas.openxmlformats.org/officeDocument/2006/relationships/pivotTable" Target="../pivotTables/pivotTable69.xml"/><Relationship Id="rId12" Type="http://schemas.openxmlformats.org/officeDocument/2006/relationships/pivotTable" Target="../pivotTables/pivotTable68.xml"/><Relationship Id="rId1" Type="http://schemas.openxmlformats.org/officeDocument/2006/relationships/pivotTable" Target="../pivotTables/pivotTable57.xml"/><Relationship Id="rId2" Type="http://schemas.openxmlformats.org/officeDocument/2006/relationships/pivotTable" Target="../pivotTables/pivotTable58.xml"/><Relationship Id="rId3" Type="http://schemas.openxmlformats.org/officeDocument/2006/relationships/pivotTable" Target="../pivotTables/pivotTable59.xml"/><Relationship Id="rId4" Type="http://schemas.openxmlformats.org/officeDocument/2006/relationships/pivotTable" Target="../pivotTables/pivotTable60.xml"/><Relationship Id="rId9" Type="http://schemas.openxmlformats.org/officeDocument/2006/relationships/pivotTable" Target="../pivotTables/pivotTable65.xml"/><Relationship Id="rId15" Type="http://schemas.openxmlformats.org/officeDocument/2006/relationships/pivotTable" Target="../pivotTables/pivotTable71.xml"/><Relationship Id="rId14" Type="http://schemas.openxmlformats.org/officeDocument/2006/relationships/pivotTable" Target="../pivotTables/pivotTable70.xml"/><Relationship Id="rId17" Type="http://schemas.openxmlformats.org/officeDocument/2006/relationships/drawing" Target="../drawings/drawing7.xml"/><Relationship Id="rId16" Type="http://schemas.openxmlformats.org/officeDocument/2006/relationships/pivotTable" Target="../pivotTables/pivotTable72.xml"/><Relationship Id="rId5" Type="http://schemas.openxmlformats.org/officeDocument/2006/relationships/pivotTable" Target="../pivotTables/pivotTable61.xml"/><Relationship Id="rId6" Type="http://schemas.openxmlformats.org/officeDocument/2006/relationships/pivotTable" Target="../pivotTables/pivotTable62.xml"/><Relationship Id="rId7" Type="http://schemas.openxmlformats.org/officeDocument/2006/relationships/pivotTable" Target="../pivotTables/pivotTable63.xml"/><Relationship Id="rId8" Type="http://schemas.openxmlformats.org/officeDocument/2006/relationships/pivotTable" Target="../pivotTables/pivotTable64.xml"/></Relationships>
</file>

<file path=xl/worksheets/_rels/sheet8.xml.rels><?xml version="1.0" encoding="UTF-8" standalone="yes"?><Relationships xmlns="http://schemas.openxmlformats.org/package/2006/relationships"><Relationship Id="rId13" Type="http://schemas.openxmlformats.org/officeDocument/2006/relationships/table" Target="../tables/table26.xml"/><Relationship Id="rId12" Type="http://schemas.openxmlformats.org/officeDocument/2006/relationships/table" Target="../tables/table25.xml"/><Relationship Id="rId1" Type="http://schemas.openxmlformats.org/officeDocument/2006/relationships/comments" Target="../comments2.xml"/><Relationship Id="rId2" Type="http://schemas.openxmlformats.org/officeDocument/2006/relationships/drawing" Target="../drawings/drawing8.xml"/><Relationship Id="rId3" Type="http://schemas.openxmlformats.org/officeDocument/2006/relationships/vmlDrawing" Target="../drawings/vmlDrawing2.vml"/><Relationship Id="rId15" Type="http://schemas.openxmlformats.org/officeDocument/2006/relationships/table" Target="../tables/table28.xml"/><Relationship Id="rId14" Type="http://schemas.openxmlformats.org/officeDocument/2006/relationships/table" Target="../tables/table27.xml"/><Relationship Id="rId17" Type="http://schemas.openxmlformats.org/officeDocument/2006/relationships/table" Target="../tables/table30.xml"/><Relationship Id="rId16" Type="http://schemas.openxmlformats.org/officeDocument/2006/relationships/table" Target="../tables/table29.xml"/><Relationship Id="rId19" Type="http://schemas.openxmlformats.org/officeDocument/2006/relationships/table" Target="../tables/table32.xml"/><Relationship Id="rId18" Type="http://schemas.openxmlformats.org/officeDocument/2006/relationships/table" Target="../tables/table3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</cols>
  <sheetData>
    <row r="1">
      <c r="A1" s="1" t="s">
        <v>0</v>
      </c>
      <c r="B1" s="2" t="s">
        <v>1</v>
      </c>
      <c r="G1" s="3"/>
      <c r="H1" s="4" t="s">
        <v>2</v>
      </c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</row>
    <row r="2"/>
    <row r="3"/>
    <row r="21">
      <c r="A21" s="7" t="s">
        <v>8</v>
      </c>
      <c r="B21" s="2" t="s">
        <v>1</v>
      </c>
      <c r="H21" s="4" t="s">
        <v>2</v>
      </c>
    </row>
    <row r="22"/>
    <row r="23"/>
    <row r="24"/>
    <row r="25"/>
    <row r="26"/>
    <row r="27"/>
    <row r="28"/>
    <row r="29"/>
    <row r="41">
      <c r="A41" s="8" t="s">
        <v>26</v>
      </c>
      <c r="B41" s="9" t="s">
        <v>1</v>
      </c>
      <c r="G41" s="10"/>
      <c r="H41" s="11" t="s">
        <v>2</v>
      </c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</row>
    <row r="42">
      <c r="D42" s="10"/>
      <c r="G42" s="10"/>
      <c r="J42" s="10"/>
      <c r="M42" s="10"/>
      <c r="N42" s="10"/>
      <c r="O42" s="10"/>
      <c r="P42" s="10"/>
      <c r="Q42" s="10"/>
      <c r="R42" s="10"/>
      <c r="S42" s="10"/>
    </row>
    <row r="43">
      <c r="D43" s="10"/>
      <c r="G43" s="12"/>
      <c r="J43" s="10"/>
      <c r="M43" s="10"/>
      <c r="N43" s="10"/>
      <c r="O43" s="10"/>
      <c r="P43" s="10"/>
      <c r="Q43" s="10"/>
      <c r="R43" s="10"/>
      <c r="S43" s="10"/>
    </row>
    <row r="44">
      <c r="D44" s="10"/>
      <c r="G44" s="12"/>
      <c r="J44" s="10"/>
      <c r="M44" s="10"/>
      <c r="N44" s="10"/>
      <c r="O44" s="10"/>
      <c r="P44" s="10"/>
      <c r="Q44" s="10"/>
      <c r="R44" s="10"/>
      <c r="S44" s="10"/>
    </row>
    <row r="45">
      <c r="D45" s="10"/>
      <c r="G45" s="12"/>
      <c r="J45" s="10"/>
      <c r="M45" s="10"/>
      <c r="N45" s="10"/>
      <c r="O45" s="10"/>
      <c r="P45" s="10"/>
      <c r="Q45" s="10"/>
      <c r="R45" s="10"/>
      <c r="S45" s="10"/>
    </row>
    <row r="46">
      <c r="D46" s="10"/>
      <c r="G46" s="12"/>
      <c r="J46" s="10"/>
      <c r="M46" s="10"/>
      <c r="N46" s="10"/>
      <c r="O46" s="10"/>
      <c r="P46" s="10"/>
      <c r="Q46" s="10"/>
      <c r="R46" s="10"/>
      <c r="S46" s="10"/>
    </row>
    <row r="47">
      <c r="D47" s="10"/>
      <c r="G47" s="12"/>
      <c r="J47" s="10"/>
      <c r="M47" s="10"/>
      <c r="N47" s="10"/>
      <c r="O47" s="10"/>
      <c r="P47" s="10"/>
      <c r="Q47" s="10"/>
      <c r="R47" s="10"/>
      <c r="S47" s="10"/>
    </row>
    <row r="48">
      <c r="D48" s="10"/>
      <c r="G48" s="12"/>
      <c r="H48" s="10"/>
      <c r="I48" s="10"/>
      <c r="J48" s="10"/>
      <c r="M48" s="10"/>
      <c r="N48" s="10"/>
      <c r="O48" s="10"/>
      <c r="P48" s="10"/>
      <c r="Q48" s="10"/>
      <c r="R48" s="10"/>
      <c r="S48" s="10"/>
    </row>
    <row r="49">
      <c r="D49" s="10"/>
      <c r="G49" s="12"/>
      <c r="H49" s="10"/>
      <c r="I49" s="10"/>
      <c r="J49" s="10"/>
      <c r="M49" s="10"/>
      <c r="N49" s="10"/>
      <c r="O49" s="10"/>
      <c r="P49" s="10"/>
      <c r="Q49" s="10"/>
      <c r="R49" s="10"/>
      <c r="S49" s="10"/>
    </row>
    <row r="50">
      <c r="B50" s="10"/>
      <c r="C50" s="10"/>
      <c r="D50" s="10"/>
      <c r="G50" s="12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</row>
    <row r="51">
      <c r="B51" s="10"/>
      <c r="C51" s="10"/>
      <c r="D51" s="10"/>
      <c r="H51" s="10"/>
      <c r="I51" s="10"/>
      <c r="J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</row>
    <row r="52">
      <c r="D52" s="13"/>
      <c r="G52" s="13"/>
      <c r="J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</row>
    <row r="53">
      <c r="D53" s="10"/>
      <c r="G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</row>
    <row r="54">
      <c r="D54" s="10"/>
      <c r="E54" s="10"/>
      <c r="F54" s="10"/>
      <c r="G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</row>
    <row r="55">
      <c r="D55" s="10"/>
      <c r="E55" s="10"/>
      <c r="F55" s="10"/>
      <c r="G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</row>
    <row r="56">
      <c r="D56" s="10"/>
      <c r="E56" s="10"/>
      <c r="F56" s="10"/>
      <c r="G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</row>
    <row r="57">
      <c r="B57" s="16" t="s">
        <v>33</v>
      </c>
      <c r="C57" s="13"/>
      <c r="D57" s="10"/>
      <c r="E57" s="17" t="s">
        <v>34</v>
      </c>
      <c r="F57" s="17" t="s">
        <v>35</v>
      </c>
      <c r="G57" s="10"/>
      <c r="H57" s="18" t="s">
        <v>33</v>
      </c>
      <c r="J57" s="10"/>
      <c r="K57" s="17" t="s">
        <v>34</v>
      </c>
      <c r="L57" s="17" t="s">
        <v>35</v>
      </c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</row>
    <row r="58">
      <c r="B58" s="19" t="s">
        <v>22</v>
      </c>
      <c r="C58" s="19">
        <v>30.0</v>
      </c>
      <c r="D58" s="10"/>
      <c r="E58" s="20">
        <f>F50</f>
        <v>32</v>
      </c>
      <c r="F58" s="21">
        <f t="shared" ref="F58:F61" si="1">C58-E58</f>
        <v>-2</v>
      </c>
      <c r="H58" s="22" t="s">
        <v>11</v>
      </c>
      <c r="I58" s="23">
        <v>20.0</v>
      </c>
      <c r="K58" s="20">
        <f>L43</f>
        <v>16</v>
      </c>
      <c r="L58" s="21">
        <f t="shared" ref="L58:L61" si="2">I58-K58</f>
        <v>4</v>
      </c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</row>
    <row r="59">
      <c r="B59" s="19" t="s">
        <v>36</v>
      </c>
      <c r="C59" s="19">
        <v>30.0</v>
      </c>
      <c r="D59" s="10"/>
      <c r="E59" s="20">
        <f>F43+F46</f>
        <v>28</v>
      </c>
      <c r="F59" s="21">
        <f t="shared" si="1"/>
        <v>2</v>
      </c>
      <c r="H59" s="23" t="s">
        <v>37</v>
      </c>
      <c r="I59" s="23">
        <v>20.0</v>
      </c>
      <c r="K59" s="20">
        <f>L44+L46+L48</f>
        <v>22</v>
      </c>
      <c r="L59" s="21">
        <f t="shared" si="2"/>
        <v>-2</v>
      </c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</row>
    <row r="60">
      <c r="B60" s="19" t="s">
        <v>38</v>
      </c>
      <c r="C60" s="19">
        <v>15.0</v>
      </c>
      <c r="D60" s="10"/>
      <c r="E60" s="21">
        <f>F44+F45+F47</f>
        <v>16</v>
      </c>
      <c r="F60" s="21">
        <f t="shared" si="1"/>
        <v>-1</v>
      </c>
      <c r="G60" s="10"/>
      <c r="H60" s="22" t="s">
        <v>18</v>
      </c>
      <c r="I60" s="23">
        <v>20.0</v>
      </c>
      <c r="J60" s="10"/>
      <c r="K60" s="21">
        <f>L45</f>
        <v>22</v>
      </c>
      <c r="L60" s="21">
        <f t="shared" si="2"/>
        <v>-2</v>
      </c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</row>
    <row r="61">
      <c r="B61" s="19" t="s">
        <v>39</v>
      </c>
      <c r="C61" s="19">
        <v>10.0</v>
      </c>
      <c r="E61" s="20">
        <f>F48+F49+F51+F52</f>
        <v>15</v>
      </c>
      <c r="F61" s="21">
        <f t="shared" si="1"/>
        <v>-5</v>
      </c>
      <c r="H61" s="22" t="s">
        <v>23</v>
      </c>
      <c r="I61" s="23">
        <v>25.0</v>
      </c>
      <c r="K61" s="20">
        <f>L47</f>
        <v>27</v>
      </c>
      <c r="L61" s="21">
        <f t="shared" si="2"/>
        <v>-2</v>
      </c>
    </row>
    <row r="62">
      <c r="E62" s="24" t="s">
        <v>40</v>
      </c>
      <c r="F62" s="25">
        <v>85.0</v>
      </c>
      <c r="G62" s="10"/>
      <c r="H62" s="10"/>
      <c r="I62" s="15"/>
      <c r="J62" s="10"/>
      <c r="K62" s="24" t="s">
        <v>40</v>
      </c>
      <c r="L62" s="25">
        <v>85.0</v>
      </c>
    </row>
    <row r="63">
      <c r="E63" s="24" t="s">
        <v>41</v>
      </c>
      <c r="F63" s="26">
        <f>F58+F59+F60+F61</f>
        <v>-6</v>
      </c>
      <c r="G63" s="10"/>
      <c r="H63" s="15"/>
      <c r="I63" s="15"/>
      <c r="J63" s="10"/>
      <c r="K63" s="24" t="s">
        <v>41</v>
      </c>
      <c r="L63" s="26">
        <f>L58+L59+L60+L61</f>
        <v>-2</v>
      </c>
    </row>
    <row r="65">
      <c r="A65" s="27" t="s">
        <v>42</v>
      </c>
      <c r="B65" s="9" t="s">
        <v>1</v>
      </c>
      <c r="G65" s="10"/>
      <c r="H65" s="11" t="s">
        <v>2</v>
      </c>
    </row>
    <row r="66"/>
    <row r="67"/>
    <row r="68"/>
    <row r="69"/>
    <row r="70"/>
    <row r="71"/>
    <row r="72"/>
    <row r="73"/>
    <row r="74"/>
    <row r="75"/>
    <row r="76"/>
    <row r="77"/>
    <row r="78"/>
    <row r="80"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</row>
    <row r="81">
      <c r="B81" s="29" t="s">
        <v>33</v>
      </c>
      <c r="C81" s="10"/>
      <c r="D81" s="10"/>
      <c r="E81" s="30" t="s">
        <v>34</v>
      </c>
      <c r="F81" s="30" t="s">
        <v>35</v>
      </c>
      <c r="G81" s="10"/>
      <c r="H81" s="29" t="s">
        <v>33</v>
      </c>
      <c r="I81" s="10"/>
      <c r="J81" s="10"/>
      <c r="K81" s="30" t="s">
        <v>34</v>
      </c>
      <c r="L81" s="30" t="s">
        <v>35</v>
      </c>
    </row>
    <row r="82">
      <c r="B82" s="31" t="s">
        <v>22</v>
      </c>
      <c r="C82" s="32">
        <v>25.0</v>
      </c>
      <c r="D82" s="10"/>
      <c r="E82" s="33">
        <f>SUMIF(E67:E80,B82,F67:F80)</f>
        <v>25</v>
      </c>
      <c r="F82" s="33">
        <f t="shared" ref="F82:F89" si="3">C82-E82</f>
        <v>0</v>
      </c>
      <c r="G82" s="10"/>
      <c r="H82" s="22" t="s">
        <v>11</v>
      </c>
      <c r="I82" s="34">
        <v>20.0</v>
      </c>
      <c r="J82" s="10"/>
      <c r="K82" s="33">
        <f>SUMIF(K67:K80, H82,L67:L80)</f>
        <v>27</v>
      </c>
      <c r="L82" s="33">
        <f t="shared" ref="L82:L87" si="4">I82-K82</f>
        <v>-7</v>
      </c>
    </row>
    <row r="83">
      <c r="B83" s="31" t="s">
        <v>36</v>
      </c>
      <c r="C83" s="35">
        <v>30.0</v>
      </c>
      <c r="D83" s="10"/>
      <c r="E83" s="33">
        <f>SUM(SUMIF(E67:E80,"Colombia",F67:F80), SUMIF(E67:E80, "Ecuador",F67:F80))</f>
        <v>30</v>
      </c>
      <c r="F83" s="33">
        <f t="shared" si="3"/>
        <v>0</v>
      </c>
      <c r="G83" s="10"/>
      <c r="H83" s="22" t="s">
        <v>18</v>
      </c>
      <c r="I83" s="36">
        <v>25.0</v>
      </c>
      <c r="J83" s="10"/>
      <c r="K83" s="33">
        <f>SUMIF(K67:K80,H83,L67:L80)</f>
        <v>25</v>
      </c>
      <c r="L83" s="33">
        <f t="shared" si="4"/>
        <v>0</v>
      </c>
    </row>
    <row r="84">
      <c r="B84" s="19" t="s">
        <v>45</v>
      </c>
      <c r="C84" s="32">
        <v>25.0</v>
      </c>
      <c r="D84" s="10"/>
      <c r="E84" s="33">
        <f>SUM(SUMIF(E67:E80,"Costa Rica",F67:F80), SUMIF(E67:E80, "Dominican Republic",F67:F80), SUMIF(E67:E80, "Panama",F67:F80))</f>
        <v>25</v>
      </c>
      <c r="F84" s="33">
        <f t="shared" si="3"/>
        <v>0</v>
      </c>
      <c r="G84" s="10"/>
      <c r="H84" s="22" t="s">
        <v>23</v>
      </c>
      <c r="I84" s="34">
        <v>25.0</v>
      </c>
      <c r="J84" s="10"/>
      <c r="K84" s="33">
        <f>SUMIF(K67:K80,H84,L67:L80)</f>
        <v>25</v>
      </c>
      <c r="L84" s="33">
        <f t="shared" si="4"/>
        <v>0</v>
      </c>
    </row>
    <row r="85">
      <c r="B85" s="19" t="s">
        <v>46</v>
      </c>
      <c r="C85" s="32">
        <v>1.0</v>
      </c>
      <c r="D85" s="10"/>
      <c r="E85" s="33">
        <f>SUM(SUMIF(E67:E80,"Nicaragua",F67:F80))</f>
        <v>1</v>
      </c>
      <c r="F85" s="33">
        <f t="shared" si="3"/>
        <v>0</v>
      </c>
      <c r="G85" s="10"/>
      <c r="H85" s="23" t="s">
        <v>15</v>
      </c>
      <c r="I85" s="36">
        <v>5.0</v>
      </c>
      <c r="J85" s="10"/>
      <c r="K85" s="33">
        <f t="array" ref="K85">SUM(SUMIF(K67:K80,"Bolivia",L67:L80))</f>
        <v>5</v>
      </c>
      <c r="L85" s="33">
        <f t="shared" si="4"/>
        <v>0</v>
      </c>
    </row>
    <row r="86">
      <c r="B86" s="19" t="s">
        <v>16</v>
      </c>
      <c r="C86" s="32">
        <v>1.0</v>
      </c>
      <c r="D86" s="10"/>
      <c r="E86" s="33">
        <f>SUM(SUMIF(E67:E80, "Guatemala",F67:F80))</f>
        <v>1</v>
      </c>
      <c r="F86" s="33">
        <f t="shared" si="3"/>
        <v>0</v>
      </c>
      <c r="G86" s="10"/>
      <c r="H86" s="23" t="s">
        <v>21</v>
      </c>
      <c r="I86" s="36">
        <v>5.0</v>
      </c>
      <c r="J86" s="10"/>
      <c r="K86" s="33">
        <f t="array" ref="K86">SUM(SUMIF(K67:K80,"Paraguay",L67:L80))</f>
        <v>5</v>
      </c>
      <c r="L86" s="33">
        <f t="shared" si="4"/>
        <v>0</v>
      </c>
    </row>
    <row r="87">
      <c r="B87" s="19" t="s">
        <v>47</v>
      </c>
      <c r="C87" s="32">
        <v>1.0</v>
      </c>
      <c r="D87" s="10"/>
      <c r="E87" s="33">
        <f>SUM(SUMIF(E67:E80, "El Salvador",F67:F80))</f>
        <v>1</v>
      </c>
      <c r="F87" s="33">
        <f t="shared" si="3"/>
        <v>0</v>
      </c>
      <c r="G87" s="10"/>
      <c r="H87" s="23" t="s">
        <v>25</v>
      </c>
      <c r="I87" s="36">
        <v>5.0</v>
      </c>
      <c r="J87" s="10"/>
      <c r="K87" s="33">
        <f t="array" ref="K87">SUM(SUMIF(K67:K80,"Uruguay",L67:L80))</f>
        <v>5</v>
      </c>
      <c r="L87" s="33">
        <f t="shared" si="4"/>
        <v>0</v>
      </c>
    </row>
    <row r="88">
      <c r="B88" s="19" t="s">
        <v>19</v>
      </c>
      <c r="C88" s="32">
        <v>1.0</v>
      </c>
      <c r="D88" s="10"/>
      <c r="E88" s="33">
        <f>SUM(SUMIF(E67:E80,"Honduras",F67:F80))</f>
        <v>1</v>
      </c>
      <c r="F88" s="33">
        <f t="shared" si="3"/>
        <v>0</v>
      </c>
      <c r="G88" s="10"/>
      <c r="H88" s="10"/>
      <c r="I88" s="10"/>
      <c r="J88" s="10"/>
      <c r="K88" s="37" t="s">
        <v>40</v>
      </c>
      <c r="L88" s="38">
        <v>85.0</v>
      </c>
    </row>
    <row r="89">
      <c r="B89" s="19" t="s">
        <v>43</v>
      </c>
      <c r="C89" s="32">
        <v>1.0</v>
      </c>
      <c r="D89" s="10"/>
      <c r="E89" s="33">
        <f>SUM(SUMIF(E67:E80,"Belice",F67:F80))</f>
        <v>1</v>
      </c>
      <c r="F89" s="33">
        <f t="shared" si="3"/>
        <v>0</v>
      </c>
      <c r="G89" s="10"/>
      <c r="H89" s="10"/>
      <c r="I89" s="10"/>
      <c r="J89" s="10"/>
      <c r="K89" s="37" t="s">
        <v>41</v>
      </c>
      <c r="L89" s="38">
        <f>SUM(L82:L87)</f>
        <v>-7</v>
      </c>
    </row>
    <row r="90">
      <c r="D90" s="10"/>
      <c r="E90" s="37" t="s">
        <v>40</v>
      </c>
      <c r="F90" s="38">
        <v>85.0</v>
      </c>
      <c r="G90" s="10"/>
      <c r="H90" s="10"/>
      <c r="I90" s="10"/>
      <c r="J90" s="10"/>
    </row>
    <row r="91">
      <c r="D91" s="10"/>
      <c r="E91" s="37" t="s">
        <v>41</v>
      </c>
      <c r="F91" s="38">
        <f>SUM(F82:F89)</f>
        <v>0</v>
      </c>
      <c r="G91" s="10"/>
    </row>
  </sheetData>
  <mergeCells count="12">
    <mergeCell ref="B41:F41"/>
    <mergeCell ref="H41:L41"/>
    <mergeCell ref="A41:A63"/>
    <mergeCell ref="B65:F65"/>
    <mergeCell ref="A1:A20"/>
    <mergeCell ref="B1:F1"/>
    <mergeCell ref="H1:L1"/>
    <mergeCell ref="A21:A40"/>
    <mergeCell ref="B21:F21"/>
    <mergeCell ref="H21:L21"/>
    <mergeCell ref="A65:A98"/>
    <mergeCell ref="H65:L65"/>
  </mergeCells>
  <conditionalFormatting sqref="E58">
    <cfRule type="cellIs" dxfId="0" priority="1" operator="equal">
      <formula>30</formula>
    </cfRule>
  </conditionalFormatting>
  <conditionalFormatting sqref="E59">
    <cfRule type="cellIs" dxfId="0" priority="2" operator="equal">
      <formula>30</formula>
    </cfRule>
  </conditionalFormatting>
  <conditionalFormatting sqref="E60">
    <cfRule type="cellIs" dxfId="0" priority="3" operator="equal">
      <formula>15</formula>
    </cfRule>
  </conditionalFormatting>
  <conditionalFormatting sqref="E61">
    <cfRule type="cellIs" dxfId="0" priority="4" operator="equal">
      <formula>10</formula>
    </cfRule>
  </conditionalFormatting>
  <drawing r:id="rId17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hidden="1" min="1" max="4" width="22.63"/>
    <col customWidth="1" hidden="1" min="5" max="5" width="6.13"/>
    <col customWidth="1" hidden="1" min="6" max="9" width="22.63"/>
    <col customWidth="1" min="10" max="10" width="3.13"/>
    <col customWidth="1" hidden="1" min="11" max="23" width="29.0" outlineLevel="1"/>
    <col collapsed="1" customWidth="1" min="24" max="24" width="3.13"/>
    <col customWidth="1" hidden="1" min="25" max="37" width="18.88" outlineLevel="1"/>
    <col customWidth="1" min="38" max="38" width="3.13"/>
    <col customWidth="1" min="39" max="39" width="15.88"/>
    <col customWidth="1" min="40" max="40" width="20.38"/>
    <col customWidth="1" min="41" max="44" width="15.88"/>
    <col customWidth="1" min="45" max="45" width="6.75"/>
    <col customWidth="1" min="46" max="46" width="15.88"/>
    <col customWidth="1" min="47" max="47" width="20.25"/>
    <col customWidth="1" min="48" max="48" width="40.63"/>
    <col customWidth="1" min="49" max="50" width="15.88"/>
    <col customWidth="1" min="51" max="51" width="45.25"/>
  </cols>
  <sheetData>
    <row r="1" ht="22.5" customHeight="1">
      <c r="A1" s="39" t="s">
        <v>48</v>
      </c>
      <c r="B1" s="39" t="s">
        <v>49</v>
      </c>
      <c r="C1" s="39" t="s">
        <v>5</v>
      </c>
      <c r="D1" s="39" t="s">
        <v>3</v>
      </c>
      <c r="E1" s="40"/>
      <c r="F1" s="39" t="s">
        <v>48</v>
      </c>
      <c r="G1" s="39" t="s">
        <v>49</v>
      </c>
      <c r="H1" s="39" t="s">
        <v>5</v>
      </c>
      <c r="I1" s="39" t="s">
        <v>3</v>
      </c>
      <c r="J1" s="40"/>
      <c r="K1" s="41" t="s">
        <v>50</v>
      </c>
      <c r="L1" s="42" t="s">
        <v>48</v>
      </c>
      <c r="M1" s="39" t="s">
        <v>49</v>
      </c>
      <c r="N1" s="39" t="s">
        <v>5</v>
      </c>
      <c r="O1" s="39" t="s">
        <v>3</v>
      </c>
      <c r="P1" s="43" t="s">
        <v>51</v>
      </c>
      <c r="Q1" s="40"/>
      <c r="R1" s="44" t="s">
        <v>50</v>
      </c>
      <c r="S1" s="39" t="s">
        <v>48</v>
      </c>
      <c r="T1" s="39" t="s">
        <v>49</v>
      </c>
      <c r="U1" s="39" t="s">
        <v>5</v>
      </c>
      <c r="V1" s="39" t="s">
        <v>3</v>
      </c>
      <c r="W1" s="43" t="s">
        <v>51</v>
      </c>
      <c r="X1" s="45"/>
      <c r="Y1" s="46" t="s">
        <v>50</v>
      </c>
      <c r="Z1" s="47" t="s">
        <v>48</v>
      </c>
      <c r="AA1" s="48" t="s">
        <v>49</v>
      </c>
      <c r="AB1" s="48" t="s">
        <v>5</v>
      </c>
      <c r="AC1" s="48" t="s">
        <v>3</v>
      </c>
      <c r="AD1" s="49" t="s">
        <v>51</v>
      </c>
      <c r="AE1" s="40"/>
      <c r="AF1" s="50" t="s">
        <v>50</v>
      </c>
      <c r="AG1" s="47" t="s">
        <v>48</v>
      </c>
      <c r="AH1" s="48" t="s">
        <v>49</v>
      </c>
      <c r="AI1" s="48" t="s">
        <v>5</v>
      </c>
      <c r="AJ1" s="48" t="s">
        <v>3</v>
      </c>
      <c r="AK1" s="49" t="s">
        <v>51</v>
      </c>
      <c r="AL1" s="51" t="s">
        <v>52</v>
      </c>
      <c r="AM1" s="52" t="s">
        <v>50</v>
      </c>
      <c r="AN1" s="53" t="s">
        <v>48</v>
      </c>
      <c r="AO1" s="54" t="s">
        <v>49</v>
      </c>
      <c r="AP1" s="54" t="s">
        <v>5</v>
      </c>
      <c r="AQ1" s="54" t="s">
        <v>3</v>
      </c>
      <c r="AR1" s="55" t="s">
        <v>51</v>
      </c>
      <c r="AS1" s="56" t="s">
        <v>53</v>
      </c>
      <c r="AT1" s="52" t="s">
        <v>50</v>
      </c>
      <c r="AU1" s="53" t="s">
        <v>48</v>
      </c>
      <c r="AV1" s="54" t="s">
        <v>49</v>
      </c>
      <c r="AW1" s="54" t="s">
        <v>5</v>
      </c>
      <c r="AX1" s="54" t="s">
        <v>3</v>
      </c>
      <c r="AY1" s="55" t="s">
        <v>51</v>
      </c>
    </row>
    <row r="2" ht="22.5" customHeight="1">
      <c r="A2" s="57"/>
      <c r="B2" s="57"/>
      <c r="C2" s="58"/>
      <c r="D2" s="58"/>
      <c r="F2" s="59"/>
      <c r="G2" s="59"/>
      <c r="H2" s="58"/>
      <c r="I2" s="58"/>
      <c r="K2" s="60">
        <v>46092.0</v>
      </c>
      <c r="L2" s="57" t="s">
        <v>54</v>
      </c>
      <c r="M2" s="57" t="s">
        <v>55</v>
      </c>
      <c r="N2" s="58" t="s">
        <v>24</v>
      </c>
      <c r="O2" s="58" t="s">
        <v>9</v>
      </c>
      <c r="P2" s="61"/>
      <c r="R2" s="62">
        <v>46298.0</v>
      </c>
      <c r="S2" s="63" t="s">
        <v>56</v>
      </c>
      <c r="T2" s="64" t="s">
        <v>57</v>
      </c>
      <c r="U2" s="65" t="s">
        <v>11</v>
      </c>
      <c r="V2" s="65" t="s">
        <v>20</v>
      </c>
      <c r="W2" s="61"/>
      <c r="X2" s="66"/>
      <c r="Y2" s="67">
        <v>46097.0</v>
      </c>
      <c r="Z2" s="68" t="s">
        <v>58</v>
      </c>
      <c r="AA2" s="68" t="s">
        <v>59</v>
      </c>
      <c r="AB2" s="69" t="s">
        <v>29</v>
      </c>
      <c r="AC2" s="69" t="s">
        <v>9</v>
      </c>
      <c r="AD2" s="70" t="s">
        <v>60</v>
      </c>
      <c r="AF2" s="71">
        <v>46097.0</v>
      </c>
      <c r="AG2" s="72" t="s">
        <v>61</v>
      </c>
      <c r="AH2" s="73" t="s">
        <v>62</v>
      </c>
      <c r="AI2" s="74" t="s">
        <v>25</v>
      </c>
      <c r="AJ2" s="74" t="s">
        <v>20</v>
      </c>
      <c r="AK2" s="75"/>
      <c r="AL2" s="76"/>
      <c r="AM2" s="77">
        <v>46104.0</v>
      </c>
      <c r="AN2" s="72" t="s">
        <v>63</v>
      </c>
      <c r="AO2" s="72" t="s">
        <v>64</v>
      </c>
      <c r="AP2" s="78" t="s">
        <v>22</v>
      </c>
      <c r="AQ2" s="78" t="s">
        <v>12</v>
      </c>
      <c r="AR2" s="75"/>
      <c r="AS2" s="79"/>
      <c r="AT2" s="77">
        <v>46104.0</v>
      </c>
      <c r="AU2" s="72" t="s">
        <v>65</v>
      </c>
      <c r="AV2" s="72" t="s">
        <v>66</v>
      </c>
      <c r="AW2" s="78" t="s">
        <v>18</v>
      </c>
      <c r="AX2" s="78" t="s">
        <v>17</v>
      </c>
      <c r="AY2" s="80"/>
    </row>
    <row r="3" ht="22.5" customHeight="1">
      <c r="A3" s="59"/>
      <c r="B3" s="59"/>
      <c r="C3" s="58"/>
      <c r="D3" s="58"/>
      <c r="F3" s="59"/>
      <c r="G3" s="59"/>
      <c r="H3" s="81"/>
      <c r="I3" s="81"/>
      <c r="K3" s="60">
        <v>46092.0</v>
      </c>
      <c r="L3" s="57" t="s">
        <v>67</v>
      </c>
      <c r="M3" s="57" t="s">
        <v>68</v>
      </c>
      <c r="N3" s="58" t="s">
        <v>22</v>
      </c>
      <c r="O3" s="58" t="s">
        <v>9</v>
      </c>
      <c r="P3" s="61"/>
      <c r="R3" s="62">
        <v>46298.0</v>
      </c>
      <c r="S3" s="63" t="s">
        <v>69</v>
      </c>
      <c r="T3" s="82" t="s">
        <v>70</v>
      </c>
      <c r="U3" s="65" t="s">
        <v>11</v>
      </c>
      <c r="V3" s="65" t="s">
        <v>20</v>
      </c>
      <c r="W3" s="61"/>
      <c r="X3" s="66"/>
      <c r="Y3" s="67">
        <v>46097.0</v>
      </c>
      <c r="Z3" s="68" t="s">
        <v>71</v>
      </c>
      <c r="AA3" s="68" t="s">
        <v>72</v>
      </c>
      <c r="AB3" s="69" t="s">
        <v>29</v>
      </c>
      <c r="AC3" s="69" t="s">
        <v>9</v>
      </c>
      <c r="AD3" s="70" t="s">
        <v>60</v>
      </c>
      <c r="AF3" s="71">
        <v>46097.0</v>
      </c>
      <c r="AG3" s="72" t="s">
        <v>73</v>
      </c>
      <c r="AH3" s="83" t="s">
        <v>74</v>
      </c>
      <c r="AI3" s="74" t="s">
        <v>25</v>
      </c>
      <c r="AJ3" s="74" t="s">
        <v>20</v>
      </c>
      <c r="AK3" s="75"/>
      <c r="AL3" s="76"/>
      <c r="AM3" s="84">
        <v>46104.0</v>
      </c>
      <c r="AN3" s="85" t="s">
        <v>75</v>
      </c>
      <c r="AO3" s="85" t="s">
        <v>76</v>
      </c>
      <c r="AP3" s="86" t="s">
        <v>22</v>
      </c>
      <c r="AQ3" s="87" t="s">
        <v>9</v>
      </c>
      <c r="AR3" s="88"/>
      <c r="AS3" s="89"/>
      <c r="AT3" s="90">
        <v>46104.0</v>
      </c>
      <c r="AU3" s="91" t="s">
        <v>77</v>
      </c>
      <c r="AV3" s="91" t="s">
        <v>78</v>
      </c>
      <c r="AW3" s="92" t="s">
        <v>15</v>
      </c>
      <c r="AX3" s="93" t="s">
        <v>17</v>
      </c>
      <c r="AY3" s="94"/>
    </row>
    <row r="4" ht="22.5" customHeight="1">
      <c r="A4" s="59"/>
      <c r="B4" s="59"/>
      <c r="C4" s="81"/>
      <c r="D4" s="58"/>
      <c r="F4" s="59"/>
      <c r="G4" s="59"/>
      <c r="H4" s="81"/>
      <c r="I4" s="81"/>
      <c r="K4" s="60">
        <v>46092.0</v>
      </c>
      <c r="L4" s="57" t="s">
        <v>79</v>
      </c>
      <c r="M4" s="57" t="s">
        <v>80</v>
      </c>
      <c r="N4" s="58" t="s">
        <v>10</v>
      </c>
      <c r="O4" s="58" t="s">
        <v>9</v>
      </c>
      <c r="P4" s="61"/>
      <c r="R4" s="62">
        <v>46298.0</v>
      </c>
      <c r="S4" s="63" t="s">
        <v>81</v>
      </c>
      <c r="T4" s="95" t="s">
        <v>82</v>
      </c>
      <c r="U4" s="65" t="s">
        <v>11</v>
      </c>
      <c r="V4" s="65" t="s">
        <v>20</v>
      </c>
      <c r="W4" s="61"/>
      <c r="X4" s="66"/>
      <c r="Y4" s="77">
        <v>46097.0</v>
      </c>
      <c r="Z4" s="72" t="s">
        <v>83</v>
      </c>
      <c r="AA4" s="72" t="s">
        <v>84</v>
      </c>
      <c r="AB4" s="78" t="s">
        <v>16</v>
      </c>
      <c r="AC4" s="78" t="s">
        <v>9</v>
      </c>
      <c r="AD4" s="75"/>
      <c r="AF4" s="71">
        <v>46097.0</v>
      </c>
      <c r="AG4" s="72" t="s">
        <v>85</v>
      </c>
      <c r="AH4" s="96" t="s">
        <v>86</v>
      </c>
      <c r="AI4" s="74" t="s">
        <v>21</v>
      </c>
      <c r="AJ4" s="74" t="s">
        <v>20</v>
      </c>
      <c r="AK4" s="75"/>
      <c r="AL4" s="76"/>
      <c r="AM4" s="84">
        <v>46104.0</v>
      </c>
      <c r="AN4" s="85" t="s">
        <v>87</v>
      </c>
      <c r="AO4" s="85" t="s">
        <v>88</v>
      </c>
      <c r="AP4" s="86" t="s">
        <v>22</v>
      </c>
      <c r="AQ4" s="87" t="s">
        <v>9</v>
      </c>
      <c r="AR4" s="97"/>
      <c r="AS4" s="98"/>
      <c r="AT4" s="90">
        <v>46104.0</v>
      </c>
      <c r="AU4" s="99" t="s">
        <v>89</v>
      </c>
      <c r="AV4" s="99" t="s">
        <v>90</v>
      </c>
      <c r="AW4" s="100" t="s">
        <v>23</v>
      </c>
      <c r="AX4" s="101" t="s">
        <v>20</v>
      </c>
      <c r="AY4" s="80"/>
    </row>
    <row r="5" ht="22.5" customHeight="1">
      <c r="A5" s="59"/>
      <c r="B5" s="59"/>
      <c r="C5" s="81"/>
      <c r="D5" s="58"/>
      <c r="F5" s="59"/>
      <c r="G5" s="59"/>
      <c r="H5" s="81"/>
      <c r="I5" s="81"/>
      <c r="K5" s="60">
        <v>46092.0</v>
      </c>
      <c r="L5" s="57" t="s">
        <v>91</v>
      </c>
      <c r="M5" s="57" t="s">
        <v>92</v>
      </c>
      <c r="N5" s="58" t="s">
        <v>24</v>
      </c>
      <c r="O5" s="58" t="s">
        <v>9</v>
      </c>
      <c r="P5" s="61"/>
      <c r="R5" s="62">
        <v>46298.0</v>
      </c>
      <c r="S5" s="63" t="s">
        <v>93</v>
      </c>
      <c r="T5" s="102" t="s">
        <v>94</v>
      </c>
      <c r="U5" s="65" t="s">
        <v>11</v>
      </c>
      <c r="V5" s="65" t="s">
        <v>20</v>
      </c>
      <c r="W5" s="61"/>
      <c r="X5" s="66"/>
      <c r="Y5" s="67">
        <v>46098.0</v>
      </c>
      <c r="Z5" s="68" t="s">
        <v>95</v>
      </c>
      <c r="AA5" s="103" t="s">
        <v>96</v>
      </c>
      <c r="AB5" s="69" t="s">
        <v>22</v>
      </c>
      <c r="AC5" s="69" t="s">
        <v>9</v>
      </c>
      <c r="AD5" s="70" t="s">
        <v>60</v>
      </c>
      <c r="AF5" s="104">
        <v>46097.0</v>
      </c>
      <c r="AG5" s="68" t="s">
        <v>97</v>
      </c>
      <c r="AH5" s="105" t="s">
        <v>98</v>
      </c>
      <c r="AI5" s="106" t="s">
        <v>21</v>
      </c>
      <c r="AJ5" s="106" t="s">
        <v>20</v>
      </c>
      <c r="AK5" s="70" t="s">
        <v>60</v>
      </c>
      <c r="AL5" s="76"/>
      <c r="AM5" s="84">
        <v>46104.0</v>
      </c>
      <c r="AN5" s="85" t="s">
        <v>99</v>
      </c>
      <c r="AO5" s="85" t="s">
        <v>100</v>
      </c>
      <c r="AP5" s="86" t="s">
        <v>22</v>
      </c>
      <c r="AQ5" s="87" t="s">
        <v>9</v>
      </c>
      <c r="AR5" s="88"/>
      <c r="AS5" s="89"/>
      <c r="AT5" s="90">
        <v>46104.0</v>
      </c>
      <c r="AU5" s="91" t="s">
        <v>101</v>
      </c>
      <c r="AV5" s="107" t="s">
        <v>102</v>
      </c>
      <c r="AW5" s="92" t="s">
        <v>11</v>
      </c>
      <c r="AX5" s="93" t="s">
        <v>20</v>
      </c>
      <c r="AY5" s="94"/>
    </row>
    <row r="6" ht="22.5" customHeight="1">
      <c r="A6" s="59"/>
      <c r="B6" s="59"/>
      <c r="C6" s="81"/>
      <c r="D6" s="81"/>
      <c r="F6" s="59"/>
      <c r="G6" s="59"/>
      <c r="H6" s="81"/>
      <c r="I6" s="81"/>
      <c r="K6" s="60">
        <v>46092.0</v>
      </c>
      <c r="L6" s="57" t="s">
        <v>103</v>
      </c>
      <c r="M6" s="57" t="s">
        <v>104</v>
      </c>
      <c r="N6" s="58" t="s">
        <v>24</v>
      </c>
      <c r="O6" s="58" t="s">
        <v>12</v>
      </c>
      <c r="P6" s="61"/>
      <c r="R6" s="62">
        <v>46298.0</v>
      </c>
      <c r="S6" s="108" t="s">
        <v>105</v>
      </c>
      <c r="T6" s="82" t="s">
        <v>106</v>
      </c>
      <c r="U6" s="65" t="s">
        <v>11</v>
      </c>
      <c r="V6" s="65" t="s">
        <v>20</v>
      </c>
      <c r="W6" s="109" t="s">
        <v>107</v>
      </c>
      <c r="X6" s="66"/>
      <c r="Y6" s="77">
        <v>46098.0</v>
      </c>
      <c r="Z6" s="72" t="s">
        <v>108</v>
      </c>
      <c r="AA6" s="110" t="s">
        <v>109</v>
      </c>
      <c r="AB6" s="78" t="s">
        <v>22</v>
      </c>
      <c r="AC6" s="78" t="s">
        <v>9</v>
      </c>
      <c r="AD6" s="75"/>
      <c r="AF6" s="71">
        <v>46097.0</v>
      </c>
      <c r="AG6" s="72" t="s">
        <v>110</v>
      </c>
      <c r="AH6" s="83" t="s">
        <v>111</v>
      </c>
      <c r="AI6" s="74" t="s">
        <v>21</v>
      </c>
      <c r="AJ6" s="74" t="s">
        <v>20</v>
      </c>
      <c r="AK6" s="111"/>
      <c r="AL6" s="112"/>
      <c r="AM6" s="84">
        <v>46104.0</v>
      </c>
      <c r="AN6" s="85" t="s">
        <v>112</v>
      </c>
      <c r="AO6" s="85" t="s">
        <v>113</v>
      </c>
      <c r="AP6" s="86" t="s">
        <v>22</v>
      </c>
      <c r="AQ6" s="87" t="s">
        <v>9</v>
      </c>
      <c r="AR6" s="97"/>
      <c r="AS6" s="98"/>
      <c r="AT6" s="90">
        <v>46104.0</v>
      </c>
      <c r="AU6" s="99" t="s">
        <v>114</v>
      </c>
      <c r="AV6" s="99" t="s">
        <v>115</v>
      </c>
      <c r="AW6" s="100" t="s">
        <v>11</v>
      </c>
      <c r="AX6" s="101" t="s">
        <v>20</v>
      </c>
      <c r="AY6" s="80"/>
    </row>
    <row r="7" ht="22.5" customHeight="1">
      <c r="A7" s="59"/>
      <c r="B7" s="59"/>
      <c r="C7" s="81"/>
      <c r="D7" s="81"/>
      <c r="F7" s="59"/>
      <c r="G7" s="59"/>
      <c r="H7" s="81"/>
      <c r="I7" s="81"/>
      <c r="K7" s="60">
        <v>46092.0</v>
      </c>
      <c r="L7" s="57" t="s">
        <v>116</v>
      </c>
      <c r="M7" s="57" t="s">
        <v>117</v>
      </c>
      <c r="N7" s="58" t="s">
        <v>16</v>
      </c>
      <c r="O7" s="58" t="s">
        <v>12</v>
      </c>
      <c r="P7" s="61"/>
      <c r="R7" s="62">
        <v>46298.0</v>
      </c>
      <c r="S7" s="82" t="s">
        <v>118</v>
      </c>
      <c r="T7" s="82" t="s">
        <v>119</v>
      </c>
      <c r="U7" s="65" t="s">
        <v>11</v>
      </c>
      <c r="V7" s="65" t="s">
        <v>20</v>
      </c>
      <c r="W7" s="61"/>
      <c r="X7" s="66"/>
      <c r="Y7" s="77">
        <v>46098.0</v>
      </c>
      <c r="Z7" s="72" t="s">
        <v>120</v>
      </c>
      <c r="AA7" s="110" t="s">
        <v>121</v>
      </c>
      <c r="AB7" s="78" t="s">
        <v>22</v>
      </c>
      <c r="AC7" s="78" t="s">
        <v>9</v>
      </c>
      <c r="AD7" s="75"/>
      <c r="AF7" s="71">
        <v>46097.0</v>
      </c>
      <c r="AG7" s="72" t="s">
        <v>122</v>
      </c>
      <c r="AH7" s="83" t="s">
        <v>123</v>
      </c>
      <c r="AI7" s="74" t="s">
        <v>11</v>
      </c>
      <c r="AJ7" s="74" t="s">
        <v>20</v>
      </c>
      <c r="AK7" s="75"/>
      <c r="AL7" s="76"/>
      <c r="AM7" s="84">
        <v>46104.0</v>
      </c>
      <c r="AN7" s="85" t="s">
        <v>124</v>
      </c>
      <c r="AO7" s="85" t="s">
        <v>125</v>
      </c>
      <c r="AP7" s="86" t="s">
        <v>22</v>
      </c>
      <c r="AQ7" s="87" t="s">
        <v>9</v>
      </c>
      <c r="AR7" s="97"/>
      <c r="AS7" s="98"/>
      <c r="AT7" s="90">
        <v>46104.0</v>
      </c>
      <c r="AU7" s="91" t="s">
        <v>126</v>
      </c>
      <c r="AV7" s="91" t="s">
        <v>127</v>
      </c>
      <c r="AW7" s="92" t="s">
        <v>11</v>
      </c>
      <c r="AX7" s="93" t="s">
        <v>20</v>
      </c>
      <c r="AY7" s="94"/>
    </row>
    <row r="8" ht="22.5" customHeight="1">
      <c r="A8" s="59"/>
      <c r="B8" s="59"/>
      <c r="C8" s="81"/>
      <c r="D8" s="81"/>
      <c r="F8" s="59"/>
      <c r="G8" s="59"/>
      <c r="H8" s="81"/>
      <c r="I8" s="81"/>
      <c r="K8" s="60">
        <v>46092.0</v>
      </c>
      <c r="L8" s="57" t="s">
        <v>128</v>
      </c>
      <c r="M8" s="57" t="s">
        <v>129</v>
      </c>
      <c r="N8" s="58" t="s">
        <v>19</v>
      </c>
      <c r="O8" s="58" t="s">
        <v>12</v>
      </c>
      <c r="P8" s="61"/>
      <c r="R8" s="62">
        <v>46298.0</v>
      </c>
      <c r="S8" s="82" t="s">
        <v>130</v>
      </c>
      <c r="T8" s="82" t="s">
        <v>131</v>
      </c>
      <c r="U8" s="65" t="s">
        <v>11</v>
      </c>
      <c r="V8" s="65" t="s">
        <v>20</v>
      </c>
      <c r="W8" s="61"/>
      <c r="X8" s="66"/>
      <c r="Y8" s="77">
        <v>46098.0</v>
      </c>
      <c r="Z8" s="72" t="s">
        <v>132</v>
      </c>
      <c r="AA8" s="113" t="s">
        <v>133</v>
      </c>
      <c r="AB8" s="78" t="s">
        <v>22</v>
      </c>
      <c r="AC8" s="78" t="s">
        <v>9</v>
      </c>
      <c r="AD8" s="75"/>
      <c r="AF8" s="71">
        <v>46097.0</v>
      </c>
      <c r="AG8" s="72" t="s">
        <v>134</v>
      </c>
      <c r="AH8" s="83" t="s">
        <v>135</v>
      </c>
      <c r="AI8" s="74" t="s">
        <v>11</v>
      </c>
      <c r="AJ8" s="74" t="s">
        <v>20</v>
      </c>
      <c r="AK8" s="75"/>
      <c r="AL8" s="76"/>
      <c r="AM8" s="84">
        <v>46104.0</v>
      </c>
      <c r="AN8" s="85" t="s">
        <v>136</v>
      </c>
      <c r="AO8" s="85" t="s">
        <v>137</v>
      </c>
      <c r="AP8" s="86" t="s">
        <v>30</v>
      </c>
      <c r="AQ8" s="87" t="s">
        <v>12</v>
      </c>
      <c r="AR8" s="97"/>
      <c r="AS8" s="98"/>
      <c r="AT8" s="90">
        <v>46104.0</v>
      </c>
      <c r="AU8" s="99" t="s">
        <v>138</v>
      </c>
      <c r="AV8" s="99" t="s">
        <v>139</v>
      </c>
      <c r="AW8" s="100" t="s">
        <v>11</v>
      </c>
      <c r="AX8" s="101" t="s">
        <v>20</v>
      </c>
      <c r="AY8" s="80"/>
    </row>
    <row r="9" ht="22.5" customHeight="1">
      <c r="A9" s="59"/>
      <c r="B9" s="59"/>
      <c r="C9" s="81"/>
      <c r="D9" s="81"/>
      <c r="F9" s="59"/>
      <c r="G9" s="59"/>
      <c r="H9" s="81"/>
      <c r="I9" s="81"/>
      <c r="K9" s="60">
        <v>46092.0</v>
      </c>
      <c r="L9" s="57" t="s">
        <v>140</v>
      </c>
      <c r="M9" s="57" t="s">
        <v>141</v>
      </c>
      <c r="N9" s="58" t="s">
        <v>22</v>
      </c>
      <c r="O9" s="58" t="s">
        <v>12</v>
      </c>
      <c r="P9" s="61"/>
      <c r="R9" s="62">
        <v>46298.0</v>
      </c>
      <c r="S9" s="82" t="s">
        <v>142</v>
      </c>
      <c r="T9" s="82" t="s">
        <v>143</v>
      </c>
      <c r="U9" s="65" t="s">
        <v>11</v>
      </c>
      <c r="V9" s="65" t="s">
        <v>20</v>
      </c>
      <c r="W9" s="61"/>
      <c r="X9" s="66"/>
      <c r="Y9" s="77">
        <v>46098.0</v>
      </c>
      <c r="Z9" s="72" t="s">
        <v>144</v>
      </c>
      <c r="AA9" s="72" t="s">
        <v>145</v>
      </c>
      <c r="AB9" s="78" t="s">
        <v>22</v>
      </c>
      <c r="AC9" s="78" t="s">
        <v>9</v>
      </c>
      <c r="AD9" s="75"/>
      <c r="AF9" s="71">
        <v>46097.0</v>
      </c>
      <c r="AG9" s="72" t="s">
        <v>146</v>
      </c>
      <c r="AH9" s="83" t="s">
        <v>147</v>
      </c>
      <c r="AI9" s="74" t="s">
        <v>11</v>
      </c>
      <c r="AJ9" s="74" t="s">
        <v>20</v>
      </c>
      <c r="AK9" s="75"/>
      <c r="AL9" s="76"/>
      <c r="AM9" s="84">
        <v>46104.0</v>
      </c>
      <c r="AN9" s="85" t="s">
        <v>148</v>
      </c>
      <c r="AO9" s="85" t="s">
        <v>149</v>
      </c>
      <c r="AP9" s="86" t="s">
        <v>30</v>
      </c>
      <c r="AQ9" s="87" t="s">
        <v>12</v>
      </c>
      <c r="AR9" s="97"/>
      <c r="AS9" s="98"/>
      <c r="AT9" s="90">
        <v>46104.0</v>
      </c>
      <c r="AU9" s="91" t="s">
        <v>150</v>
      </c>
      <c r="AV9" s="91" t="s">
        <v>151</v>
      </c>
      <c r="AW9" s="92" t="s">
        <v>11</v>
      </c>
      <c r="AX9" s="93" t="s">
        <v>20</v>
      </c>
      <c r="AY9" s="94"/>
    </row>
    <row r="10" ht="22.5" customHeight="1">
      <c r="A10" s="59"/>
      <c r="B10" s="59"/>
      <c r="C10" s="81"/>
      <c r="D10" s="81"/>
      <c r="F10" s="59"/>
      <c r="G10" s="59"/>
      <c r="H10" s="81"/>
      <c r="I10" s="81"/>
      <c r="K10" s="60">
        <v>46092.0</v>
      </c>
      <c r="L10" s="57" t="s">
        <v>152</v>
      </c>
      <c r="M10" s="57" t="s">
        <v>153</v>
      </c>
      <c r="N10" s="58" t="s">
        <v>22</v>
      </c>
      <c r="O10" s="58" t="s">
        <v>12</v>
      </c>
      <c r="P10" s="61"/>
      <c r="R10" s="62">
        <v>46298.0</v>
      </c>
      <c r="S10" s="82" t="s">
        <v>154</v>
      </c>
      <c r="T10" s="82" t="s">
        <v>155</v>
      </c>
      <c r="U10" s="65" t="s">
        <v>11</v>
      </c>
      <c r="V10" s="65" t="s">
        <v>20</v>
      </c>
      <c r="W10" s="61"/>
      <c r="X10" s="66"/>
      <c r="Y10" s="77">
        <v>46098.0</v>
      </c>
      <c r="Z10" s="72" t="s">
        <v>156</v>
      </c>
      <c r="AA10" s="72" t="s">
        <v>157</v>
      </c>
      <c r="AB10" s="78" t="s">
        <v>22</v>
      </c>
      <c r="AC10" s="78" t="s">
        <v>12</v>
      </c>
      <c r="AD10" s="75"/>
      <c r="AF10" s="71">
        <v>46097.0</v>
      </c>
      <c r="AG10" s="72" t="s">
        <v>158</v>
      </c>
      <c r="AH10" s="83" t="s">
        <v>159</v>
      </c>
      <c r="AI10" s="74" t="s">
        <v>11</v>
      </c>
      <c r="AJ10" s="74" t="s">
        <v>20</v>
      </c>
      <c r="AK10" s="75"/>
      <c r="AL10" s="76"/>
      <c r="AM10" s="84">
        <v>46105.0</v>
      </c>
      <c r="AN10" s="85" t="s">
        <v>160</v>
      </c>
      <c r="AO10" s="85" t="s">
        <v>161</v>
      </c>
      <c r="AP10" s="86" t="s">
        <v>19</v>
      </c>
      <c r="AQ10" s="114" t="s">
        <v>9</v>
      </c>
      <c r="AR10" s="97"/>
      <c r="AS10" s="98"/>
      <c r="AT10" s="90">
        <v>46104.0</v>
      </c>
      <c r="AU10" s="99" t="s">
        <v>162</v>
      </c>
      <c r="AV10" s="99" t="s">
        <v>163</v>
      </c>
      <c r="AW10" s="100" t="s">
        <v>11</v>
      </c>
      <c r="AX10" s="101" t="s">
        <v>20</v>
      </c>
      <c r="AY10" s="80"/>
    </row>
    <row r="11" ht="22.5" customHeight="1">
      <c r="A11" s="59"/>
      <c r="B11" s="59"/>
      <c r="C11" s="81"/>
      <c r="D11" s="81"/>
      <c r="F11" s="59"/>
      <c r="G11" s="59"/>
      <c r="H11" s="81"/>
      <c r="I11" s="81"/>
      <c r="K11" s="60">
        <v>46092.0</v>
      </c>
      <c r="L11" s="57" t="s">
        <v>164</v>
      </c>
      <c r="M11" s="57" t="s">
        <v>165</v>
      </c>
      <c r="N11" s="58" t="s">
        <v>22</v>
      </c>
      <c r="O11" s="58" t="s">
        <v>12</v>
      </c>
      <c r="P11" s="61"/>
      <c r="R11" s="62">
        <v>46298.0</v>
      </c>
      <c r="S11" s="82" t="s">
        <v>166</v>
      </c>
      <c r="T11" s="82" t="s">
        <v>167</v>
      </c>
      <c r="U11" s="65" t="s">
        <v>11</v>
      </c>
      <c r="V11" s="65" t="s">
        <v>20</v>
      </c>
      <c r="W11" s="61"/>
      <c r="X11" s="66"/>
      <c r="Y11" s="115">
        <v>46098.0</v>
      </c>
      <c r="Z11" s="116" t="s">
        <v>168</v>
      </c>
      <c r="AA11" s="116" t="s">
        <v>169</v>
      </c>
      <c r="AB11" s="117" t="s">
        <v>13</v>
      </c>
      <c r="AC11" s="117" t="s">
        <v>9</v>
      </c>
      <c r="AD11" s="118" t="s">
        <v>170</v>
      </c>
      <c r="AF11" s="119">
        <v>46097.0</v>
      </c>
      <c r="AG11" s="116" t="s">
        <v>171</v>
      </c>
      <c r="AH11" s="120" t="s">
        <v>172</v>
      </c>
      <c r="AI11" s="121" t="s">
        <v>11</v>
      </c>
      <c r="AJ11" s="121" t="s">
        <v>20</v>
      </c>
      <c r="AK11" s="118" t="s">
        <v>170</v>
      </c>
      <c r="AL11" s="76"/>
      <c r="AM11" s="84">
        <v>46104.0</v>
      </c>
      <c r="AN11" s="85" t="s">
        <v>173</v>
      </c>
      <c r="AO11" s="85" t="s">
        <v>174</v>
      </c>
      <c r="AP11" s="86" t="s">
        <v>13</v>
      </c>
      <c r="AQ11" s="87" t="s">
        <v>12</v>
      </c>
      <c r="AR11" s="88"/>
      <c r="AS11" s="89"/>
      <c r="AT11" s="90">
        <v>46104.0</v>
      </c>
      <c r="AU11" s="91" t="s">
        <v>175</v>
      </c>
      <c r="AV11" s="91" t="s">
        <v>176</v>
      </c>
      <c r="AW11" s="92" t="s">
        <v>11</v>
      </c>
      <c r="AX11" s="93" t="s">
        <v>20</v>
      </c>
      <c r="AY11" s="94"/>
    </row>
    <row r="12" ht="22.5" customHeight="1">
      <c r="A12" s="59"/>
      <c r="B12" s="59"/>
      <c r="C12" s="81"/>
      <c r="D12" s="81"/>
      <c r="F12" s="59"/>
      <c r="G12" s="59"/>
      <c r="H12" s="81"/>
      <c r="I12" s="81"/>
      <c r="K12" s="60">
        <v>46093.0</v>
      </c>
      <c r="L12" s="57" t="s">
        <v>177</v>
      </c>
      <c r="M12" s="57" t="s">
        <v>178</v>
      </c>
      <c r="N12" s="58" t="s">
        <v>22</v>
      </c>
      <c r="O12" s="58" t="s">
        <v>9</v>
      </c>
      <c r="P12" s="61"/>
      <c r="R12" s="62">
        <v>46298.0</v>
      </c>
      <c r="S12" s="82" t="s">
        <v>179</v>
      </c>
      <c r="T12" s="82" t="s">
        <v>180</v>
      </c>
      <c r="U12" s="65" t="s">
        <v>11</v>
      </c>
      <c r="V12" s="65" t="s">
        <v>20</v>
      </c>
      <c r="W12" s="61"/>
      <c r="X12" s="66"/>
      <c r="Y12" s="77">
        <v>46098.0</v>
      </c>
      <c r="Z12" s="72" t="s">
        <v>181</v>
      </c>
      <c r="AA12" s="72" t="s">
        <v>182</v>
      </c>
      <c r="AB12" s="78" t="s">
        <v>22</v>
      </c>
      <c r="AC12" s="78" t="s">
        <v>12</v>
      </c>
      <c r="AD12" s="75"/>
      <c r="AF12" s="71">
        <v>46098.0</v>
      </c>
      <c r="AG12" s="72" t="s">
        <v>183</v>
      </c>
      <c r="AH12" s="83" t="s">
        <v>184</v>
      </c>
      <c r="AI12" s="74" t="s">
        <v>21</v>
      </c>
      <c r="AJ12" s="74" t="s">
        <v>17</v>
      </c>
      <c r="AK12" s="75"/>
      <c r="AL12" s="76"/>
      <c r="AM12" s="84">
        <v>46104.0</v>
      </c>
      <c r="AN12" s="85" t="s">
        <v>185</v>
      </c>
      <c r="AO12" s="85" t="s">
        <v>186</v>
      </c>
      <c r="AP12" s="86" t="s">
        <v>22</v>
      </c>
      <c r="AQ12" s="114" t="s">
        <v>12</v>
      </c>
      <c r="AR12" s="97"/>
      <c r="AS12" s="98"/>
      <c r="AT12" s="90">
        <v>46104.0</v>
      </c>
      <c r="AU12" s="99" t="s">
        <v>187</v>
      </c>
      <c r="AV12" s="99" t="s">
        <v>188</v>
      </c>
      <c r="AW12" s="100" t="s">
        <v>11</v>
      </c>
      <c r="AX12" s="100" t="s">
        <v>20</v>
      </c>
      <c r="AY12" s="80"/>
    </row>
    <row r="13" ht="22.5" customHeight="1">
      <c r="A13" s="59"/>
      <c r="B13" s="59"/>
      <c r="C13" s="81"/>
      <c r="D13" s="81"/>
      <c r="F13" s="59"/>
      <c r="G13" s="59"/>
      <c r="H13" s="81"/>
      <c r="I13" s="81"/>
      <c r="K13" s="60">
        <v>46093.0</v>
      </c>
      <c r="L13" s="57" t="s">
        <v>189</v>
      </c>
      <c r="M13" s="57" t="s">
        <v>190</v>
      </c>
      <c r="N13" s="58" t="s">
        <v>22</v>
      </c>
      <c r="O13" s="58" t="s">
        <v>9</v>
      </c>
      <c r="P13" s="61"/>
      <c r="R13" s="62">
        <v>46298.0</v>
      </c>
      <c r="S13" s="57" t="s">
        <v>191</v>
      </c>
      <c r="T13" s="57" t="s">
        <v>192</v>
      </c>
      <c r="U13" s="58" t="s">
        <v>11</v>
      </c>
      <c r="V13" s="58" t="s">
        <v>17</v>
      </c>
      <c r="W13" s="61"/>
      <c r="X13" s="66"/>
      <c r="Y13" s="77">
        <v>46098.0</v>
      </c>
      <c r="Z13" s="72" t="s">
        <v>193</v>
      </c>
      <c r="AA13" s="72" t="s">
        <v>194</v>
      </c>
      <c r="AB13" s="78" t="s">
        <v>29</v>
      </c>
      <c r="AC13" s="78" t="s">
        <v>9</v>
      </c>
      <c r="AD13" s="75"/>
      <c r="AF13" s="71">
        <v>46098.0</v>
      </c>
      <c r="AG13" s="72" t="s">
        <v>195</v>
      </c>
      <c r="AH13" s="72" t="s">
        <v>196</v>
      </c>
      <c r="AI13" s="78" t="s">
        <v>11</v>
      </c>
      <c r="AJ13" s="78" t="s">
        <v>20</v>
      </c>
      <c r="AK13" s="75"/>
      <c r="AL13" s="76"/>
      <c r="AM13" s="84">
        <v>46105.0</v>
      </c>
      <c r="AN13" s="85" t="s">
        <v>197</v>
      </c>
      <c r="AO13" s="85" t="s">
        <v>198</v>
      </c>
      <c r="AP13" s="86" t="s">
        <v>16</v>
      </c>
      <c r="AQ13" s="87" t="s">
        <v>9</v>
      </c>
      <c r="AR13" s="97"/>
      <c r="AS13" s="98"/>
      <c r="AT13" s="90">
        <v>46104.0</v>
      </c>
      <c r="AU13" s="91" t="s">
        <v>199</v>
      </c>
      <c r="AV13" s="91" t="s">
        <v>200</v>
      </c>
      <c r="AW13" s="92" t="s">
        <v>11</v>
      </c>
      <c r="AX13" s="93" t="s">
        <v>20</v>
      </c>
      <c r="AY13" s="94"/>
    </row>
    <row r="14" ht="22.5" customHeight="1">
      <c r="A14" s="59"/>
      <c r="B14" s="59"/>
      <c r="C14" s="81"/>
      <c r="D14" s="81"/>
      <c r="F14" s="59"/>
      <c r="G14" s="59"/>
      <c r="H14" s="81"/>
      <c r="I14" s="81"/>
      <c r="K14" s="60">
        <v>46093.0</v>
      </c>
      <c r="L14" s="57" t="s">
        <v>201</v>
      </c>
      <c r="M14" s="57" t="s">
        <v>202</v>
      </c>
      <c r="N14" s="58" t="s">
        <v>22</v>
      </c>
      <c r="O14" s="58" t="s">
        <v>9</v>
      </c>
      <c r="P14" s="61"/>
      <c r="R14" s="62">
        <v>46298.0</v>
      </c>
      <c r="S14" s="57" t="s">
        <v>203</v>
      </c>
      <c r="T14" s="57" t="s">
        <v>204</v>
      </c>
      <c r="U14" s="58" t="s">
        <v>11</v>
      </c>
      <c r="V14" s="58" t="s">
        <v>17</v>
      </c>
      <c r="W14" s="61"/>
      <c r="X14" s="66"/>
      <c r="Y14" s="77">
        <v>46098.0</v>
      </c>
      <c r="Z14" s="72" t="s">
        <v>205</v>
      </c>
      <c r="AA14" s="72" t="s">
        <v>206</v>
      </c>
      <c r="AB14" s="78" t="s">
        <v>22</v>
      </c>
      <c r="AC14" s="78" t="s">
        <v>12</v>
      </c>
      <c r="AD14" s="75"/>
      <c r="AF14" s="71">
        <v>46098.0</v>
      </c>
      <c r="AG14" s="72" t="s">
        <v>207</v>
      </c>
      <c r="AH14" s="72" t="s">
        <v>208</v>
      </c>
      <c r="AI14" s="78" t="s">
        <v>11</v>
      </c>
      <c r="AJ14" s="78" t="s">
        <v>20</v>
      </c>
      <c r="AK14" s="75"/>
      <c r="AL14" s="76"/>
      <c r="AM14" s="84">
        <v>46104.0</v>
      </c>
      <c r="AN14" s="85" t="s">
        <v>209</v>
      </c>
      <c r="AO14" s="85" t="s">
        <v>210</v>
      </c>
      <c r="AP14" s="86" t="s">
        <v>22</v>
      </c>
      <c r="AQ14" s="114" t="s">
        <v>12</v>
      </c>
      <c r="AR14" s="97"/>
      <c r="AS14" s="98"/>
      <c r="AT14" s="122">
        <v>46104.0</v>
      </c>
      <c r="AU14" s="91" t="s">
        <v>211</v>
      </c>
      <c r="AV14" s="91" t="s">
        <v>212</v>
      </c>
      <c r="AW14" s="100" t="s">
        <v>18</v>
      </c>
      <c r="AX14" s="101" t="s">
        <v>14</v>
      </c>
      <c r="AY14" s="80"/>
    </row>
    <row r="15" ht="22.5" customHeight="1">
      <c r="A15" s="59"/>
      <c r="B15" s="59"/>
      <c r="C15" s="81"/>
      <c r="D15" s="81"/>
      <c r="F15" s="59"/>
      <c r="G15" s="59"/>
      <c r="H15" s="81"/>
      <c r="I15" s="81"/>
      <c r="K15" s="60">
        <v>46093.0</v>
      </c>
      <c r="L15" s="57" t="s">
        <v>213</v>
      </c>
      <c r="M15" s="57" t="s">
        <v>214</v>
      </c>
      <c r="N15" s="58" t="s">
        <v>22</v>
      </c>
      <c r="O15" s="58" t="s">
        <v>9</v>
      </c>
      <c r="P15" s="61"/>
      <c r="R15" s="62">
        <v>46298.0</v>
      </c>
      <c r="S15" s="57" t="s">
        <v>215</v>
      </c>
      <c r="T15" s="57" t="s">
        <v>216</v>
      </c>
      <c r="U15" s="58" t="s">
        <v>11</v>
      </c>
      <c r="V15" s="58" t="s">
        <v>17</v>
      </c>
      <c r="W15" s="61"/>
      <c r="X15" s="66"/>
      <c r="Y15" s="77">
        <v>46098.0</v>
      </c>
      <c r="Z15" s="72" t="s">
        <v>217</v>
      </c>
      <c r="AA15" s="72" t="s">
        <v>218</v>
      </c>
      <c r="AB15" s="78" t="s">
        <v>22</v>
      </c>
      <c r="AC15" s="78" t="s">
        <v>12</v>
      </c>
      <c r="AD15" s="75"/>
      <c r="AF15" s="71">
        <v>46098.0</v>
      </c>
      <c r="AG15" s="72" t="s">
        <v>219</v>
      </c>
      <c r="AH15" s="72" t="s">
        <v>220</v>
      </c>
      <c r="AI15" s="78" t="s">
        <v>11</v>
      </c>
      <c r="AJ15" s="78" t="s">
        <v>20</v>
      </c>
      <c r="AK15" s="75"/>
      <c r="AL15" s="76"/>
      <c r="AM15" s="84">
        <v>46105.0</v>
      </c>
      <c r="AN15" s="85" t="s">
        <v>221</v>
      </c>
      <c r="AO15" s="85" t="s">
        <v>222</v>
      </c>
      <c r="AP15" s="86" t="s">
        <v>32</v>
      </c>
      <c r="AQ15" s="114" t="s">
        <v>9</v>
      </c>
      <c r="AR15" s="97"/>
      <c r="AS15" s="98"/>
      <c r="AT15" s="122">
        <v>46104.0</v>
      </c>
      <c r="AU15" s="123" t="s">
        <v>223</v>
      </c>
      <c r="AV15" s="99" t="s">
        <v>224</v>
      </c>
      <c r="AW15" s="100" t="s">
        <v>18</v>
      </c>
      <c r="AX15" s="101" t="s">
        <v>14</v>
      </c>
      <c r="AY15" s="94"/>
    </row>
    <row r="16" ht="22.5" customHeight="1">
      <c r="A16" s="59"/>
      <c r="B16" s="59"/>
      <c r="C16" s="81"/>
      <c r="D16" s="81"/>
      <c r="F16" s="59"/>
      <c r="G16" s="59"/>
      <c r="H16" s="81"/>
      <c r="I16" s="81"/>
      <c r="K16" s="60">
        <v>46093.0</v>
      </c>
      <c r="L16" s="57" t="s">
        <v>225</v>
      </c>
      <c r="M16" s="57" t="s">
        <v>226</v>
      </c>
      <c r="N16" s="58" t="s">
        <v>10</v>
      </c>
      <c r="O16" s="58" t="s">
        <v>9</v>
      </c>
      <c r="P16" s="61"/>
      <c r="R16" s="60">
        <v>46268.0</v>
      </c>
      <c r="S16" s="57" t="s">
        <v>227</v>
      </c>
      <c r="T16" s="57" t="s">
        <v>228</v>
      </c>
      <c r="U16" s="58" t="s">
        <v>11</v>
      </c>
      <c r="V16" s="58" t="s">
        <v>17</v>
      </c>
      <c r="W16" s="61"/>
      <c r="X16" s="66"/>
      <c r="Y16" s="77">
        <v>46098.0</v>
      </c>
      <c r="Z16" s="72" t="s">
        <v>229</v>
      </c>
      <c r="AA16" s="72" t="s">
        <v>230</v>
      </c>
      <c r="AB16" s="78" t="s">
        <v>22</v>
      </c>
      <c r="AC16" s="78" t="s">
        <v>12</v>
      </c>
      <c r="AD16" s="75"/>
      <c r="AF16" s="77">
        <v>46098.0</v>
      </c>
      <c r="AG16" s="72" t="s">
        <v>231</v>
      </c>
      <c r="AH16" s="72" t="s">
        <v>232</v>
      </c>
      <c r="AI16" s="78" t="s">
        <v>11</v>
      </c>
      <c r="AJ16" s="78" t="s">
        <v>20</v>
      </c>
      <c r="AK16" s="75"/>
      <c r="AL16" s="76"/>
      <c r="AM16" s="84">
        <v>46104.0</v>
      </c>
      <c r="AN16" s="85" t="s">
        <v>233</v>
      </c>
      <c r="AO16" s="85" t="s">
        <v>234</v>
      </c>
      <c r="AP16" s="86" t="s">
        <v>22</v>
      </c>
      <c r="AQ16" s="114" t="s">
        <v>12</v>
      </c>
      <c r="AR16" s="97"/>
      <c r="AS16" s="98"/>
      <c r="AT16" s="122">
        <v>46104.0</v>
      </c>
      <c r="AU16" s="124" t="s">
        <v>235</v>
      </c>
      <c r="AV16" s="91" t="s">
        <v>236</v>
      </c>
      <c r="AW16" s="100" t="s">
        <v>18</v>
      </c>
      <c r="AX16" s="101" t="s">
        <v>14</v>
      </c>
      <c r="AY16" s="80"/>
    </row>
    <row r="17" ht="22.5" customHeight="1">
      <c r="A17" s="59"/>
      <c r="B17" s="59"/>
      <c r="C17" s="81"/>
      <c r="D17" s="81"/>
      <c r="F17" s="59"/>
      <c r="G17" s="59"/>
      <c r="H17" s="81"/>
      <c r="I17" s="81"/>
      <c r="K17" s="60">
        <v>46094.0</v>
      </c>
      <c r="L17" s="57" t="s">
        <v>237</v>
      </c>
      <c r="M17" s="57" t="s">
        <v>238</v>
      </c>
      <c r="N17" s="58" t="s">
        <v>13</v>
      </c>
      <c r="O17" s="58" t="s">
        <v>9</v>
      </c>
      <c r="P17" s="61"/>
      <c r="R17" s="60">
        <v>46091.0</v>
      </c>
      <c r="S17" s="57" t="s">
        <v>239</v>
      </c>
      <c r="T17" s="57" t="s">
        <v>240</v>
      </c>
      <c r="U17" s="58" t="s">
        <v>25</v>
      </c>
      <c r="V17" s="58" t="s">
        <v>12</v>
      </c>
      <c r="W17" s="61"/>
      <c r="X17" s="66"/>
      <c r="Y17" s="77">
        <v>46098.0</v>
      </c>
      <c r="Z17" s="72" t="s">
        <v>241</v>
      </c>
      <c r="AA17" s="72" t="s">
        <v>242</v>
      </c>
      <c r="AB17" s="78" t="s">
        <v>32</v>
      </c>
      <c r="AC17" s="78" t="s">
        <v>9</v>
      </c>
      <c r="AD17" s="75"/>
      <c r="AF17" s="77">
        <v>46098.0</v>
      </c>
      <c r="AG17" s="72" t="s">
        <v>243</v>
      </c>
      <c r="AH17" s="72" t="s">
        <v>244</v>
      </c>
      <c r="AI17" s="78" t="s">
        <v>11</v>
      </c>
      <c r="AJ17" s="78" t="s">
        <v>20</v>
      </c>
      <c r="AK17" s="75"/>
      <c r="AL17" s="76"/>
      <c r="AM17" s="84">
        <v>46104.0</v>
      </c>
      <c r="AN17" s="85" t="s">
        <v>245</v>
      </c>
      <c r="AO17" s="85" t="s">
        <v>246</v>
      </c>
      <c r="AP17" s="86" t="s">
        <v>22</v>
      </c>
      <c r="AQ17" s="87" t="s">
        <v>12</v>
      </c>
      <c r="AR17" s="97"/>
      <c r="AS17" s="98"/>
      <c r="AT17" s="122">
        <v>46104.0</v>
      </c>
      <c r="AU17" s="123" t="s">
        <v>247</v>
      </c>
      <c r="AV17" s="99" t="s">
        <v>248</v>
      </c>
      <c r="AW17" s="100" t="s">
        <v>18</v>
      </c>
      <c r="AX17" s="101" t="s">
        <v>14</v>
      </c>
      <c r="AY17" s="94"/>
    </row>
    <row r="18" ht="22.5" customHeight="1">
      <c r="A18" s="59"/>
      <c r="B18" s="59"/>
      <c r="C18" s="81"/>
      <c r="D18" s="81"/>
      <c r="F18" s="59"/>
      <c r="G18" s="59"/>
      <c r="H18" s="81"/>
      <c r="I18" s="81"/>
      <c r="K18" s="60">
        <v>46094.0</v>
      </c>
      <c r="L18" s="108" t="s">
        <v>249</v>
      </c>
      <c r="M18" s="57" t="s">
        <v>250</v>
      </c>
      <c r="N18" s="58" t="s">
        <v>22</v>
      </c>
      <c r="O18" s="58" t="s">
        <v>9</v>
      </c>
      <c r="P18" s="61"/>
      <c r="R18" s="60">
        <v>46091.0</v>
      </c>
      <c r="S18" s="57" t="s">
        <v>251</v>
      </c>
      <c r="T18" s="57" t="s">
        <v>252</v>
      </c>
      <c r="U18" s="58" t="s">
        <v>11</v>
      </c>
      <c r="V18" s="58" t="s">
        <v>12</v>
      </c>
      <c r="W18" s="61"/>
      <c r="X18" s="66"/>
      <c r="Y18" s="77">
        <v>46098.0</v>
      </c>
      <c r="Z18" s="72" t="s">
        <v>253</v>
      </c>
      <c r="AA18" s="72" t="s">
        <v>254</v>
      </c>
      <c r="AB18" s="78" t="s">
        <v>22</v>
      </c>
      <c r="AC18" s="78" t="s">
        <v>12</v>
      </c>
      <c r="AD18" s="75"/>
      <c r="AF18" s="77">
        <v>46098.0</v>
      </c>
      <c r="AG18" s="72" t="s">
        <v>255</v>
      </c>
      <c r="AH18" s="72" t="s">
        <v>256</v>
      </c>
      <c r="AI18" s="78" t="s">
        <v>11</v>
      </c>
      <c r="AJ18" s="78" t="s">
        <v>20</v>
      </c>
      <c r="AK18" s="75"/>
      <c r="AL18" s="76"/>
      <c r="AM18" s="125"/>
      <c r="AN18" s="126"/>
      <c r="AO18" s="126"/>
      <c r="AP18" s="127"/>
      <c r="AQ18" s="128"/>
      <c r="AR18" s="129"/>
      <c r="AS18" s="130"/>
      <c r="AT18" s="122">
        <v>46104.0</v>
      </c>
      <c r="AU18" s="91" t="s">
        <v>257</v>
      </c>
      <c r="AV18" s="91" t="s">
        <v>258</v>
      </c>
      <c r="AW18" s="100" t="s">
        <v>18</v>
      </c>
      <c r="AX18" s="101" t="s">
        <v>14</v>
      </c>
      <c r="AY18" s="80"/>
    </row>
    <row r="19" ht="22.5" customHeight="1">
      <c r="A19" s="59"/>
      <c r="B19" s="59"/>
      <c r="C19" s="81"/>
      <c r="D19" s="81"/>
      <c r="F19" s="59"/>
      <c r="G19" s="59"/>
      <c r="H19" s="81"/>
      <c r="I19" s="81"/>
      <c r="K19" s="60">
        <v>46094.0</v>
      </c>
      <c r="L19" s="108" t="s">
        <v>259</v>
      </c>
      <c r="M19" s="57" t="s">
        <v>260</v>
      </c>
      <c r="N19" s="58" t="s">
        <v>22</v>
      </c>
      <c r="O19" s="58" t="s">
        <v>12</v>
      </c>
      <c r="P19" s="61"/>
      <c r="R19" s="60">
        <v>46091.0</v>
      </c>
      <c r="S19" s="57" t="s">
        <v>261</v>
      </c>
      <c r="T19" s="57" t="s">
        <v>262</v>
      </c>
      <c r="U19" s="58" t="s">
        <v>11</v>
      </c>
      <c r="V19" s="58" t="s">
        <v>12</v>
      </c>
      <c r="W19" s="61"/>
      <c r="X19" s="66"/>
      <c r="Y19" s="77">
        <v>46098.0</v>
      </c>
      <c r="Z19" s="72" t="s">
        <v>263</v>
      </c>
      <c r="AA19" s="72" t="s">
        <v>264</v>
      </c>
      <c r="AB19" s="78" t="s">
        <v>22</v>
      </c>
      <c r="AC19" s="78" t="s">
        <v>31</v>
      </c>
      <c r="AD19" s="75"/>
      <c r="AF19" s="77">
        <v>46098.0</v>
      </c>
      <c r="AG19" s="72" t="s">
        <v>265</v>
      </c>
      <c r="AH19" s="72" t="s">
        <v>266</v>
      </c>
      <c r="AI19" s="78" t="s">
        <v>11</v>
      </c>
      <c r="AJ19" s="78" t="s">
        <v>20</v>
      </c>
      <c r="AK19" s="75"/>
      <c r="AL19" s="76"/>
      <c r="AM19" s="84">
        <v>46104.0</v>
      </c>
      <c r="AN19" s="85" t="s">
        <v>267</v>
      </c>
      <c r="AO19" s="85" t="s">
        <v>268</v>
      </c>
      <c r="AP19" s="86" t="s">
        <v>27</v>
      </c>
      <c r="AQ19" s="87" t="s">
        <v>12</v>
      </c>
      <c r="AR19" s="97"/>
      <c r="AS19" s="98"/>
      <c r="AT19" s="122">
        <v>46104.0</v>
      </c>
      <c r="AU19" s="91" t="s">
        <v>269</v>
      </c>
      <c r="AV19" s="91" t="s">
        <v>270</v>
      </c>
      <c r="AW19" s="92" t="s">
        <v>23</v>
      </c>
      <c r="AX19" s="93" t="s">
        <v>17</v>
      </c>
      <c r="AY19" s="94"/>
    </row>
    <row r="20" ht="22.5" customHeight="1">
      <c r="A20" s="59"/>
      <c r="B20" s="59"/>
      <c r="C20" s="81"/>
      <c r="D20" s="81"/>
      <c r="F20" s="59"/>
      <c r="G20" s="59"/>
      <c r="H20" s="81"/>
      <c r="I20" s="81"/>
      <c r="K20" s="60">
        <v>46094.0</v>
      </c>
      <c r="L20" s="57" t="s">
        <v>271</v>
      </c>
      <c r="M20" s="57" t="s">
        <v>272</v>
      </c>
      <c r="N20" s="58" t="s">
        <v>22</v>
      </c>
      <c r="O20" s="58" t="s">
        <v>12</v>
      </c>
      <c r="P20" s="61"/>
      <c r="R20" s="60">
        <v>46091.0</v>
      </c>
      <c r="S20" s="57" t="s">
        <v>273</v>
      </c>
      <c r="T20" s="57" t="s">
        <v>274</v>
      </c>
      <c r="U20" s="58" t="s">
        <v>11</v>
      </c>
      <c r="V20" s="58" t="s">
        <v>12</v>
      </c>
      <c r="W20" s="61"/>
      <c r="X20" s="66"/>
      <c r="Y20" s="77">
        <v>46098.0</v>
      </c>
      <c r="Z20" s="72" t="s">
        <v>275</v>
      </c>
      <c r="AA20" s="72" t="s">
        <v>276</v>
      </c>
      <c r="AB20" s="78" t="s">
        <v>22</v>
      </c>
      <c r="AC20" s="78" t="s">
        <v>12</v>
      </c>
      <c r="AD20" s="75"/>
      <c r="AF20" s="77">
        <v>46098.0</v>
      </c>
      <c r="AG20" s="72" t="s">
        <v>277</v>
      </c>
      <c r="AH20" s="72" t="s">
        <v>278</v>
      </c>
      <c r="AI20" s="78" t="s">
        <v>11</v>
      </c>
      <c r="AJ20" s="78" t="s">
        <v>20</v>
      </c>
      <c r="AK20" s="75"/>
      <c r="AL20" s="76"/>
      <c r="AM20" s="84">
        <v>46105.0</v>
      </c>
      <c r="AN20" s="85" t="s">
        <v>279</v>
      </c>
      <c r="AO20" s="85" t="s">
        <v>280</v>
      </c>
      <c r="AP20" s="86" t="s">
        <v>43</v>
      </c>
      <c r="AQ20" s="114" t="s">
        <v>9</v>
      </c>
      <c r="AR20" s="97"/>
      <c r="AS20" s="98"/>
      <c r="AT20" s="90">
        <v>46105.0</v>
      </c>
      <c r="AU20" s="99" t="s">
        <v>281</v>
      </c>
      <c r="AV20" s="99" t="s">
        <v>282</v>
      </c>
      <c r="AW20" s="100" t="s">
        <v>23</v>
      </c>
      <c r="AX20" s="101" t="s">
        <v>17</v>
      </c>
      <c r="AY20" s="80"/>
    </row>
    <row r="21" ht="22.5" customHeight="1">
      <c r="A21" s="59"/>
      <c r="B21" s="59"/>
      <c r="C21" s="81"/>
      <c r="D21" s="81"/>
      <c r="F21" s="59"/>
      <c r="G21" s="59"/>
      <c r="H21" s="81"/>
      <c r="I21" s="81"/>
      <c r="K21" s="60">
        <v>46094.0</v>
      </c>
      <c r="L21" s="57" t="s">
        <v>283</v>
      </c>
      <c r="M21" s="57" t="s">
        <v>284</v>
      </c>
      <c r="N21" s="58" t="s">
        <v>13</v>
      </c>
      <c r="O21" s="58" t="s">
        <v>12</v>
      </c>
      <c r="P21" s="61"/>
      <c r="R21" s="60">
        <v>46091.0</v>
      </c>
      <c r="S21" s="57" t="s">
        <v>285</v>
      </c>
      <c r="T21" s="57" t="s">
        <v>286</v>
      </c>
      <c r="U21" s="58" t="s">
        <v>11</v>
      </c>
      <c r="V21" s="58" t="s">
        <v>12</v>
      </c>
      <c r="W21" s="61"/>
      <c r="X21" s="66"/>
      <c r="Y21" s="77">
        <v>46098.0</v>
      </c>
      <c r="Z21" s="72" t="s">
        <v>287</v>
      </c>
      <c r="AA21" s="72" t="s">
        <v>288</v>
      </c>
      <c r="AB21" s="78" t="s">
        <v>22</v>
      </c>
      <c r="AC21" s="78" t="s">
        <v>12</v>
      </c>
      <c r="AD21" s="75"/>
      <c r="AF21" s="77">
        <v>46098.0</v>
      </c>
      <c r="AG21" s="72" t="s">
        <v>289</v>
      </c>
      <c r="AH21" s="72" t="s">
        <v>290</v>
      </c>
      <c r="AI21" s="78" t="s">
        <v>11</v>
      </c>
      <c r="AJ21" s="78" t="s">
        <v>20</v>
      </c>
      <c r="AK21" s="75"/>
      <c r="AL21" s="76"/>
      <c r="AM21" s="84">
        <v>46105.0</v>
      </c>
      <c r="AN21" s="85" t="s">
        <v>291</v>
      </c>
      <c r="AO21" s="85" t="s">
        <v>292</v>
      </c>
      <c r="AP21" s="86" t="s">
        <v>27</v>
      </c>
      <c r="AQ21" s="114" t="s">
        <v>28</v>
      </c>
      <c r="AR21" s="97"/>
      <c r="AS21" s="98"/>
      <c r="AT21" s="122">
        <v>46105.0</v>
      </c>
      <c r="AU21" s="91" t="s">
        <v>293</v>
      </c>
      <c r="AV21" s="91" t="s">
        <v>294</v>
      </c>
      <c r="AW21" s="92" t="s">
        <v>23</v>
      </c>
      <c r="AX21" s="93" t="s">
        <v>17</v>
      </c>
      <c r="AY21" s="94"/>
    </row>
    <row r="22" ht="22.5" customHeight="1">
      <c r="A22" s="59"/>
      <c r="B22" s="59"/>
      <c r="C22" s="81"/>
      <c r="D22" s="81"/>
      <c r="F22" s="59"/>
      <c r="G22" s="59"/>
      <c r="H22" s="81"/>
      <c r="I22" s="81"/>
      <c r="K22" s="60">
        <v>46094.0</v>
      </c>
      <c r="L22" s="57" t="s">
        <v>295</v>
      </c>
      <c r="M22" s="57" t="s">
        <v>296</v>
      </c>
      <c r="N22" s="58" t="s">
        <v>24</v>
      </c>
      <c r="O22" s="58" t="s">
        <v>12</v>
      </c>
      <c r="P22" s="61"/>
      <c r="R22" s="60">
        <v>46091.0</v>
      </c>
      <c r="S22" s="57" t="s">
        <v>297</v>
      </c>
      <c r="T22" s="57" t="s">
        <v>298</v>
      </c>
      <c r="U22" s="58" t="s">
        <v>11</v>
      </c>
      <c r="V22" s="58" t="s">
        <v>12</v>
      </c>
      <c r="W22" s="61"/>
      <c r="X22" s="66"/>
      <c r="Y22" s="77">
        <v>46099.0</v>
      </c>
      <c r="Z22" s="72" t="s">
        <v>299</v>
      </c>
      <c r="AA22" s="72" t="s">
        <v>300</v>
      </c>
      <c r="AB22" s="78" t="s">
        <v>22</v>
      </c>
      <c r="AC22" s="78" t="s">
        <v>9</v>
      </c>
      <c r="AD22" s="75"/>
      <c r="AF22" s="77">
        <v>46098.0</v>
      </c>
      <c r="AG22" s="72" t="s">
        <v>301</v>
      </c>
      <c r="AH22" s="72" t="s">
        <v>302</v>
      </c>
      <c r="AI22" s="78" t="s">
        <v>11</v>
      </c>
      <c r="AJ22" s="78" t="s">
        <v>20</v>
      </c>
      <c r="AK22" s="75"/>
      <c r="AL22" s="76"/>
      <c r="AM22" s="84">
        <v>46105.0</v>
      </c>
      <c r="AN22" s="85" t="s">
        <v>303</v>
      </c>
      <c r="AO22" s="85" t="s">
        <v>304</v>
      </c>
      <c r="AP22" s="86" t="s">
        <v>27</v>
      </c>
      <c r="AQ22" s="87" t="s">
        <v>12</v>
      </c>
      <c r="AR22" s="97"/>
      <c r="AS22" s="98"/>
      <c r="AT22" s="90">
        <v>46105.0</v>
      </c>
      <c r="AU22" s="99" t="s">
        <v>305</v>
      </c>
      <c r="AV22" s="99" t="s">
        <v>306</v>
      </c>
      <c r="AW22" s="100" t="s">
        <v>18</v>
      </c>
      <c r="AX22" s="101" t="s">
        <v>17</v>
      </c>
      <c r="AY22" s="80"/>
    </row>
    <row r="23" ht="22.5" customHeight="1">
      <c r="A23" s="59"/>
      <c r="B23" s="59"/>
      <c r="C23" s="81"/>
      <c r="D23" s="81"/>
      <c r="F23" s="59"/>
      <c r="G23" s="59"/>
      <c r="H23" s="81"/>
      <c r="I23" s="81"/>
      <c r="K23" s="60">
        <v>46094.0</v>
      </c>
      <c r="L23" s="57" t="s">
        <v>307</v>
      </c>
      <c r="M23" s="57" t="s">
        <v>308</v>
      </c>
      <c r="N23" s="58" t="s">
        <v>22</v>
      </c>
      <c r="O23" s="58" t="s">
        <v>12</v>
      </c>
      <c r="P23" s="61"/>
      <c r="R23" s="60">
        <v>46091.0</v>
      </c>
      <c r="S23" s="57" t="s">
        <v>309</v>
      </c>
      <c r="T23" s="57" t="s">
        <v>310</v>
      </c>
      <c r="U23" s="58" t="s">
        <v>18</v>
      </c>
      <c r="V23" s="58" t="s">
        <v>12</v>
      </c>
      <c r="W23" s="61"/>
      <c r="X23" s="66"/>
      <c r="Y23" s="77">
        <v>46099.0</v>
      </c>
      <c r="Z23" s="72" t="s">
        <v>311</v>
      </c>
      <c r="AA23" s="72" t="s">
        <v>312</v>
      </c>
      <c r="AB23" s="78" t="s">
        <v>22</v>
      </c>
      <c r="AC23" s="78" t="s">
        <v>12</v>
      </c>
      <c r="AD23" s="75"/>
      <c r="AF23" s="77">
        <v>46098.0</v>
      </c>
      <c r="AG23" s="72" t="s">
        <v>313</v>
      </c>
      <c r="AH23" s="72" t="s">
        <v>314</v>
      </c>
      <c r="AI23" s="78" t="s">
        <v>11</v>
      </c>
      <c r="AJ23" s="78" t="s">
        <v>17</v>
      </c>
      <c r="AK23" s="75"/>
      <c r="AL23" s="76"/>
      <c r="AM23" s="84">
        <v>46105.0</v>
      </c>
      <c r="AN23" s="85" t="s">
        <v>315</v>
      </c>
      <c r="AO23" s="85" t="s">
        <v>316</v>
      </c>
      <c r="AP23" s="86" t="s">
        <v>22</v>
      </c>
      <c r="AQ23" s="114" t="s">
        <v>12</v>
      </c>
      <c r="AR23" s="97"/>
      <c r="AS23" s="98"/>
      <c r="AT23" s="122">
        <v>46105.0</v>
      </c>
      <c r="AU23" s="91" t="s">
        <v>317</v>
      </c>
      <c r="AV23" s="91" t="s">
        <v>318</v>
      </c>
      <c r="AW23" s="92" t="s">
        <v>11</v>
      </c>
      <c r="AX23" s="92" t="s">
        <v>20</v>
      </c>
      <c r="AY23" s="94"/>
    </row>
    <row r="24" ht="22.5" customHeight="1">
      <c r="A24" s="59"/>
      <c r="B24" s="59"/>
      <c r="C24" s="81"/>
      <c r="D24" s="81"/>
      <c r="F24" s="59"/>
      <c r="G24" s="59"/>
      <c r="H24" s="81"/>
      <c r="I24" s="81"/>
      <c r="K24" s="60">
        <v>46094.0</v>
      </c>
      <c r="L24" s="57" t="s">
        <v>319</v>
      </c>
      <c r="M24" s="57" t="s">
        <v>320</v>
      </c>
      <c r="N24" s="58" t="s">
        <v>22</v>
      </c>
      <c r="O24" s="58" t="s">
        <v>12</v>
      </c>
      <c r="P24" s="61"/>
      <c r="R24" s="60">
        <v>46091.0</v>
      </c>
      <c r="S24" s="57" t="s">
        <v>321</v>
      </c>
      <c r="T24" s="57" t="s">
        <v>322</v>
      </c>
      <c r="U24" s="58" t="s">
        <v>21</v>
      </c>
      <c r="V24" s="58" t="s">
        <v>12</v>
      </c>
      <c r="W24" s="61"/>
      <c r="X24" s="66"/>
      <c r="Y24" s="77">
        <v>46099.0</v>
      </c>
      <c r="Z24" s="72" t="s">
        <v>323</v>
      </c>
      <c r="AA24" s="72" t="s">
        <v>324</v>
      </c>
      <c r="AB24" s="78" t="s">
        <v>16</v>
      </c>
      <c r="AC24" s="78" t="s">
        <v>12</v>
      </c>
      <c r="AD24" s="75"/>
      <c r="AF24" s="77">
        <v>46098.0</v>
      </c>
      <c r="AG24" s="72" t="s">
        <v>325</v>
      </c>
      <c r="AH24" s="72" t="s">
        <v>326</v>
      </c>
      <c r="AI24" s="78" t="s">
        <v>25</v>
      </c>
      <c r="AJ24" s="78" t="s">
        <v>17</v>
      </c>
      <c r="AK24" s="75"/>
      <c r="AL24" s="76"/>
      <c r="AM24" s="84">
        <v>46105.0</v>
      </c>
      <c r="AN24" s="85" t="s">
        <v>327</v>
      </c>
      <c r="AO24" s="85" t="s">
        <v>328</v>
      </c>
      <c r="AP24" s="86" t="s">
        <v>22</v>
      </c>
      <c r="AQ24" s="114" t="s">
        <v>9</v>
      </c>
      <c r="AR24" s="97"/>
      <c r="AS24" s="98"/>
      <c r="AT24" s="90">
        <v>46105.0</v>
      </c>
      <c r="AU24" s="99" t="s">
        <v>329</v>
      </c>
      <c r="AV24" s="99" t="s">
        <v>330</v>
      </c>
      <c r="AW24" s="100" t="s">
        <v>18</v>
      </c>
      <c r="AX24" s="100" t="s">
        <v>20</v>
      </c>
      <c r="AY24" s="80"/>
    </row>
    <row r="25" ht="22.5" customHeight="1">
      <c r="A25" s="59"/>
      <c r="B25" s="59"/>
      <c r="C25" s="81"/>
      <c r="D25" s="81"/>
      <c r="F25" s="59"/>
      <c r="G25" s="59"/>
      <c r="H25" s="81"/>
      <c r="I25" s="81"/>
      <c r="K25" s="131"/>
      <c r="L25" s="59"/>
      <c r="M25" s="59"/>
      <c r="N25" s="81"/>
      <c r="O25" s="81"/>
      <c r="P25" s="61"/>
      <c r="R25" s="60">
        <v>46298.0</v>
      </c>
      <c r="S25" s="57" t="s">
        <v>331</v>
      </c>
      <c r="T25" s="57" t="s">
        <v>332</v>
      </c>
      <c r="U25" s="58" t="s">
        <v>15</v>
      </c>
      <c r="V25" s="58" t="s">
        <v>9</v>
      </c>
      <c r="W25" s="61"/>
      <c r="X25" s="66"/>
      <c r="Y25" s="77">
        <v>46099.0</v>
      </c>
      <c r="Z25" s="72" t="s">
        <v>333</v>
      </c>
      <c r="AA25" s="72" t="s">
        <v>334</v>
      </c>
      <c r="AB25" s="78" t="s">
        <v>22</v>
      </c>
      <c r="AC25" s="78" t="s">
        <v>9</v>
      </c>
      <c r="AD25" s="75"/>
      <c r="AF25" s="77">
        <v>46098.0</v>
      </c>
      <c r="AG25" s="72" t="s">
        <v>335</v>
      </c>
      <c r="AH25" s="72" t="s">
        <v>336</v>
      </c>
      <c r="AI25" s="78" t="s">
        <v>25</v>
      </c>
      <c r="AJ25" s="78" t="s">
        <v>17</v>
      </c>
      <c r="AK25" s="75"/>
      <c r="AL25" s="76"/>
      <c r="AM25" s="84">
        <v>46105.0</v>
      </c>
      <c r="AN25" s="85" t="s">
        <v>337</v>
      </c>
      <c r="AO25" s="85" t="s">
        <v>338</v>
      </c>
      <c r="AP25" s="86" t="s">
        <v>27</v>
      </c>
      <c r="AQ25" s="87" t="s">
        <v>9</v>
      </c>
      <c r="AR25" s="97"/>
      <c r="AS25" s="98"/>
      <c r="AT25" s="122">
        <v>46105.0</v>
      </c>
      <c r="AU25" s="91" t="s">
        <v>339</v>
      </c>
      <c r="AV25" s="91" t="s">
        <v>340</v>
      </c>
      <c r="AW25" s="92" t="s">
        <v>18</v>
      </c>
      <c r="AX25" s="92" t="s">
        <v>20</v>
      </c>
      <c r="AY25" s="94"/>
    </row>
    <row r="26" ht="22.5" customHeight="1">
      <c r="A26" s="59"/>
      <c r="B26" s="59"/>
      <c r="C26" s="81"/>
      <c r="D26" s="81"/>
      <c r="F26" s="59"/>
      <c r="G26" s="59"/>
      <c r="H26" s="81"/>
      <c r="I26" s="81"/>
      <c r="K26" s="131"/>
      <c r="L26" s="59"/>
      <c r="M26" s="59"/>
      <c r="N26" s="81"/>
      <c r="O26" s="81"/>
      <c r="P26" s="61"/>
      <c r="R26" s="60">
        <v>46298.0</v>
      </c>
      <c r="S26" s="57" t="s">
        <v>341</v>
      </c>
      <c r="T26" s="57" t="s">
        <v>342</v>
      </c>
      <c r="U26" s="58" t="s">
        <v>21</v>
      </c>
      <c r="V26" s="58" t="s">
        <v>9</v>
      </c>
      <c r="W26" s="61"/>
      <c r="X26" s="66"/>
      <c r="Y26" s="77">
        <v>46099.0</v>
      </c>
      <c r="Z26" s="72" t="s">
        <v>343</v>
      </c>
      <c r="AA26" s="72" t="s">
        <v>344</v>
      </c>
      <c r="AB26" s="78" t="s">
        <v>10</v>
      </c>
      <c r="AC26" s="78" t="s">
        <v>12</v>
      </c>
      <c r="AD26" s="75"/>
      <c r="AF26" s="77">
        <v>46098.0</v>
      </c>
      <c r="AG26" s="72" t="s">
        <v>345</v>
      </c>
      <c r="AH26" s="72" t="s">
        <v>346</v>
      </c>
      <c r="AI26" s="78" t="s">
        <v>25</v>
      </c>
      <c r="AJ26" s="78" t="s">
        <v>17</v>
      </c>
      <c r="AK26" s="75"/>
      <c r="AL26" s="76"/>
      <c r="AM26" s="84">
        <v>46105.0</v>
      </c>
      <c r="AN26" s="85" t="s">
        <v>347</v>
      </c>
      <c r="AO26" s="85" t="s">
        <v>348</v>
      </c>
      <c r="AP26" s="86" t="s">
        <v>27</v>
      </c>
      <c r="AQ26" s="114" t="s">
        <v>9</v>
      </c>
      <c r="AR26" s="97"/>
      <c r="AS26" s="98"/>
      <c r="AT26" s="90">
        <v>46105.0</v>
      </c>
      <c r="AU26" s="99" t="s">
        <v>349</v>
      </c>
      <c r="AV26" s="99" t="s">
        <v>350</v>
      </c>
      <c r="AW26" s="100" t="s">
        <v>18</v>
      </c>
      <c r="AX26" s="100" t="s">
        <v>20</v>
      </c>
      <c r="AY26" s="80"/>
    </row>
    <row r="27" ht="22.5" customHeight="1">
      <c r="A27" s="59"/>
      <c r="B27" s="59"/>
      <c r="C27" s="81"/>
      <c r="D27" s="81"/>
      <c r="F27" s="59"/>
      <c r="G27" s="59"/>
      <c r="H27" s="81"/>
      <c r="I27" s="81"/>
      <c r="K27" s="131"/>
      <c r="L27" s="59"/>
      <c r="M27" s="59"/>
      <c r="N27" s="81"/>
      <c r="O27" s="81"/>
      <c r="P27" s="61"/>
      <c r="R27" s="60">
        <v>46298.0</v>
      </c>
      <c r="S27" s="57" t="s">
        <v>351</v>
      </c>
      <c r="T27" s="57" t="s">
        <v>352</v>
      </c>
      <c r="U27" s="58" t="s">
        <v>21</v>
      </c>
      <c r="V27" s="58" t="s">
        <v>9</v>
      </c>
      <c r="W27" s="61"/>
      <c r="X27" s="66"/>
      <c r="Y27" s="77">
        <v>46099.0</v>
      </c>
      <c r="Z27" s="72" t="s">
        <v>353</v>
      </c>
      <c r="AA27" s="72" t="s">
        <v>354</v>
      </c>
      <c r="AB27" s="78" t="s">
        <v>22</v>
      </c>
      <c r="AC27" s="78" t="s">
        <v>12</v>
      </c>
      <c r="AD27" s="75"/>
      <c r="AF27" s="77">
        <v>46098.0</v>
      </c>
      <c r="AG27" s="72" t="s">
        <v>355</v>
      </c>
      <c r="AH27" s="72" t="s">
        <v>356</v>
      </c>
      <c r="AI27" s="78" t="s">
        <v>25</v>
      </c>
      <c r="AJ27" s="78" t="s">
        <v>17</v>
      </c>
      <c r="AK27" s="75"/>
      <c r="AL27" s="76"/>
      <c r="AM27" s="84">
        <v>46105.0</v>
      </c>
      <c r="AN27" s="85" t="s">
        <v>357</v>
      </c>
      <c r="AO27" s="85" t="s">
        <v>358</v>
      </c>
      <c r="AP27" s="86" t="s">
        <v>27</v>
      </c>
      <c r="AQ27" s="114" t="s">
        <v>9</v>
      </c>
      <c r="AR27" s="97"/>
      <c r="AS27" s="98"/>
      <c r="AT27" s="122">
        <v>46105.0</v>
      </c>
      <c r="AU27" s="91" t="s">
        <v>359</v>
      </c>
      <c r="AV27" s="91" t="s">
        <v>360</v>
      </c>
      <c r="AW27" s="92" t="s">
        <v>18</v>
      </c>
      <c r="AX27" s="92" t="s">
        <v>20</v>
      </c>
      <c r="AY27" s="94"/>
    </row>
    <row r="28" ht="22.5" customHeight="1">
      <c r="A28" s="59"/>
      <c r="B28" s="59"/>
      <c r="C28" s="81"/>
      <c r="D28" s="81"/>
      <c r="F28" s="59"/>
      <c r="G28" s="59"/>
      <c r="H28" s="81"/>
      <c r="I28" s="81"/>
      <c r="K28" s="131"/>
      <c r="L28" s="59"/>
      <c r="M28" s="59"/>
      <c r="N28" s="81"/>
      <c r="O28" s="81"/>
      <c r="P28" s="61"/>
      <c r="R28" s="60">
        <v>46092.0</v>
      </c>
      <c r="S28" s="57" t="s">
        <v>361</v>
      </c>
      <c r="T28" s="57" t="s">
        <v>362</v>
      </c>
      <c r="U28" s="58" t="s">
        <v>11</v>
      </c>
      <c r="V28" s="58" t="s">
        <v>20</v>
      </c>
      <c r="W28" s="61"/>
      <c r="X28" s="66"/>
      <c r="Y28" s="77">
        <v>46099.0</v>
      </c>
      <c r="Z28" s="72" t="s">
        <v>363</v>
      </c>
      <c r="AA28" s="72" t="s">
        <v>364</v>
      </c>
      <c r="AB28" s="78" t="s">
        <v>27</v>
      </c>
      <c r="AC28" s="78" t="s">
        <v>9</v>
      </c>
      <c r="AD28" s="75"/>
      <c r="AF28" s="77">
        <v>46099.0</v>
      </c>
      <c r="AG28" s="72" t="s">
        <v>365</v>
      </c>
      <c r="AH28" s="72" t="s">
        <v>366</v>
      </c>
      <c r="AI28" s="78" t="s">
        <v>15</v>
      </c>
      <c r="AJ28" s="78" t="s">
        <v>17</v>
      </c>
      <c r="AK28" s="75"/>
      <c r="AL28" s="76"/>
      <c r="AM28" s="84">
        <v>46105.0</v>
      </c>
      <c r="AN28" s="85" t="s">
        <v>367</v>
      </c>
      <c r="AO28" s="85" t="s">
        <v>368</v>
      </c>
      <c r="AP28" s="86" t="s">
        <v>27</v>
      </c>
      <c r="AQ28" s="114" t="s">
        <v>9</v>
      </c>
      <c r="AR28" s="97"/>
      <c r="AS28" s="98"/>
      <c r="AT28" s="90">
        <v>46105.0</v>
      </c>
      <c r="AU28" s="99" t="s">
        <v>369</v>
      </c>
      <c r="AV28" s="99" t="s">
        <v>370</v>
      </c>
      <c r="AW28" s="100" t="s">
        <v>18</v>
      </c>
      <c r="AX28" s="100" t="s">
        <v>20</v>
      </c>
      <c r="AY28" s="80"/>
    </row>
    <row r="29" ht="22.5" customHeight="1">
      <c r="A29" s="59"/>
      <c r="B29" s="59"/>
      <c r="C29" s="81"/>
      <c r="D29" s="81"/>
      <c r="F29" s="59"/>
      <c r="G29" s="59"/>
      <c r="H29" s="81"/>
      <c r="I29" s="81"/>
      <c r="K29" s="131"/>
      <c r="L29" s="59"/>
      <c r="M29" s="59"/>
      <c r="N29" s="81"/>
      <c r="O29" s="81"/>
      <c r="P29" s="61"/>
      <c r="R29" s="60">
        <v>46092.0</v>
      </c>
      <c r="S29" s="57" t="s">
        <v>371</v>
      </c>
      <c r="T29" s="57" t="s">
        <v>372</v>
      </c>
      <c r="U29" s="58" t="s">
        <v>11</v>
      </c>
      <c r="V29" s="58" t="s">
        <v>20</v>
      </c>
      <c r="W29" s="61"/>
      <c r="X29" s="66"/>
      <c r="Y29" s="77">
        <v>46099.0</v>
      </c>
      <c r="Z29" s="72" t="s">
        <v>373</v>
      </c>
      <c r="AA29" s="72" t="s">
        <v>374</v>
      </c>
      <c r="AB29" s="78" t="s">
        <v>30</v>
      </c>
      <c r="AC29" s="78" t="s">
        <v>9</v>
      </c>
      <c r="AD29" s="75"/>
      <c r="AF29" s="77">
        <v>46099.0</v>
      </c>
      <c r="AG29" s="72" t="s">
        <v>375</v>
      </c>
      <c r="AH29" s="72" t="s">
        <v>376</v>
      </c>
      <c r="AI29" s="78" t="s">
        <v>18</v>
      </c>
      <c r="AJ29" s="78" t="s">
        <v>17</v>
      </c>
      <c r="AK29" s="75"/>
      <c r="AL29" s="76"/>
      <c r="AM29" s="84">
        <v>46106.0</v>
      </c>
      <c r="AN29" s="85" t="s">
        <v>377</v>
      </c>
      <c r="AO29" s="85" t="s">
        <v>378</v>
      </c>
      <c r="AP29" s="86" t="s">
        <v>27</v>
      </c>
      <c r="AQ29" s="87" t="s">
        <v>9</v>
      </c>
      <c r="AR29" s="97"/>
      <c r="AS29" s="98"/>
      <c r="AT29" s="122">
        <v>46105.0</v>
      </c>
      <c r="AU29" s="91" t="s">
        <v>379</v>
      </c>
      <c r="AV29" s="91" t="s">
        <v>380</v>
      </c>
      <c r="AW29" s="92" t="s">
        <v>18</v>
      </c>
      <c r="AX29" s="92" t="s">
        <v>20</v>
      </c>
      <c r="AY29" s="94"/>
    </row>
    <row r="30" ht="22.5" customHeight="1">
      <c r="A30" s="59"/>
      <c r="B30" s="59"/>
      <c r="C30" s="81"/>
      <c r="D30" s="81"/>
      <c r="F30" s="59"/>
      <c r="G30" s="59"/>
      <c r="H30" s="81"/>
      <c r="I30" s="81"/>
      <c r="K30" s="131"/>
      <c r="L30" s="59"/>
      <c r="M30" s="59"/>
      <c r="N30" s="81"/>
      <c r="O30" s="81"/>
      <c r="P30" s="61"/>
      <c r="R30" s="60">
        <v>46092.0</v>
      </c>
      <c r="S30" s="57" t="s">
        <v>381</v>
      </c>
      <c r="T30" s="57" t="s">
        <v>382</v>
      </c>
      <c r="U30" s="58" t="s">
        <v>11</v>
      </c>
      <c r="V30" s="58" t="s">
        <v>20</v>
      </c>
      <c r="W30" s="61"/>
      <c r="X30" s="66"/>
      <c r="Y30" s="77">
        <v>46099.0</v>
      </c>
      <c r="Z30" s="72" t="s">
        <v>383</v>
      </c>
      <c r="AA30" s="72" t="s">
        <v>384</v>
      </c>
      <c r="AB30" s="78" t="s">
        <v>27</v>
      </c>
      <c r="AC30" s="78" t="s">
        <v>9</v>
      </c>
      <c r="AD30" s="75"/>
      <c r="AF30" s="77">
        <v>46099.0</v>
      </c>
      <c r="AG30" s="72" t="s">
        <v>385</v>
      </c>
      <c r="AH30" s="72" t="s">
        <v>386</v>
      </c>
      <c r="AI30" s="78" t="s">
        <v>18</v>
      </c>
      <c r="AJ30" s="78" t="s">
        <v>17</v>
      </c>
      <c r="AK30" s="75"/>
      <c r="AL30" s="76"/>
      <c r="AM30" s="84">
        <v>46106.0</v>
      </c>
      <c r="AN30" s="85" t="s">
        <v>387</v>
      </c>
      <c r="AO30" s="85" t="s">
        <v>388</v>
      </c>
      <c r="AP30" s="86" t="s">
        <v>10</v>
      </c>
      <c r="AQ30" s="87" t="s">
        <v>9</v>
      </c>
      <c r="AR30" s="97"/>
      <c r="AS30" s="98"/>
      <c r="AT30" s="90">
        <v>46105.0</v>
      </c>
      <c r="AU30" s="99" t="s">
        <v>389</v>
      </c>
      <c r="AV30" s="99" t="s">
        <v>390</v>
      </c>
      <c r="AW30" s="100" t="s">
        <v>18</v>
      </c>
      <c r="AX30" s="100" t="s">
        <v>20</v>
      </c>
      <c r="AY30" s="80"/>
    </row>
    <row r="31" ht="22.5" customHeight="1">
      <c r="A31" s="59"/>
      <c r="B31" s="59"/>
      <c r="C31" s="81"/>
      <c r="D31" s="81"/>
      <c r="F31" s="59"/>
      <c r="G31" s="59"/>
      <c r="H31" s="81"/>
      <c r="I31" s="81"/>
      <c r="K31" s="131"/>
      <c r="L31" s="59"/>
      <c r="M31" s="59"/>
      <c r="N31" s="81"/>
      <c r="O31" s="81"/>
      <c r="P31" s="61"/>
      <c r="R31" s="60">
        <v>46092.0</v>
      </c>
      <c r="S31" s="57" t="s">
        <v>391</v>
      </c>
      <c r="T31" s="57" t="s">
        <v>392</v>
      </c>
      <c r="U31" s="58" t="s">
        <v>11</v>
      </c>
      <c r="V31" s="58" t="s">
        <v>20</v>
      </c>
      <c r="W31" s="61"/>
      <c r="X31" s="66"/>
      <c r="Y31" s="77">
        <v>46099.0</v>
      </c>
      <c r="Z31" s="72" t="s">
        <v>393</v>
      </c>
      <c r="AA31" s="72" t="s">
        <v>394</v>
      </c>
      <c r="AB31" s="78" t="s">
        <v>27</v>
      </c>
      <c r="AC31" s="78" t="s">
        <v>12</v>
      </c>
      <c r="AD31" s="75"/>
      <c r="AF31" s="77">
        <v>46099.0</v>
      </c>
      <c r="AG31" s="72" t="s">
        <v>395</v>
      </c>
      <c r="AH31" s="72" t="s">
        <v>396</v>
      </c>
      <c r="AI31" s="78" t="s">
        <v>18</v>
      </c>
      <c r="AJ31" s="78" t="s">
        <v>17</v>
      </c>
      <c r="AK31" s="75"/>
      <c r="AL31" s="76"/>
      <c r="AM31" s="84">
        <v>46106.0</v>
      </c>
      <c r="AN31" s="85" t="s">
        <v>397</v>
      </c>
      <c r="AO31" s="85" t="s">
        <v>398</v>
      </c>
      <c r="AP31" s="86" t="s">
        <v>44</v>
      </c>
      <c r="AQ31" s="114" t="s">
        <v>9</v>
      </c>
      <c r="AR31" s="97"/>
      <c r="AS31" s="98"/>
      <c r="AT31" s="122">
        <v>46105.0</v>
      </c>
      <c r="AU31" s="91" t="s">
        <v>399</v>
      </c>
      <c r="AV31" s="91" t="s">
        <v>400</v>
      </c>
      <c r="AW31" s="92" t="s">
        <v>18</v>
      </c>
      <c r="AX31" s="92" t="s">
        <v>20</v>
      </c>
      <c r="AY31" s="94"/>
    </row>
    <row r="32" ht="22.5" customHeight="1">
      <c r="A32" s="59"/>
      <c r="B32" s="59"/>
      <c r="C32" s="81"/>
      <c r="D32" s="81"/>
      <c r="F32" s="59"/>
      <c r="G32" s="59"/>
      <c r="H32" s="81"/>
      <c r="I32" s="81"/>
      <c r="K32" s="131"/>
      <c r="L32" s="59"/>
      <c r="M32" s="59"/>
      <c r="N32" s="81"/>
      <c r="O32" s="81"/>
      <c r="P32" s="61"/>
      <c r="R32" s="60">
        <v>46092.0</v>
      </c>
      <c r="S32" s="57" t="s">
        <v>401</v>
      </c>
      <c r="T32" s="57" t="s">
        <v>402</v>
      </c>
      <c r="U32" s="58" t="s">
        <v>11</v>
      </c>
      <c r="V32" s="58" t="s">
        <v>20</v>
      </c>
      <c r="W32" s="61"/>
      <c r="X32" s="66"/>
      <c r="Y32" s="77">
        <v>46099.0</v>
      </c>
      <c r="Z32" s="72" t="s">
        <v>403</v>
      </c>
      <c r="AA32" s="72" t="s">
        <v>404</v>
      </c>
      <c r="AB32" s="78" t="s">
        <v>27</v>
      </c>
      <c r="AC32" s="78" t="s">
        <v>9</v>
      </c>
      <c r="AD32" s="75"/>
      <c r="AF32" s="77">
        <v>46099.0</v>
      </c>
      <c r="AG32" s="72" t="s">
        <v>405</v>
      </c>
      <c r="AH32" s="72" t="s">
        <v>406</v>
      </c>
      <c r="AI32" s="78" t="s">
        <v>18</v>
      </c>
      <c r="AJ32" s="78" t="s">
        <v>17</v>
      </c>
      <c r="AK32" s="75"/>
      <c r="AL32" s="76"/>
      <c r="AM32" s="84">
        <v>46106.0</v>
      </c>
      <c r="AN32" s="85" t="s">
        <v>407</v>
      </c>
      <c r="AO32" s="85" t="s">
        <v>408</v>
      </c>
      <c r="AP32" s="86" t="s">
        <v>10</v>
      </c>
      <c r="AQ32" s="87" t="s">
        <v>28</v>
      </c>
      <c r="AR32" s="97"/>
      <c r="AS32" s="98"/>
      <c r="AT32" s="90">
        <v>46105.0</v>
      </c>
      <c r="AU32" s="99" t="s">
        <v>409</v>
      </c>
      <c r="AV32" s="99" t="s">
        <v>410</v>
      </c>
      <c r="AW32" s="100" t="s">
        <v>18</v>
      </c>
      <c r="AX32" s="100" t="s">
        <v>20</v>
      </c>
      <c r="AY32" s="80"/>
    </row>
    <row r="33" ht="22.5" customHeight="1">
      <c r="A33" s="59"/>
      <c r="B33" s="59"/>
      <c r="C33" s="81"/>
      <c r="D33" s="81"/>
      <c r="F33" s="59"/>
      <c r="G33" s="59"/>
      <c r="H33" s="81"/>
      <c r="I33" s="81"/>
      <c r="K33" s="131"/>
      <c r="L33" s="59"/>
      <c r="M33" s="59"/>
      <c r="N33" s="81"/>
      <c r="O33" s="81"/>
      <c r="P33" s="61"/>
      <c r="R33" s="60">
        <v>46092.0</v>
      </c>
      <c r="S33" s="57" t="s">
        <v>411</v>
      </c>
      <c r="T33" s="57" t="s">
        <v>412</v>
      </c>
      <c r="U33" s="58" t="s">
        <v>11</v>
      </c>
      <c r="V33" s="58" t="s">
        <v>20</v>
      </c>
      <c r="W33" s="61"/>
      <c r="X33" s="66"/>
      <c r="Y33" s="77">
        <v>46100.0</v>
      </c>
      <c r="Z33" s="72" t="s">
        <v>413</v>
      </c>
      <c r="AA33" s="72" t="s">
        <v>414</v>
      </c>
      <c r="AB33" s="78" t="s">
        <v>27</v>
      </c>
      <c r="AC33" s="78" t="s">
        <v>12</v>
      </c>
      <c r="AD33" s="75"/>
      <c r="AF33" s="77">
        <v>46099.0</v>
      </c>
      <c r="AG33" s="72" t="s">
        <v>415</v>
      </c>
      <c r="AH33" s="72" t="s">
        <v>416</v>
      </c>
      <c r="AI33" s="78" t="s">
        <v>18</v>
      </c>
      <c r="AJ33" s="78" t="s">
        <v>17</v>
      </c>
      <c r="AK33" s="75"/>
      <c r="AL33" s="76"/>
      <c r="AM33" s="84">
        <v>46106.0</v>
      </c>
      <c r="AN33" s="85" t="s">
        <v>417</v>
      </c>
      <c r="AO33" s="85" t="s">
        <v>418</v>
      </c>
      <c r="AP33" s="86" t="s">
        <v>10</v>
      </c>
      <c r="AQ33" s="114" t="s">
        <v>28</v>
      </c>
      <c r="AR33" s="97"/>
      <c r="AS33" s="98"/>
      <c r="AT33" s="122">
        <v>46105.0</v>
      </c>
      <c r="AU33" s="91" t="s">
        <v>419</v>
      </c>
      <c r="AV33" s="91" t="s">
        <v>420</v>
      </c>
      <c r="AW33" s="92" t="s">
        <v>18</v>
      </c>
      <c r="AX33" s="92" t="s">
        <v>17</v>
      </c>
      <c r="AY33" s="94"/>
    </row>
    <row r="34" ht="22.5" customHeight="1">
      <c r="A34" s="59"/>
      <c r="B34" s="59"/>
      <c r="C34" s="81"/>
      <c r="D34" s="81"/>
      <c r="F34" s="59"/>
      <c r="G34" s="59"/>
      <c r="H34" s="81"/>
      <c r="I34" s="81"/>
      <c r="K34" s="131"/>
      <c r="L34" s="59"/>
      <c r="M34" s="59"/>
      <c r="N34" s="81"/>
      <c r="O34" s="81"/>
      <c r="P34" s="61"/>
      <c r="R34" s="60">
        <v>46092.0</v>
      </c>
      <c r="S34" s="57" t="s">
        <v>421</v>
      </c>
      <c r="T34" s="57" t="s">
        <v>422</v>
      </c>
      <c r="U34" s="58" t="s">
        <v>11</v>
      </c>
      <c r="V34" s="58" t="s">
        <v>20</v>
      </c>
      <c r="W34" s="61"/>
      <c r="X34" s="66"/>
      <c r="Y34" s="77">
        <v>46100.0</v>
      </c>
      <c r="Z34" s="72" t="s">
        <v>423</v>
      </c>
      <c r="AA34" s="72" t="s">
        <v>424</v>
      </c>
      <c r="AB34" s="78" t="s">
        <v>27</v>
      </c>
      <c r="AC34" s="78" t="s">
        <v>9</v>
      </c>
      <c r="AD34" s="75"/>
      <c r="AF34" s="77">
        <v>46099.0</v>
      </c>
      <c r="AG34" s="72" t="s">
        <v>425</v>
      </c>
      <c r="AH34" s="72" t="s">
        <v>426</v>
      </c>
      <c r="AI34" s="78" t="s">
        <v>23</v>
      </c>
      <c r="AJ34" s="78" t="s">
        <v>14</v>
      </c>
      <c r="AK34" s="75"/>
      <c r="AL34" s="76"/>
      <c r="AM34" s="84">
        <v>46106.0</v>
      </c>
      <c r="AN34" s="85" t="s">
        <v>427</v>
      </c>
      <c r="AO34" s="85" t="s">
        <v>428</v>
      </c>
      <c r="AP34" s="86" t="s">
        <v>44</v>
      </c>
      <c r="AQ34" s="87" t="s">
        <v>9</v>
      </c>
      <c r="AR34" s="97"/>
      <c r="AS34" s="98"/>
      <c r="AT34" s="132">
        <v>46105.0</v>
      </c>
      <c r="AU34" s="133" t="s">
        <v>429</v>
      </c>
      <c r="AV34" s="134" t="s">
        <v>430</v>
      </c>
      <c r="AW34" s="135"/>
      <c r="AX34" s="136" t="s">
        <v>14</v>
      </c>
      <c r="AY34" s="137" t="s">
        <v>431</v>
      </c>
    </row>
    <row r="35" ht="22.5" customHeight="1">
      <c r="A35" s="59"/>
      <c r="B35" s="59"/>
      <c r="C35" s="81"/>
      <c r="D35" s="81"/>
      <c r="F35" s="59"/>
      <c r="G35" s="59"/>
      <c r="H35" s="81"/>
      <c r="I35" s="81"/>
      <c r="K35" s="131"/>
      <c r="L35" s="59"/>
      <c r="M35" s="59"/>
      <c r="N35" s="81"/>
      <c r="O35" s="81"/>
      <c r="P35" s="61"/>
      <c r="R35" s="60">
        <v>46092.0</v>
      </c>
      <c r="S35" s="57" t="s">
        <v>432</v>
      </c>
      <c r="T35" s="57" t="s">
        <v>433</v>
      </c>
      <c r="U35" s="58" t="s">
        <v>11</v>
      </c>
      <c r="V35" s="58" t="s">
        <v>20</v>
      </c>
      <c r="W35" s="61"/>
      <c r="X35" s="66"/>
      <c r="Y35" s="77">
        <v>46100.0</v>
      </c>
      <c r="Z35" s="72" t="s">
        <v>434</v>
      </c>
      <c r="AA35" s="72" t="s">
        <v>435</v>
      </c>
      <c r="AB35" s="78" t="s">
        <v>27</v>
      </c>
      <c r="AC35" s="78" t="s">
        <v>9</v>
      </c>
      <c r="AD35" s="75"/>
      <c r="AF35" s="77">
        <v>46099.0</v>
      </c>
      <c r="AG35" s="72" t="s">
        <v>436</v>
      </c>
      <c r="AH35" s="138" t="s">
        <v>437</v>
      </c>
      <c r="AI35" s="78" t="s">
        <v>23</v>
      </c>
      <c r="AJ35" s="78" t="s">
        <v>14</v>
      </c>
      <c r="AK35" s="75"/>
      <c r="AL35" s="76"/>
      <c r="AM35" s="125"/>
      <c r="AN35" s="126"/>
      <c r="AO35" s="126"/>
      <c r="AP35" s="127"/>
      <c r="AQ35" s="139"/>
      <c r="AR35" s="129"/>
      <c r="AS35" s="130"/>
      <c r="AT35" s="122">
        <v>46105.0</v>
      </c>
      <c r="AU35" s="91" t="s">
        <v>438</v>
      </c>
      <c r="AV35" s="91" t="s">
        <v>439</v>
      </c>
      <c r="AW35" s="92" t="s">
        <v>18</v>
      </c>
      <c r="AX35" s="92" t="s">
        <v>14</v>
      </c>
      <c r="AY35" s="94"/>
    </row>
    <row r="36" ht="22.5" customHeight="1">
      <c r="A36" s="59"/>
      <c r="B36" s="59"/>
      <c r="C36" s="81"/>
      <c r="D36" s="81"/>
      <c r="F36" s="59"/>
      <c r="G36" s="59"/>
      <c r="H36" s="81"/>
      <c r="I36" s="81"/>
      <c r="K36" s="131"/>
      <c r="L36" s="59"/>
      <c r="M36" s="59"/>
      <c r="N36" s="81"/>
      <c r="O36" s="81"/>
      <c r="P36" s="61"/>
      <c r="R36" s="60">
        <v>46092.0</v>
      </c>
      <c r="S36" s="57" t="s">
        <v>440</v>
      </c>
      <c r="T36" s="57" t="s">
        <v>441</v>
      </c>
      <c r="U36" s="58" t="s">
        <v>11</v>
      </c>
      <c r="V36" s="58" t="s">
        <v>20</v>
      </c>
      <c r="W36" s="61"/>
      <c r="X36" s="66"/>
      <c r="Y36" s="77">
        <v>46100.0</v>
      </c>
      <c r="Z36" s="72" t="s">
        <v>442</v>
      </c>
      <c r="AA36" s="72" t="s">
        <v>443</v>
      </c>
      <c r="AB36" s="78" t="s">
        <v>22</v>
      </c>
      <c r="AC36" s="78" t="s">
        <v>12</v>
      </c>
      <c r="AD36" s="75"/>
      <c r="AF36" s="77">
        <v>46099.0</v>
      </c>
      <c r="AG36" s="72" t="s">
        <v>444</v>
      </c>
      <c r="AH36" s="72" t="s">
        <v>445</v>
      </c>
      <c r="AI36" s="78" t="s">
        <v>23</v>
      </c>
      <c r="AJ36" s="78" t="s">
        <v>14</v>
      </c>
      <c r="AK36" s="75"/>
      <c r="AL36" s="76"/>
      <c r="AM36" s="84">
        <v>46106.0</v>
      </c>
      <c r="AN36" s="85" t="s">
        <v>446</v>
      </c>
      <c r="AO36" s="85" t="s">
        <v>447</v>
      </c>
      <c r="AP36" s="86" t="s">
        <v>10</v>
      </c>
      <c r="AQ36" s="114" t="s">
        <v>28</v>
      </c>
      <c r="AR36" s="97"/>
      <c r="AS36" s="98"/>
      <c r="AT36" s="122">
        <v>46105.0</v>
      </c>
      <c r="AU36" s="99" t="s">
        <v>448</v>
      </c>
      <c r="AV36" s="99" t="s">
        <v>449</v>
      </c>
      <c r="AW36" s="100" t="s">
        <v>23</v>
      </c>
      <c r="AX36" s="100" t="s">
        <v>14</v>
      </c>
      <c r="AY36" s="80"/>
    </row>
    <row r="37" ht="22.5" customHeight="1">
      <c r="A37" s="59"/>
      <c r="B37" s="59"/>
      <c r="C37" s="81"/>
      <c r="D37" s="81"/>
      <c r="F37" s="59"/>
      <c r="G37" s="59"/>
      <c r="H37" s="81"/>
      <c r="I37" s="81"/>
      <c r="K37" s="131"/>
      <c r="L37" s="59"/>
      <c r="M37" s="59"/>
      <c r="N37" s="81"/>
      <c r="O37" s="81"/>
      <c r="P37" s="61"/>
      <c r="R37" s="60">
        <v>46092.0</v>
      </c>
      <c r="S37" s="57" t="s">
        <v>450</v>
      </c>
      <c r="T37" s="57" t="s">
        <v>451</v>
      </c>
      <c r="U37" s="58" t="s">
        <v>11</v>
      </c>
      <c r="V37" s="58" t="s">
        <v>20</v>
      </c>
      <c r="W37" s="61"/>
      <c r="X37" s="66"/>
      <c r="Y37" s="77">
        <v>46100.0</v>
      </c>
      <c r="Z37" s="72" t="s">
        <v>452</v>
      </c>
      <c r="AA37" s="72" t="s">
        <v>453</v>
      </c>
      <c r="AB37" s="78" t="s">
        <v>10</v>
      </c>
      <c r="AC37" s="78" t="s">
        <v>12</v>
      </c>
      <c r="AD37" s="75"/>
      <c r="AF37" s="77">
        <v>46099.0</v>
      </c>
      <c r="AG37" s="72" t="s">
        <v>454</v>
      </c>
      <c r="AH37" s="72" t="s">
        <v>455</v>
      </c>
      <c r="AI37" s="78" t="s">
        <v>18</v>
      </c>
      <c r="AJ37" s="78" t="s">
        <v>14</v>
      </c>
      <c r="AK37" s="75"/>
      <c r="AL37" s="76"/>
      <c r="AM37" s="84">
        <v>46106.0</v>
      </c>
      <c r="AN37" s="85" t="s">
        <v>456</v>
      </c>
      <c r="AO37" s="85" t="s">
        <v>457</v>
      </c>
      <c r="AP37" s="86" t="s">
        <v>24</v>
      </c>
      <c r="AQ37" s="114" t="s">
        <v>9</v>
      </c>
      <c r="AR37" s="97"/>
      <c r="AS37" s="98"/>
      <c r="AT37" s="122">
        <v>46105.0</v>
      </c>
      <c r="AU37" s="91" t="s">
        <v>458</v>
      </c>
      <c r="AV37" s="91" t="s">
        <v>459</v>
      </c>
      <c r="AW37" s="92" t="s">
        <v>23</v>
      </c>
      <c r="AX37" s="92" t="s">
        <v>14</v>
      </c>
      <c r="AY37" s="94"/>
    </row>
    <row r="38" ht="22.5" customHeight="1">
      <c r="A38" s="59"/>
      <c r="B38" s="59"/>
      <c r="C38" s="81"/>
      <c r="D38" s="81"/>
      <c r="F38" s="59"/>
      <c r="G38" s="59"/>
      <c r="H38" s="81"/>
      <c r="I38" s="81"/>
      <c r="K38" s="131"/>
      <c r="L38" s="59"/>
      <c r="M38" s="59"/>
      <c r="N38" s="81"/>
      <c r="O38" s="81"/>
      <c r="P38" s="61"/>
      <c r="R38" s="60">
        <v>46092.0</v>
      </c>
      <c r="S38" s="57" t="s">
        <v>460</v>
      </c>
      <c r="T38" s="57" t="s">
        <v>461</v>
      </c>
      <c r="U38" s="58" t="s">
        <v>11</v>
      </c>
      <c r="V38" s="58" t="s">
        <v>20</v>
      </c>
      <c r="W38" s="61"/>
      <c r="X38" s="66"/>
      <c r="Y38" s="77">
        <v>46100.0</v>
      </c>
      <c r="Z38" s="72" t="s">
        <v>462</v>
      </c>
      <c r="AA38" s="72" t="s">
        <v>463</v>
      </c>
      <c r="AB38" s="78" t="s">
        <v>27</v>
      </c>
      <c r="AC38" s="78" t="s">
        <v>12</v>
      </c>
      <c r="AD38" s="75"/>
      <c r="AF38" s="77">
        <v>46099.0</v>
      </c>
      <c r="AG38" s="72" t="s">
        <v>309</v>
      </c>
      <c r="AH38" s="72" t="s">
        <v>310</v>
      </c>
      <c r="AI38" s="78" t="s">
        <v>18</v>
      </c>
      <c r="AJ38" s="78" t="s">
        <v>14</v>
      </c>
      <c r="AK38" s="75"/>
      <c r="AL38" s="76"/>
      <c r="AM38" s="84">
        <v>46106.0</v>
      </c>
      <c r="AN38" s="85" t="s">
        <v>464</v>
      </c>
      <c r="AO38" s="85" t="s">
        <v>465</v>
      </c>
      <c r="AP38" s="86" t="s">
        <v>10</v>
      </c>
      <c r="AQ38" s="114" t="s">
        <v>28</v>
      </c>
      <c r="AR38" s="97"/>
      <c r="AS38" s="98"/>
      <c r="AT38" s="122">
        <v>46105.0</v>
      </c>
      <c r="AU38" s="99" t="s">
        <v>466</v>
      </c>
      <c r="AV38" s="99" t="s">
        <v>467</v>
      </c>
      <c r="AW38" s="100" t="s">
        <v>23</v>
      </c>
      <c r="AX38" s="100" t="s">
        <v>14</v>
      </c>
      <c r="AY38" s="80"/>
    </row>
    <row r="39" ht="22.5" customHeight="1">
      <c r="A39" s="59"/>
      <c r="B39" s="59"/>
      <c r="C39" s="81"/>
      <c r="D39" s="81"/>
      <c r="F39" s="59"/>
      <c r="G39" s="59"/>
      <c r="H39" s="81"/>
      <c r="I39" s="81"/>
      <c r="K39" s="131"/>
      <c r="L39" s="59"/>
      <c r="M39" s="59"/>
      <c r="N39" s="81"/>
      <c r="O39" s="81"/>
      <c r="P39" s="61"/>
      <c r="R39" s="60">
        <v>46092.0</v>
      </c>
      <c r="S39" s="57" t="s">
        <v>468</v>
      </c>
      <c r="T39" s="57" t="s">
        <v>469</v>
      </c>
      <c r="U39" s="58" t="s">
        <v>25</v>
      </c>
      <c r="V39" s="58" t="s">
        <v>17</v>
      </c>
      <c r="W39" s="61"/>
      <c r="X39" s="66"/>
      <c r="Y39" s="77">
        <v>46100.0</v>
      </c>
      <c r="Z39" s="72" t="s">
        <v>470</v>
      </c>
      <c r="AA39" s="72" t="s">
        <v>471</v>
      </c>
      <c r="AB39" s="78" t="s">
        <v>22</v>
      </c>
      <c r="AC39" s="78" t="s">
        <v>12</v>
      </c>
      <c r="AD39" s="75"/>
      <c r="AF39" s="77">
        <v>46099.0</v>
      </c>
      <c r="AG39" s="72" t="s">
        <v>472</v>
      </c>
      <c r="AH39" s="72" t="s">
        <v>473</v>
      </c>
      <c r="AI39" s="78" t="s">
        <v>18</v>
      </c>
      <c r="AJ39" s="78" t="s">
        <v>17</v>
      </c>
      <c r="AK39" s="75"/>
      <c r="AL39" s="76"/>
      <c r="AM39" s="84">
        <v>46106.0</v>
      </c>
      <c r="AN39" s="85" t="s">
        <v>474</v>
      </c>
      <c r="AO39" s="85" t="s">
        <v>475</v>
      </c>
      <c r="AP39" s="86" t="s">
        <v>10</v>
      </c>
      <c r="AQ39" s="114" t="s">
        <v>28</v>
      </c>
      <c r="AR39" s="97"/>
      <c r="AS39" s="98"/>
      <c r="AT39" s="132">
        <v>46105.0</v>
      </c>
      <c r="AU39" s="140" t="s">
        <v>476</v>
      </c>
      <c r="AV39" s="140" t="s">
        <v>477</v>
      </c>
      <c r="AW39" s="141"/>
      <c r="AX39" s="142" t="s">
        <v>14</v>
      </c>
      <c r="AY39" s="137" t="s">
        <v>431</v>
      </c>
    </row>
    <row r="40" ht="22.5" customHeight="1">
      <c r="A40" s="59"/>
      <c r="B40" s="59"/>
      <c r="C40" s="81"/>
      <c r="D40" s="81"/>
      <c r="F40" s="59"/>
      <c r="G40" s="59"/>
      <c r="H40" s="81"/>
      <c r="I40" s="81"/>
      <c r="K40" s="131"/>
      <c r="L40" s="59"/>
      <c r="M40" s="59"/>
      <c r="N40" s="81"/>
      <c r="O40" s="81"/>
      <c r="P40" s="61"/>
      <c r="R40" s="60">
        <v>46092.0</v>
      </c>
      <c r="S40" s="57" t="s">
        <v>478</v>
      </c>
      <c r="T40" s="57" t="s">
        <v>479</v>
      </c>
      <c r="U40" s="58" t="s">
        <v>23</v>
      </c>
      <c r="V40" s="58" t="s">
        <v>14</v>
      </c>
      <c r="W40" s="61"/>
      <c r="X40" s="66"/>
      <c r="Y40" s="77">
        <v>46100.0</v>
      </c>
      <c r="Z40" s="72" t="s">
        <v>480</v>
      </c>
      <c r="AA40" s="72" t="s">
        <v>481</v>
      </c>
      <c r="AB40" s="78" t="s">
        <v>10</v>
      </c>
      <c r="AC40" s="78" t="s">
        <v>9</v>
      </c>
      <c r="AD40" s="75"/>
      <c r="AF40" s="77">
        <v>46099.0</v>
      </c>
      <c r="AG40" s="72" t="s">
        <v>482</v>
      </c>
      <c r="AH40" s="72" t="s">
        <v>483</v>
      </c>
      <c r="AI40" s="78" t="s">
        <v>18</v>
      </c>
      <c r="AJ40" s="78" t="s">
        <v>17</v>
      </c>
      <c r="AK40" s="75"/>
      <c r="AL40" s="76"/>
      <c r="AM40" s="84">
        <v>46106.0</v>
      </c>
      <c r="AN40" s="85" t="s">
        <v>484</v>
      </c>
      <c r="AO40" s="85" t="s">
        <v>485</v>
      </c>
      <c r="AP40" s="86" t="s">
        <v>44</v>
      </c>
      <c r="AQ40" s="87" t="s">
        <v>9</v>
      </c>
      <c r="AR40" s="97"/>
      <c r="AS40" s="98"/>
      <c r="AT40" s="122">
        <v>46105.0</v>
      </c>
      <c r="AU40" s="99" t="s">
        <v>486</v>
      </c>
      <c r="AV40" s="99" t="s">
        <v>487</v>
      </c>
      <c r="AW40" s="100" t="s">
        <v>25</v>
      </c>
      <c r="AX40" s="100" t="s">
        <v>14</v>
      </c>
      <c r="AY40" s="80"/>
    </row>
    <row r="41" ht="22.5" customHeight="1">
      <c r="A41" s="59"/>
      <c r="B41" s="59"/>
      <c r="C41" s="81"/>
      <c r="D41" s="81"/>
      <c r="F41" s="59"/>
      <c r="G41" s="59"/>
      <c r="H41" s="81"/>
      <c r="I41" s="81"/>
      <c r="K41" s="131"/>
      <c r="L41" s="59"/>
      <c r="M41" s="59"/>
      <c r="N41" s="81"/>
      <c r="O41" s="81"/>
      <c r="P41" s="61"/>
      <c r="R41" s="60">
        <v>46092.0</v>
      </c>
      <c r="S41" s="57" t="s">
        <v>488</v>
      </c>
      <c r="T41" s="57" t="s">
        <v>489</v>
      </c>
      <c r="U41" s="58" t="s">
        <v>23</v>
      </c>
      <c r="V41" s="58" t="s">
        <v>14</v>
      </c>
      <c r="W41" s="61"/>
      <c r="X41" s="66"/>
      <c r="Y41" s="77">
        <v>46100.0</v>
      </c>
      <c r="Z41" s="72" t="s">
        <v>490</v>
      </c>
      <c r="AA41" s="72" t="s">
        <v>491</v>
      </c>
      <c r="AB41" s="78" t="s">
        <v>22</v>
      </c>
      <c r="AC41" s="78" t="s">
        <v>12</v>
      </c>
      <c r="AD41" s="75"/>
      <c r="AF41" s="77">
        <v>46099.0</v>
      </c>
      <c r="AG41" s="72" t="s">
        <v>492</v>
      </c>
      <c r="AH41" s="72" t="s">
        <v>493</v>
      </c>
      <c r="AI41" s="78" t="s">
        <v>18</v>
      </c>
      <c r="AJ41" s="78" t="s">
        <v>17</v>
      </c>
      <c r="AK41" s="75"/>
      <c r="AL41" s="76"/>
      <c r="AM41" s="84">
        <v>46106.0</v>
      </c>
      <c r="AN41" s="85" t="s">
        <v>494</v>
      </c>
      <c r="AO41" s="85" t="s">
        <v>495</v>
      </c>
      <c r="AP41" s="86" t="s">
        <v>24</v>
      </c>
      <c r="AQ41" s="114" t="s">
        <v>9</v>
      </c>
      <c r="AR41" s="97"/>
      <c r="AS41" s="98"/>
      <c r="AT41" s="143">
        <v>46105.0</v>
      </c>
      <c r="AU41" s="144" t="s">
        <v>496</v>
      </c>
      <c r="AV41" s="144" t="s">
        <v>497</v>
      </c>
      <c r="AW41" s="145" t="s">
        <v>15</v>
      </c>
      <c r="AX41" s="145" t="s">
        <v>14</v>
      </c>
      <c r="AY41" s="146" t="s">
        <v>498</v>
      </c>
    </row>
    <row r="42" ht="22.5" customHeight="1">
      <c r="A42" s="59"/>
      <c r="B42" s="59"/>
      <c r="C42" s="81"/>
      <c r="D42" s="81"/>
      <c r="F42" s="59"/>
      <c r="G42" s="59"/>
      <c r="H42" s="81"/>
      <c r="I42" s="81"/>
      <c r="K42" s="131"/>
      <c r="L42" s="59"/>
      <c r="M42" s="59"/>
      <c r="N42" s="81"/>
      <c r="O42" s="81"/>
      <c r="P42" s="61"/>
      <c r="R42" s="60">
        <v>46092.0</v>
      </c>
      <c r="S42" s="57" t="s">
        <v>499</v>
      </c>
      <c r="T42" s="57" t="s">
        <v>500</v>
      </c>
      <c r="U42" s="58" t="s">
        <v>23</v>
      </c>
      <c r="V42" s="58" t="s">
        <v>14</v>
      </c>
      <c r="W42" s="61"/>
      <c r="X42" s="66"/>
      <c r="Y42" s="77">
        <v>46100.0</v>
      </c>
      <c r="Z42" s="72" t="s">
        <v>501</v>
      </c>
      <c r="AA42" s="72" t="s">
        <v>502</v>
      </c>
      <c r="AB42" s="78" t="s">
        <v>22</v>
      </c>
      <c r="AC42" s="78" t="s">
        <v>12</v>
      </c>
      <c r="AD42" s="75"/>
      <c r="AF42" s="77">
        <v>46099.0</v>
      </c>
      <c r="AG42" s="72" t="s">
        <v>503</v>
      </c>
      <c r="AH42" s="72" t="s">
        <v>504</v>
      </c>
      <c r="AI42" s="78" t="s">
        <v>18</v>
      </c>
      <c r="AJ42" s="78" t="s">
        <v>17</v>
      </c>
      <c r="AK42" s="75"/>
      <c r="AL42" s="76"/>
      <c r="AM42" s="84">
        <v>46106.0</v>
      </c>
      <c r="AN42" s="85" t="s">
        <v>505</v>
      </c>
      <c r="AO42" s="85" t="s">
        <v>506</v>
      </c>
      <c r="AP42" s="86" t="s">
        <v>24</v>
      </c>
      <c r="AQ42" s="114" t="s">
        <v>28</v>
      </c>
      <c r="AR42" s="97"/>
      <c r="AS42" s="98"/>
      <c r="AT42" s="122">
        <v>46105.0</v>
      </c>
      <c r="AU42" s="99" t="s">
        <v>507</v>
      </c>
      <c r="AV42" s="99" t="s">
        <v>508</v>
      </c>
      <c r="AW42" s="100" t="s">
        <v>18</v>
      </c>
      <c r="AX42" s="100" t="s">
        <v>14</v>
      </c>
      <c r="AY42" s="80"/>
    </row>
    <row r="43" ht="22.5" customHeight="1">
      <c r="A43" s="59"/>
      <c r="B43" s="59"/>
      <c r="C43" s="81"/>
      <c r="D43" s="81"/>
      <c r="F43" s="59"/>
      <c r="G43" s="59"/>
      <c r="H43" s="81"/>
      <c r="I43" s="81"/>
      <c r="K43" s="131"/>
      <c r="L43" s="59"/>
      <c r="M43" s="59"/>
      <c r="N43" s="81"/>
      <c r="O43" s="81"/>
      <c r="P43" s="61"/>
      <c r="R43" s="60">
        <v>46092.0</v>
      </c>
      <c r="S43" s="57" t="s">
        <v>509</v>
      </c>
      <c r="T43" s="57" t="s">
        <v>510</v>
      </c>
      <c r="U43" s="58" t="s">
        <v>23</v>
      </c>
      <c r="V43" s="58" t="s">
        <v>14</v>
      </c>
      <c r="W43" s="61"/>
      <c r="X43" s="66"/>
      <c r="Y43" s="77">
        <v>46100.0</v>
      </c>
      <c r="Z43" s="72" t="s">
        <v>511</v>
      </c>
      <c r="AA43" s="72" t="s">
        <v>512</v>
      </c>
      <c r="AB43" s="78" t="s">
        <v>27</v>
      </c>
      <c r="AC43" s="78" t="s">
        <v>9</v>
      </c>
      <c r="AD43" s="75"/>
      <c r="AF43" s="77">
        <v>46099.0</v>
      </c>
      <c r="AG43" s="72" t="s">
        <v>513</v>
      </c>
      <c r="AH43" s="72" t="s">
        <v>514</v>
      </c>
      <c r="AI43" s="78" t="s">
        <v>23</v>
      </c>
      <c r="AJ43" s="78" t="s">
        <v>20</v>
      </c>
      <c r="AK43" s="75"/>
      <c r="AL43" s="76"/>
      <c r="AM43" s="84">
        <v>46106.0</v>
      </c>
      <c r="AN43" s="85" t="s">
        <v>515</v>
      </c>
      <c r="AO43" s="85" t="s">
        <v>516</v>
      </c>
      <c r="AP43" s="86" t="s">
        <v>30</v>
      </c>
      <c r="AQ43" s="87" t="s">
        <v>9</v>
      </c>
      <c r="AR43" s="97"/>
      <c r="AS43" s="98"/>
      <c r="AT43" s="122">
        <v>46105.0</v>
      </c>
      <c r="AU43" s="91" t="s">
        <v>517</v>
      </c>
      <c r="AV43" s="91" t="s">
        <v>518</v>
      </c>
      <c r="AW43" s="92" t="s">
        <v>11</v>
      </c>
      <c r="AX43" s="93" t="s">
        <v>17</v>
      </c>
      <c r="AY43" s="94"/>
    </row>
    <row r="44" ht="22.5" customHeight="1">
      <c r="A44" s="59"/>
      <c r="B44" s="59"/>
      <c r="C44" s="81"/>
      <c r="D44" s="81"/>
      <c r="F44" s="59"/>
      <c r="G44" s="59"/>
      <c r="H44" s="81"/>
      <c r="I44" s="81"/>
      <c r="K44" s="131"/>
      <c r="L44" s="59"/>
      <c r="M44" s="59"/>
      <c r="N44" s="81"/>
      <c r="O44" s="81"/>
      <c r="P44" s="61"/>
      <c r="R44" s="60">
        <v>46092.0</v>
      </c>
      <c r="S44" s="108" t="s">
        <v>519</v>
      </c>
      <c r="T44" s="57" t="s">
        <v>520</v>
      </c>
      <c r="U44" s="58" t="s">
        <v>23</v>
      </c>
      <c r="V44" s="58" t="s">
        <v>14</v>
      </c>
      <c r="W44" s="61"/>
      <c r="X44" s="66"/>
      <c r="Y44" s="77">
        <v>46100.0</v>
      </c>
      <c r="Z44" s="72" t="s">
        <v>521</v>
      </c>
      <c r="AA44" s="72" t="s">
        <v>522</v>
      </c>
      <c r="AB44" s="78" t="s">
        <v>22</v>
      </c>
      <c r="AC44" s="78" t="s">
        <v>12</v>
      </c>
      <c r="AD44" s="75"/>
      <c r="AF44" s="77">
        <v>46099.0</v>
      </c>
      <c r="AG44" s="72" t="s">
        <v>523</v>
      </c>
      <c r="AH44" s="72" t="s">
        <v>524</v>
      </c>
      <c r="AI44" s="78" t="s">
        <v>23</v>
      </c>
      <c r="AJ44" s="78" t="s">
        <v>20</v>
      </c>
      <c r="AK44" s="75"/>
      <c r="AL44" s="76"/>
      <c r="AM44" s="84">
        <v>46106.0</v>
      </c>
      <c r="AN44" s="85" t="s">
        <v>525</v>
      </c>
      <c r="AO44" s="85" t="s">
        <v>526</v>
      </c>
      <c r="AP44" s="86" t="s">
        <v>22</v>
      </c>
      <c r="AQ44" s="114" t="s">
        <v>12</v>
      </c>
      <c r="AR44" s="97"/>
      <c r="AS44" s="98"/>
      <c r="AT44" s="90">
        <v>46106.0</v>
      </c>
      <c r="AU44" s="99" t="s">
        <v>527</v>
      </c>
      <c r="AV44" s="99" t="s">
        <v>528</v>
      </c>
      <c r="AW44" s="100" t="s">
        <v>11</v>
      </c>
      <c r="AX44" s="101" t="s">
        <v>17</v>
      </c>
      <c r="AY44" s="80"/>
    </row>
    <row r="45" ht="22.5" customHeight="1">
      <c r="A45" s="59"/>
      <c r="B45" s="59"/>
      <c r="C45" s="81"/>
      <c r="D45" s="81"/>
      <c r="F45" s="59"/>
      <c r="G45" s="59"/>
      <c r="H45" s="81"/>
      <c r="I45" s="81"/>
      <c r="K45" s="131"/>
      <c r="L45" s="59"/>
      <c r="M45" s="59"/>
      <c r="N45" s="81"/>
      <c r="O45" s="81"/>
      <c r="P45" s="61"/>
      <c r="R45" s="60">
        <v>46093.0</v>
      </c>
      <c r="S45" s="57" t="s">
        <v>529</v>
      </c>
      <c r="T45" s="57" t="s">
        <v>530</v>
      </c>
      <c r="U45" s="58" t="s">
        <v>23</v>
      </c>
      <c r="V45" s="58" t="s">
        <v>20</v>
      </c>
      <c r="W45" s="61"/>
      <c r="X45" s="66"/>
      <c r="Y45" s="77">
        <v>46100.0</v>
      </c>
      <c r="Z45" s="72" t="s">
        <v>531</v>
      </c>
      <c r="AA45" s="72" t="s">
        <v>532</v>
      </c>
      <c r="AB45" s="78" t="s">
        <v>22</v>
      </c>
      <c r="AC45" s="78" t="s">
        <v>12</v>
      </c>
      <c r="AD45" s="75"/>
      <c r="AF45" s="77">
        <v>46099.0</v>
      </c>
      <c r="AG45" s="72" t="s">
        <v>533</v>
      </c>
      <c r="AH45" s="72" t="s">
        <v>534</v>
      </c>
      <c r="AI45" s="78" t="s">
        <v>23</v>
      </c>
      <c r="AJ45" s="78" t="s">
        <v>20</v>
      </c>
      <c r="AK45" s="75"/>
      <c r="AL45" s="76"/>
      <c r="AM45" s="84">
        <v>46106.0</v>
      </c>
      <c r="AN45" s="85" t="s">
        <v>535</v>
      </c>
      <c r="AO45" s="85" t="s">
        <v>536</v>
      </c>
      <c r="AP45" s="86" t="s">
        <v>22</v>
      </c>
      <c r="AQ45" s="114" t="s">
        <v>12</v>
      </c>
      <c r="AR45" s="97"/>
      <c r="AS45" s="98"/>
      <c r="AT45" s="122">
        <v>46106.0</v>
      </c>
      <c r="AU45" s="91" t="s">
        <v>537</v>
      </c>
      <c r="AV45" s="91" t="s">
        <v>538</v>
      </c>
      <c r="AW45" s="92" t="s">
        <v>11</v>
      </c>
      <c r="AX45" s="93" t="s">
        <v>17</v>
      </c>
      <c r="AY45" s="94"/>
    </row>
    <row r="46" ht="22.5" customHeight="1">
      <c r="A46" s="59"/>
      <c r="B46" s="59"/>
      <c r="C46" s="81"/>
      <c r="D46" s="81"/>
      <c r="F46" s="59"/>
      <c r="G46" s="59"/>
      <c r="H46" s="81"/>
      <c r="I46" s="81"/>
      <c r="K46" s="131"/>
      <c r="L46" s="59"/>
      <c r="M46" s="59"/>
      <c r="N46" s="81"/>
      <c r="O46" s="81"/>
      <c r="P46" s="61"/>
      <c r="R46" s="60">
        <v>46093.0</v>
      </c>
      <c r="S46" s="57" t="s">
        <v>539</v>
      </c>
      <c r="T46" s="57" t="s">
        <v>540</v>
      </c>
      <c r="U46" s="58" t="s">
        <v>23</v>
      </c>
      <c r="V46" s="58" t="s">
        <v>20</v>
      </c>
      <c r="W46" s="61"/>
      <c r="X46" s="66"/>
      <c r="Y46" s="77">
        <v>46100.0</v>
      </c>
      <c r="Z46" s="72" t="s">
        <v>541</v>
      </c>
      <c r="AA46" s="72" t="s">
        <v>542</v>
      </c>
      <c r="AB46" s="78" t="s">
        <v>30</v>
      </c>
      <c r="AC46" s="78" t="s">
        <v>9</v>
      </c>
      <c r="AD46" s="75"/>
      <c r="AF46" s="115">
        <v>46099.0</v>
      </c>
      <c r="AG46" s="116" t="s">
        <v>543</v>
      </c>
      <c r="AH46" s="116" t="s">
        <v>544</v>
      </c>
      <c r="AI46" s="117" t="s">
        <v>23</v>
      </c>
      <c r="AJ46" s="117" t="s">
        <v>20</v>
      </c>
      <c r="AK46" s="118" t="s">
        <v>170</v>
      </c>
      <c r="AL46" s="76"/>
      <c r="AM46" s="84">
        <v>46106.0</v>
      </c>
      <c r="AN46" s="85" t="s">
        <v>545</v>
      </c>
      <c r="AO46" s="85" t="s">
        <v>546</v>
      </c>
      <c r="AP46" s="86" t="s">
        <v>24</v>
      </c>
      <c r="AQ46" s="87" t="s">
        <v>28</v>
      </c>
      <c r="AR46" s="97"/>
      <c r="AS46" s="98"/>
      <c r="AT46" s="90">
        <v>46106.0</v>
      </c>
      <c r="AU46" s="99" t="s">
        <v>547</v>
      </c>
      <c r="AV46" s="99" t="s">
        <v>548</v>
      </c>
      <c r="AW46" s="100" t="s">
        <v>11</v>
      </c>
      <c r="AX46" s="101" t="s">
        <v>17</v>
      </c>
      <c r="AY46" s="80"/>
    </row>
    <row r="47" ht="22.5" customHeight="1">
      <c r="A47" s="59"/>
      <c r="B47" s="59"/>
      <c r="C47" s="81"/>
      <c r="D47" s="81"/>
      <c r="F47" s="59"/>
      <c r="G47" s="59"/>
      <c r="H47" s="81"/>
      <c r="I47" s="81"/>
      <c r="K47" s="131"/>
      <c r="L47" s="59"/>
      <c r="M47" s="59"/>
      <c r="N47" s="81"/>
      <c r="O47" s="81"/>
      <c r="P47" s="61"/>
      <c r="R47" s="60">
        <v>46093.0</v>
      </c>
      <c r="S47" s="57" t="s">
        <v>549</v>
      </c>
      <c r="T47" s="57" t="s">
        <v>550</v>
      </c>
      <c r="U47" s="58" t="s">
        <v>23</v>
      </c>
      <c r="V47" s="58" t="s">
        <v>20</v>
      </c>
      <c r="W47" s="61"/>
      <c r="X47" s="66"/>
      <c r="Y47" s="77">
        <v>46100.0</v>
      </c>
      <c r="Z47" s="72" t="s">
        <v>551</v>
      </c>
      <c r="AA47" s="72" t="s">
        <v>552</v>
      </c>
      <c r="AB47" s="78" t="s">
        <v>22</v>
      </c>
      <c r="AC47" s="78" t="s">
        <v>12</v>
      </c>
      <c r="AD47" s="75"/>
      <c r="AF47" s="77">
        <v>46099.0</v>
      </c>
      <c r="AG47" s="72" t="s">
        <v>553</v>
      </c>
      <c r="AH47" s="72" t="s">
        <v>554</v>
      </c>
      <c r="AI47" s="78" t="s">
        <v>23</v>
      </c>
      <c r="AJ47" s="78" t="s">
        <v>20</v>
      </c>
      <c r="AK47" s="75"/>
      <c r="AL47" s="76"/>
      <c r="AM47" s="84">
        <v>46106.0</v>
      </c>
      <c r="AN47" s="85" t="s">
        <v>555</v>
      </c>
      <c r="AO47" s="85" t="s">
        <v>556</v>
      </c>
      <c r="AP47" s="86" t="s">
        <v>22</v>
      </c>
      <c r="AQ47" s="114" t="s">
        <v>12</v>
      </c>
      <c r="AR47" s="97"/>
      <c r="AS47" s="98"/>
      <c r="AT47" s="122">
        <v>46106.0</v>
      </c>
      <c r="AU47" s="91" t="s">
        <v>557</v>
      </c>
      <c r="AV47" s="91" t="s">
        <v>558</v>
      </c>
      <c r="AW47" s="92" t="s">
        <v>11</v>
      </c>
      <c r="AX47" s="93" t="s">
        <v>17</v>
      </c>
      <c r="AY47" s="94"/>
    </row>
    <row r="48" ht="22.5" customHeight="1">
      <c r="A48" s="59"/>
      <c r="B48" s="59"/>
      <c r="C48" s="81"/>
      <c r="D48" s="81"/>
      <c r="F48" s="59"/>
      <c r="G48" s="59"/>
      <c r="H48" s="81"/>
      <c r="I48" s="81"/>
      <c r="K48" s="131"/>
      <c r="L48" s="59"/>
      <c r="M48" s="59"/>
      <c r="N48" s="81"/>
      <c r="O48" s="81"/>
      <c r="P48" s="61"/>
      <c r="R48" s="60">
        <v>46093.0</v>
      </c>
      <c r="S48" s="57" t="s">
        <v>559</v>
      </c>
      <c r="T48" s="57" t="s">
        <v>560</v>
      </c>
      <c r="U48" s="58" t="s">
        <v>23</v>
      </c>
      <c r="V48" s="58" t="s">
        <v>20</v>
      </c>
      <c r="W48" s="61"/>
      <c r="X48" s="66"/>
      <c r="Y48" s="77">
        <v>46100.0</v>
      </c>
      <c r="Z48" s="72" t="s">
        <v>561</v>
      </c>
      <c r="AA48" s="72" t="s">
        <v>562</v>
      </c>
      <c r="AB48" s="78" t="s">
        <v>19</v>
      </c>
      <c r="AC48" s="78" t="s">
        <v>9</v>
      </c>
      <c r="AD48" s="75"/>
      <c r="AF48" s="77">
        <v>46099.0</v>
      </c>
      <c r="AG48" s="72" t="s">
        <v>563</v>
      </c>
      <c r="AH48" s="72" t="s">
        <v>564</v>
      </c>
      <c r="AI48" s="78" t="s">
        <v>23</v>
      </c>
      <c r="AJ48" s="78" t="s">
        <v>20</v>
      </c>
      <c r="AK48" s="75"/>
      <c r="AL48" s="76"/>
      <c r="AM48" s="84">
        <v>46106.0</v>
      </c>
      <c r="AN48" s="85" t="s">
        <v>565</v>
      </c>
      <c r="AO48" s="85" t="s">
        <v>566</v>
      </c>
      <c r="AP48" s="86" t="s">
        <v>22</v>
      </c>
      <c r="AQ48" s="87" t="s">
        <v>12</v>
      </c>
      <c r="AR48" s="97"/>
      <c r="AS48" s="98"/>
      <c r="AT48" s="90">
        <v>46106.0</v>
      </c>
      <c r="AU48" s="99" t="s">
        <v>567</v>
      </c>
      <c r="AV48" s="99" t="s">
        <v>568</v>
      </c>
      <c r="AW48" s="100" t="s">
        <v>18</v>
      </c>
      <c r="AX48" s="101" t="s">
        <v>20</v>
      </c>
      <c r="AY48" s="80"/>
    </row>
    <row r="49" ht="22.5" customHeight="1">
      <c r="A49" s="59"/>
      <c r="B49" s="59"/>
      <c r="C49" s="81"/>
      <c r="D49" s="81"/>
      <c r="F49" s="59"/>
      <c r="G49" s="59"/>
      <c r="H49" s="81"/>
      <c r="I49" s="81"/>
      <c r="K49" s="131"/>
      <c r="L49" s="59"/>
      <c r="M49" s="59"/>
      <c r="N49" s="81"/>
      <c r="O49" s="81"/>
      <c r="P49" s="61"/>
      <c r="R49" s="60">
        <v>46093.0</v>
      </c>
      <c r="S49" s="57" t="s">
        <v>529</v>
      </c>
      <c r="T49" s="57" t="s">
        <v>569</v>
      </c>
      <c r="U49" s="58" t="s">
        <v>21</v>
      </c>
      <c r="V49" s="58" t="s">
        <v>20</v>
      </c>
      <c r="W49" s="61"/>
      <c r="X49" s="66"/>
      <c r="Y49" s="77">
        <v>46100.0</v>
      </c>
      <c r="Z49" s="72" t="s">
        <v>570</v>
      </c>
      <c r="AA49" s="72" t="s">
        <v>571</v>
      </c>
      <c r="AB49" s="78" t="s">
        <v>22</v>
      </c>
      <c r="AC49" s="78" t="s">
        <v>12</v>
      </c>
      <c r="AD49" s="75"/>
      <c r="AF49" s="77">
        <v>46099.0</v>
      </c>
      <c r="AG49" s="72" t="s">
        <v>572</v>
      </c>
      <c r="AH49" s="72" t="s">
        <v>573</v>
      </c>
      <c r="AI49" s="78" t="s">
        <v>23</v>
      </c>
      <c r="AJ49" s="78" t="s">
        <v>20</v>
      </c>
      <c r="AK49" s="75"/>
      <c r="AL49" s="76"/>
      <c r="AM49" s="84">
        <v>46106.0</v>
      </c>
      <c r="AN49" s="85" t="s">
        <v>574</v>
      </c>
      <c r="AO49" s="85" t="s">
        <v>575</v>
      </c>
      <c r="AP49" s="86" t="s">
        <v>22</v>
      </c>
      <c r="AQ49" s="114" t="s">
        <v>12</v>
      </c>
      <c r="AR49" s="97"/>
      <c r="AS49" s="98"/>
      <c r="AT49" s="122">
        <v>46106.0</v>
      </c>
      <c r="AU49" s="91" t="s">
        <v>576</v>
      </c>
      <c r="AV49" s="91" t="s">
        <v>577</v>
      </c>
      <c r="AW49" s="92" t="s">
        <v>18</v>
      </c>
      <c r="AX49" s="93" t="s">
        <v>20</v>
      </c>
      <c r="AY49" s="94"/>
    </row>
    <row r="50" ht="22.5" customHeight="1">
      <c r="A50" s="59"/>
      <c r="B50" s="59"/>
      <c r="C50" s="81"/>
      <c r="D50" s="81"/>
      <c r="F50" s="59"/>
      <c r="G50" s="59"/>
      <c r="H50" s="81"/>
      <c r="I50" s="81"/>
      <c r="K50" s="131"/>
      <c r="L50" s="59"/>
      <c r="M50" s="59"/>
      <c r="N50" s="81"/>
      <c r="O50" s="81"/>
      <c r="P50" s="61"/>
      <c r="R50" s="60">
        <v>46093.0</v>
      </c>
      <c r="S50" s="57" t="s">
        <v>578</v>
      </c>
      <c r="T50" s="57" t="s">
        <v>579</v>
      </c>
      <c r="U50" s="58" t="s">
        <v>21</v>
      </c>
      <c r="V50" s="58" t="s">
        <v>20</v>
      </c>
      <c r="W50" s="61"/>
      <c r="X50" s="66"/>
      <c r="Y50" s="77">
        <v>46100.0</v>
      </c>
      <c r="Z50" s="72" t="s">
        <v>580</v>
      </c>
      <c r="AA50" s="72" t="s">
        <v>581</v>
      </c>
      <c r="AB50" s="78" t="s">
        <v>22</v>
      </c>
      <c r="AC50" s="78" t="s">
        <v>12</v>
      </c>
      <c r="AD50" s="75"/>
      <c r="AF50" s="77">
        <v>46099.0</v>
      </c>
      <c r="AG50" s="72" t="s">
        <v>582</v>
      </c>
      <c r="AH50" s="72" t="s">
        <v>583</v>
      </c>
      <c r="AI50" s="78" t="s">
        <v>23</v>
      </c>
      <c r="AJ50" s="78" t="s">
        <v>20</v>
      </c>
      <c r="AK50" s="75"/>
      <c r="AL50" s="76"/>
      <c r="AM50" s="84">
        <v>46106.0</v>
      </c>
      <c r="AN50" s="85" t="s">
        <v>584</v>
      </c>
      <c r="AO50" s="85" t="s">
        <v>585</v>
      </c>
      <c r="AP50" s="86" t="s">
        <v>22</v>
      </c>
      <c r="AQ50" s="114" t="s">
        <v>12</v>
      </c>
      <c r="AR50" s="97"/>
      <c r="AS50" s="98"/>
      <c r="AT50" s="90">
        <v>46106.0</v>
      </c>
      <c r="AU50" s="99" t="s">
        <v>586</v>
      </c>
      <c r="AV50" s="99" t="s">
        <v>587</v>
      </c>
      <c r="AW50" s="100" t="s">
        <v>23</v>
      </c>
      <c r="AX50" s="101" t="s">
        <v>20</v>
      </c>
      <c r="AY50" s="80"/>
    </row>
    <row r="51" ht="22.5" customHeight="1">
      <c r="A51" s="59"/>
      <c r="B51" s="59"/>
      <c r="C51" s="81"/>
      <c r="D51" s="81"/>
      <c r="F51" s="59"/>
      <c r="G51" s="59"/>
      <c r="H51" s="81"/>
      <c r="I51" s="81"/>
      <c r="K51" s="131"/>
      <c r="L51" s="59"/>
      <c r="M51" s="59"/>
      <c r="N51" s="81"/>
      <c r="O51" s="81"/>
      <c r="P51" s="61"/>
      <c r="R51" s="60">
        <v>46093.0</v>
      </c>
      <c r="S51" s="57" t="s">
        <v>588</v>
      </c>
      <c r="T51" s="57" t="s">
        <v>589</v>
      </c>
      <c r="U51" s="58" t="s">
        <v>23</v>
      </c>
      <c r="V51" s="58" t="s">
        <v>20</v>
      </c>
      <c r="W51" s="61"/>
      <c r="X51" s="66"/>
      <c r="Y51" s="77">
        <v>46100.0</v>
      </c>
      <c r="Z51" s="72" t="s">
        <v>590</v>
      </c>
      <c r="AA51" s="72" t="s">
        <v>591</v>
      </c>
      <c r="AB51" s="78" t="s">
        <v>27</v>
      </c>
      <c r="AC51" s="78" t="s">
        <v>28</v>
      </c>
      <c r="AD51" s="75"/>
      <c r="AF51" s="77">
        <v>46099.0</v>
      </c>
      <c r="AG51" s="72" t="s">
        <v>592</v>
      </c>
      <c r="AH51" s="72" t="s">
        <v>593</v>
      </c>
      <c r="AI51" s="78" t="s">
        <v>23</v>
      </c>
      <c r="AJ51" s="78" t="s">
        <v>20</v>
      </c>
      <c r="AK51" s="75"/>
      <c r="AL51" s="76"/>
      <c r="AM51" s="84">
        <v>46107.0</v>
      </c>
      <c r="AN51" s="85" t="s">
        <v>594</v>
      </c>
      <c r="AO51" s="85" t="s">
        <v>595</v>
      </c>
      <c r="AP51" s="86" t="s">
        <v>10</v>
      </c>
      <c r="AQ51" s="87" t="s">
        <v>9</v>
      </c>
      <c r="AR51" s="97"/>
      <c r="AS51" s="98"/>
      <c r="AT51" s="122">
        <v>46106.0</v>
      </c>
      <c r="AU51" s="91" t="s">
        <v>596</v>
      </c>
      <c r="AV51" s="91" t="s">
        <v>597</v>
      </c>
      <c r="AW51" s="92" t="s">
        <v>23</v>
      </c>
      <c r="AX51" s="93" t="s">
        <v>20</v>
      </c>
      <c r="AY51" s="94"/>
    </row>
    <row r="52" ht="22.5" customHeight="1">
      <c r="A52" s="59"/>
      <c r="B52" s="59"/>
      <c r="C52" s="81"/>
      <c r="D52" s="81"/>
      <c r="F52" s="59"/>
      <c r="G52" s="59"/>
      <c r="H52" s="81"/>
      <c r="I52" s="81"/>
      <c r="K52" s="131"/>
      <c r="L52" s="59"/>
      <c r="M52" s="59"/>
      <c r="N52" s="81"/>
      <c r="O52" s="81"/>
      <c r="P52" s="61"/>
      <c r="R52" s="60">
        <v>46093.0</v>
      </c>
      <c r="S52" s="57" t="s">
        <v>598</v>
      </c>
      <c r="T52" s="57" t="s">
        <v>599</v>
      </c>
      <c r="U52" s="58" t="s">
        <v>23</v>
      </c>
      <c r="V52" s="58" t="s">
        <v>20</v>
      </c>
      <c r="W52" s="61"/>
      <c r="X52" s="66"/>
      <c r="Y52" s="77">
        <v>46100.0</v>
      </c>
      <c r="Z52" s="72" t="s">
        <v>600</v>
      </c>
      <c r="AA52" s="72" t="s">
        <v>601</v>
      </c>
      <c r="AB52" s="78" t="s">
        <v>27</v>
      </c>
      <c r="AC52" s="78" t="s">
        <v>28</v>
      </c>
      <c r="AD52" s="75"/>
      <c r="AF52" s="77">
        <v>46099.0</v>
      </c>
      <c r="AG52" s="72" t="s">
        <v>602</v>
      </c>
      <c r="AH52" s="72" t="s">
        <v>603</v>
      </c>
      <c r="AI52" s="78" t="s">
        <v>23</v>
      </c>
      <c r="AJ52" s="78" t="s">
        <v>20</v>
      </c>
      <c r="AK52" s="75"/>
      <c r="AL52" s="76"/>
      <c r="AM52" s="84">
        <v>46107.0</v>
      </c>
      <c r="AN52" s="85" t="s">
        <v>604</v>
      </c>
      <c r="AO52" s="85" t="s">
        <v>605</v>
      </c>
      <c r="AP52" s="86" t="s">
        <v>10</v>
      </c>
      <c r="AQ52" s="87" t="s">
        <v>9</v>
      </c>
      <c r="AR52" s="97"/>
      <c r="AS52" s="98"/>
      <c r="AT52" s="90">
        <v>46106.0</v>
      </c>
      <c r="AU52" s="99" t="s">
        <v>606</v>
      </c>
      <c r="AV52" s="99" t="s">
        <v>607</v>
      </c>
      <c r="AW52" s="100" t="s">
        <v>23</v>
      </c>
      <c r="AX52" s="101" t="s">
        <v>20</v>
      </c>
      <c r="AY52" s="80"/>
    </row>
    <row r="53" ht="22.5" customHeight="1">
      <c r="A53" s="59"/>
      <c r="B53" s="59"/>
      <c r="C53" s="81"/>
      <c r="D53" s="81"/>
      <c r="F53" s="59"/>
      <c r="G53" s="59"/>
      <c r="H53" s="81"/>
      <c r="I53" s="81"/>
      <c r="K53" s="131"/>
      <c r="L53" s="59"/>
      <c r="M53" s="59"/>
      <c r="N53" s="81"/>
      <c r="O53" s="81"/>
      <c r="P53" s="61"/>
      <c r="R53" s="60">
        <v>46093.0</v>
      </c>
      <c r="S53" s="57" t="s">
        <v>608</v>
      </c>
      <c r="T53" s="57" t="s">
        <v>609</v>
      </c>
      <c r="U53" s="58" t="s">
        <v>23</v>
      </c>
      <c r="V53" s="58" t="s">
        <v>20</v>
      </c>
      <c r="W53" s="61"/>
      <c r="X53" s="66"/>
      <c r="Y53" s="77">
        <v>46100.0</v>
      </c>
      <c r="Z53" s="72" t="s">
        <v>610</v>
      </c>
      <c r="AA53" s="72" t="s">
        <v>611</v>
      </c>
      <c r="AB53" s="78" t="s">
        <v>27</v>
      </c>
      <c r="AC53" s="78" t="s">
        <v>28</v>
      </c>
      <c r="AD53" s="75"/>
      <c r="AF53" s="77">
        <v>46099.0</v>
      </c>
      <c r="AG53" s="72" t="s">
        <v>612</v>
      </c>
      <c r="AH53" s="147" t="s">
        <v>613</v>
      </c>
      <c r="AI53" s="78" t="s">
        <v>18</v>
      </c>
      <c r="AJ53" s="78" t="s">
        <v>14</v>
      </c>
      <c r="AK53" s="75"/>
      <c r="AL53" s="76"/>
      <c r="AM53" s="84">
        <v>46107.0</v>
      </c>
      <c r="AN53" s="85" t="s">
        <v>614</v>
      </c>
      <c r="AO53" s="85" t="s">
        <v>615</v>
      </c>
      <c r="AP53" s="86" t="s">
        <v>10</v>
      </c>
      <c r="AQ53" s="87" t="s">
        <v>9</v>
      </c>
      <c r="AR53" s="97"/>
      <c r="AS53" s="98"/>
      <c r="AT53" s="122">
        <v>46106.0</v>
      </c>
      <c r="AU53" s="91" t="s">
        <v>616</v>
      </c>
      <c r="AV53" s="148" t="s">
        <v>617</v>
      </c>
      <c r="AW53" s="92" t="s">
        <v>23</v>
      </c>
      <c r="AX53" s="92" t="s">
        <v>20</v>
      </c>
      <c r="AY53" s="94"/>
    </row>
    <row r="54" ht="22.5" customHeight="1">
      <c r="A54" s="59"/>
      <c r="B54" s="59"/>
      <c r="C54" s="81"/>
      <c r="D54" s="81"/>
      <c r="F54" s="59"/>
      <c r="G54" s="59"/>
      <c r="H54" s="81"/>
      <c r="I54" s="81"/>
      <c r="K54" s="131"/>
      <c r="L54" s="59"/>
      <c r="M54" s="59"/>
      <c r="N54" s="81"/>
      <c r="O54" s="81"/>
      <c r="P54" s="61"/>
      <c r="R54" s="60">
        <v>46093.0</v>
      </c>
      <c r="S54" s="57" t="s">
        <v>618</v>
      </c>
      <c r="T54" s="57" t="s">
        <v>619</v>
      </c>
      <c r="U54" s="58" t="s">
        <v>23</v>
      </c>
      <c r="V54" s="58" t="s">
        <v>20</v>
      </c>
      <c r="W54" s="61"/>
      <c r="X54" s="66"/>
      <c r="Y54" s="77">
        <v>46100.0</v>
      </c>
      <c r="Z54" s="72" t="s">
        <v>620</v>
      </c>
      <c r="AA54" s="72" t="s">
        <v>621</v>
      </c>
      <c r="AB54" s="78" t="s">
        <v>27</v>
      </c>
      <c r="AC54" s="78" t="s">
        <v>28</v>
      </c>
      <c r="AD54" s="75"/>
      <c r="AF54" s="77">
        <v>46099.0</v>
      </c>
      <c r="AG54" s="72" t="s">
        <v>622</v>
      </c>
      <c r="AH54" s="72" t="s">
        <v>623</v>
      </c>
      <c r="AI54" s="78" t="s">
        <v>18</v>
      </c>
      <c r="AJ54" s="78" t="s">
        <v>14</v>
      </c>
      <c r="AK54" s="75"/>
      <c r="AL54" s="76"/>
      <c r="AM54" s="84">
        <v>46107.0</v>
      </c>
      <c r="AN54" s="85" t="s">
        <v>624</v>
      </c>
      <c r="AO54" s="85" t="s">
        <v>625</v>
      </c>
      <c r="AP54" s="86" t="s">
        <v>27</v>
      </c>
      <c r="AQ54" s="87" t="s">
        <v>28</v>
      </c>
      <c r="AR54" s="97"/>
      <c r="AS54" s="98"/>
      <c r="AT54" s="90">
        <v>46106.0</v>
      </c>
      <c r="AU54" s="99" t="s">
        <v>626</v>
      </c>
      <c r="AV54" s="99" t="s">
        <v>627</v>
      </c>
      <c r="AW54" s="100" t="s">
        <v>23</v>
      </c>
      <c r="AX54" s="100" t="s">
        <v>20</v>
      </c>
      <c r="AY54" s="80"/>
    </row>
    <row r="55" ht="22.5" customHeight="1">
      <c r="A55" s="59"/>
      <c r="B55" s="59"/>
      <c r="C55" s="81"/>
      <c r="D55" s="81"/>
      <c r="F55" s="59"/>
      <c r="G55" s="59"/>
      <c r="H55" s="81"/>
      <c r="I55" s="81"/>
      <c r="K55" s="131"/>
      <c r="L55" s="59"/>
      <c r="M55" s="59"/>
      <c r="N55" s="81"/>
      <c r="O55" s="81"/>
      <c r="P55" s="61"/>
      <c r="R55" s="60">
        <v>46093.0</v>
      </c>
      <c r="S55" s="57" t="s">
        <v>628</v>
      </c>
      <c r="T55" s="57" t="s">
        <v>629</v>
      </c>
      <c r="U55" s="58" t="s">
        <v>21</v>
      </c>
      <c r="V55" s="58" t="s">
        <v>17</v>
      </c>
      <c r="W55" s="61"/>
      <c r="X55" s="66"/>
      <c r="Y55" s="77">
        <v>46100.0</v>
      </c>
      <c r="Z55" s="72" t="s">
        <v>630</v>
      </c>
      <c r="AA55" s="72" t="s">
        <v>631</v>
      </c>
      <c r="AB55" s="78" t="s">
        <v>22</v>
      </c>
      <c r="AC55" s="78" t="s">
        <v>12</v>
      </c>
      <c r="AD55" s="75"/>
      <c r="AF55" s="77">
        <v>46099.0</v>
      </c>
      <c r="AG55" s="72" t="s">
        <v>632</v>
      </c>
      <c r="AH55" s="72" t="s">
        <v>633</v>
      </c>
      <c r="AI55" s="78" t="s">
        <v>18</v>
      </c>
      <c r="AJ55" s="78" t="s">
        <v>14</v>
      </c>
      <c r="AK55" s="75"/>
      <c r="AL55" s="76"/>
      <c r="AM55" s="84">
        <v>46106.0</v>
      </c>
      <c r="AN55" s="85" t="s">
        <v>634</v>
      </c>
      <c r="AO55" s="85" t="s">
        <v>635</v>
      </c>
      <c r="AP55" s="86" t="s">
        <v>22</v>
      </c>
      <c r="AQ55" s="114" t="s">
        <v>12</v>
      </c>
      <c r="AR55" s="97"/>
      <c r="AS55" s="98"/>
      <c r="AT55" s="122">
        <v>46106.0</v>
      </c>
      <c r="AU55" s="91" t="s">
        <v>636</v>
      </c>
      <c r="AV55" s="91" t="s">
        <v>637</v>
      </c>
      <c r="AW55" s="92" t="s">
        <v>23</v>
      </c>
      <c r="AX55" s="92" t="s">
        <v>20</v>
      </c>
      <c r="AY55" s="94"/>
    </row>
    <row r="56" ht="22.5" customHeight="1">
      <c r="A56" s="59"/>
      <c r="B56" s="59"/>
      <c r="C56" s="81"/>
      <c r="D56" s="81"/>
      <c r="F56" s="59"/>
      <c r="G56" s="59"/>
      <c r="H56" s="81"/>
      <c r="I56" s="81"/>
      <c r="K56" s="131"/>
      <c r="L56" s="59"/>
      <c r="M56" s="59"/>
      <c r="N56" s="81"/>
      <c r="O56" s="81"/>
      <c r="P56" s="61"/>
      <c r="R56" s="60">
        <v>46094.0</v>
      </c>
      <c r="S56" s="57" t="s">
        <v>638</v>
      </c>
      <c r="T56" s="57" t="s">
        <v>639</v>
      </c>
      <c r="U56" s="58" t="s">
        <v>21</v>
      </c>
      <c r="V56" s="58" t="s">
        <v>17</v>
      </c>
      <c r="W56" s="61"/>
      <c r="X56" s="66"/>
      <c r="Y56" s="77">
        <v>46100.0</v>
      </c>
      <c r="Z56" s="72" t="s">
        <v>640</v>
      </c>
      <c r="AA56" s="72" t="s">
        <v>641</v>
      </c>
      <c r="AB56" s="78" t="s">
        <v>29</v>
      </c>
      <c r="AC56" s="78" t="s">
        <v>12</v>
      </c>
      <c r="AD56" s="75"/>
      <c r="AF56" s="115">
        <v>46099.0</v>
      </c>
      <c r="AG56" s="116" t="s">
        <v>642</v>
      </c>
      <c r="AH56" s="116" t="s">
        <v>643</v>
      </c>
      <c r="AI56" s="117" t="s">
        <v>21</v>
      </c>
      <c r="AJ56" s="117" t="s">
        <v>14</v>
      </c>
      <c r="AK56" s="118" t="s">
        <v>644</v>
      </c>
      <c r="AL56" s="76"/>
      <c r="AM56" s="84">
        <v>46106.0</v>
      </c>
      <c r="AN56" s="85" t="s">
        <v>645</v>
      </c>
      <c r="AO56" s="85" t="s">
        <v>646</v>
      </c>
      <c r="AP56" s="86" t="s">
        <v>22</v>
      </c>
      <c r="AQ56" s="114" t="s">
        <v>12</v>
      </c>
      <c r="AR56" s="97"/>
      <c r="AS56" s="98"/>
      <c r="AT56" s="90">
        <v>46106.0</v>
      </c>
      <c r="AU56" s="99" t="s">
        <v>647</v>
      </c>
      <c r="AV56" s="99" t="s">
        <v>648</v>
      </c>
      <c r="AW56" s="100" t="s">
        <v>23</v>
      </c>
      <c r="AX56" s="100" t="s">
        <v>20</v>
      </c>
      <c r="AY56" s="80"/>
    </row>
    <row r="57" ht="22.5" customHeight="1">
      <c r="A57" s="59"/>
      <c r="B57" s="59"/>
      <c r="C57" s="81"/>
      <c r="D57" s="81"/>
      <c r="F57" s="59"/>
      <c r="G57" s="59"/>
      <c r="H57" s="81"/>
      <c r="I57" s="81"/>
      <c r="K57" s="131"/>
      <c r="L57" s="59"/>
      <c r="M57" s="59"/>
      <c r="N57" s="81"/>
      <c r="O57" s="81"/>
      <c r="P57" s="61"/>
      <c r="R57" s="60">
        <v>46094.0</v>
      </c>
      <c r="S57" s="57" t="s">
        <v>649</v>
      </c>
      <c r="T57" s="57" t="s">
        <v>650</v>
      </c>
      <c r="U57" s="58" t="s">
        <v>25</v>
      </c>
      <c r="V57" s="58" t="s">
        <v>17</v>
      </c>
      <c r="W57" s="61"/>
      <c r="X57" s="66"/>
      <c r="Y57" s="77">
        <v>46100.0</v>
      </c>
      <c r="Z57" s="72" t="s">
        <v>651</v>
      </c>
      <c r="AA57" s="72" t="s">
        <v>652</v>
      </c>
      <c r="AB57" s="78" t="s">
        <v>24</v>
      </c>
      <c r="AC57" s="78" t="s">
        <v>12</v>
      </c>
      <c r="AD57" s="75"/>
      <c r="AF57" s="77">
        <v>46100.0</v>
      </c>
      <c r="AG57" s="72" t="s">
        <v>653</v>
      </c>
      <c r="AH57" s="72" t="s">
        <v>654</v>
      </c>
      <c r="AI57" s="78" t="s">
        <v>23</v>
      </c>
      <c r="AJ57" s="78" t="s">
        <v>20</v>
      </c>
      <c r="AK57" s="75"/>
      <c r="AL57" s="76"/>
      <c r="AM57" s="84">
        <v>46106.0</v>
      </c>
      <c r="AN57" s="85" t="s">
        <v>655</v>
      </c>
      <c r="AO57" s="85" t="s">
        <v>656</v>
      </c>
      <c r="AP57" s="86" t="s">
        <v>10</v>
      </c>
      <c r="AQ57" s="114" t="s">
        <v>9</v>
      </c>
      <c r="AR57" s="97"/>
      <c r="AS57" s="98"/>
      <c r="AT57" s="122">
        <v>46106.0</v>
      </c>
      <c r="AU57" s="91" t="s">
        <v>657</v>
      </c>
      <c r="AV57" s="91" t="s">
        <v>658</v>
      </c>
      <c r="AW57" s="92" t="s">
        <v>23</v>
      </c>
      <c r="AX57" s="93" t="s">
        <v>20</v>
      </c>
      <c r="AY57" s="94"/>
    </row>
    <row r="58" ht="22.5" customHeight="1">
      <c r="A58" s="59"/>
      <c r="B58" s="59"/>
      <c r="C58" s="81"/>
      <c r="D58" s="81"/>
      <c r="F58" s="59"/>
      <c r="G58" s="59"/>
      <c r="H58" s="81"/>
      <c r="I58" s="81"/>
      <c r="K58" s="131"/>
      <c r="L58" s="59"/>
      <c r="M58" s="59"/>
      <c r="N58" s="81"/>
      <c r="O58" s="81"/>
      <c r="P58" s="61"/>
      <c r="R58" s="60">
        <v>46094.0</v>
      </c>
      <c r="S58" s="57" t="s">
        <v>659</v>
      </c>
      <c r="T58" s="57" t="s">
        <v>660</v>
      </c>
      <c r="U58" s="58" t="s">
        <v>21</v>
      </c>
      <c r="V58" s="58" t="s">
        <v>17</v>
      </c>
      <c r="W58" s="61"/>
      <c r="X58" s="66"/>
      <c r="Y58" s="77">
        <v>46100.0</v>
      </c>
      <c r="Z58" s="72" t="s">
        <v>661</v>
      </c>
      <c r="AA58" s="72" t="s">
        <v>662</v>
      </c>
      <c r="AB58" s="78" t="s">
        <v>16</v>
      </c>
      <c r="AC58" s="78" t="s">
        <v>12</v>
      </c>
      <c r="AD58" s="75"/>
      <c r="AF58" s="77">
        <v>46100.0</v>
      </c>
      <c r="AG58" s="72" t="s">
        <v>663</v>
      </c>
      <c r="AH58" s="72" t="s">
        <v>664</v>
      </c>
      <c r="AI58" s="78" t="s">
        <v>23</v>
      </c>
      <c r="AJ58" s="78" t="s">
        <v>20</v>
      </c>
      <c r="AK58" s="75"/>
      <c r="AL58" s="76"/>
      <c r="AM58" s="84">
        <v>46106.0</v>
      </c>
      <c r="AN58" s="85" t="s">
        <v>665</v>
      </c>
      <c r="AO58" s="85" t="s">
        <v>666</v>
      </c>
      <c r="AP58" s="86" t="s">
        <v>22</v>
      </c>
      <c r="AQ58" s="114" t="s">
        <v>12</v>
      </c>
      <c r="AR58" s="97"/>
      <c r="AS58" s="98"/>
      <c r="AT58" s="90">
        <v>46106.0</v>
      </c>
      <c r="AU58" s="99" t="s">
        <v>667</v>
      </c>
      <c r="AV58" s="99" t="s">
        <v>668</v>
      </c>
      <c r="AW58" s="100" t="s">
        <v>11</v>
      </c>
      <c r="AX58" s="101" t="s">
        <v>17</v>
      </c>
      <c r="AY58" s="80"/>
    </row>
    <row r="59" ht="22.5" customHeight="1">
      <c r="A59" s="59"/>
      <c r="B59" s="59"/>
      <c r="C59" s="81"/>
      <c r="D59" s="81"/>
      <c r="F59" s="59"/>
      <c r="G59" s="59"/>
      <c r="H59" s="81"/>
      <c r="I59" s="81"/>
      <c r="K59" s="131"/>
      <c r="L59" s="59"/>
      <c r="M59" s="59"/>
      <c r="N59" s="81"/>
      <c r="O59" s="81"/>
      <c r="P59" s="61"/>
      <c r="R59" s="60">
        <v>46094.0</v>
      </c>
      <c r="S59" s="57" t="s">
        <v>669</v>
      </c>
      <c r="T59" s="57" t="s">
        <v>670</v>
      </c>
      <c r="U59" s="58" t="s">
        <v>21</v>
      </c>
      <c r="V59" s="58" t="s">
        <v>17</v>
      </c>
      <c r="W59" s="61"/>
      <c r="X59" s="66"/>
      <c r="Y59" s="77">
        <v>46101.0</v>
      </c>
      <c r="Z59" s="72" t="s">
        <v>671</v>
      </c>
      <c r="AA59" s="72" t="s">
        <v>672</v>
      </c>
      <c r="AB59" s="78" t="s">
        <v>13</v>
      </c>
      <c r="AC59" s="78" t="s">
        <v>9</v>
      </c>
      <c r="AD59" s="75"/>
      <c r="AF59" s="77">
        <v>46100.0</v>
      </c>
      <c r="AG59" s="72" t="s">
        <v>673</v>
      </c>
      <c r="AH59" s="72" t="s">
        <v>674</v>
      </c>
      <c r="AI59" s="78" t="s">
        <v>25</v>
      </c>
      <c r="AJ59" s="78" t="s">
        <v>20</v>
      </c>
      <c r="AK59" s="75"/>
      <c r="AL59" s="76"/>
      <c r="AM59" s="84">
        <v>46106.0</v>
      </c>
      <c r="AN59" s="85" t="s">
        <v>675</v>
      </c>
      <c r="AO59" s="85" t="s">
        <v>676</v>
      </c>
      <c r="AP59" s="86" t="s">
        <v>22</v>
      </c>
      <c r="AQ59" s="87" t="s">
        <v>12</v>
      </c>
      <c r="AR59" s="97"/>
      <c r="AS59" s="98"/>
      <c r="AT59" s="122">
        <v>46106.0</v>
      </c>
      <c r="AU59" s="91" t="s">
        <v>677</v>
      </c>
      <c r="AV59" s="91" t="s">
        <v>678</v>
      </c>
      <c r="AW59" s="92" t="s">
        <v>11</v>
      </c>
      <c r="AX59" s="93" t="s">
        <v>17</v>
      </c>
      <c r="AY59" s="94"/>
    </row>
    <row r="60" ht="22.5" customHeight="1">
      <c r="A60" s="59"/>
      <c r="B60" s="59"/>
      <c r="C60" s="81"/>
      <c r="D60" s="81"/>
      <c r="F60" s="59"/>
      <c r="G60" s="59"/>
      <c r="H60" s="81"/>
      <c r="I60" s="81"/>
      <c r="K60" s="131"/>
      <c r="L60" s="59"/>
      <c r="M60" s="59"/>
      <c r="N60" s="81"/>
      <c r="O60" s="81"/>
      <c r="P60" s="61"/>
      <c r="R60" s="60">
        <v>46094.0</v>
      </c>
      <c r="S60" s="57" t="s">
        <v>679</v>
      </c>
      <c r="T60" s="149" t="s">
        <v>680</v>
      </c>
      <c r="U60" s="58" t="s">
        <v>21</v>
      </c>
      <c r="V60" s="58" t="s">
        <v>17</v>
      </c>
      <c r="W60" s="61"/>
      <c r="X60" s="66"/>
      <c r="Y60" s="77">
        <v>46101.0</v>
      </c>
      <c r="Z60" s="72" t="s">
        <v>681</v>
      </c>
      <c r="AA60" s="72" t="s">
        <v>682</v>
      </c>
      <c r="AB60" s="78" t="s">
        <v>24</v>
      </c>
      <c r="AC60" s="78" t="s">
        <v>12</v>
      </c>
      <c r="AD60" s="75"/>
      <c r="AF60" s="77">
        <v>46100.0</v>
      </c>
      <c r="AG60" s="72" t="s">
        <v>683</v>
      </c>
      <c r="AH60" s="150" t="s">
        <v>684</v>
      </c>
      <c r="AI60" s="78" t="s">
        <v>21</v>
      </c>
      <c r="AJ60" s="78" t="s">
        <v>20</v>
      </c>
      <c r="AK60" s="75"/>
      <c r="AL60" s="76"/>
      <c r="AM60" s="84">
        <v>46106.0</v>
      </c>
      <c r="AN60" s="151" t="s">
        <v>685</v>
      </c>
      <c r="AO60" s="85" t="s">
        <v>686</v>
      </c>
      <c r="AP60" s="86" t="s">
        <v>22</v>
      </c>
      <c r="AQ60" s="114" t="s">
        <v>12</v>
      </c>
      <c r="AR60" s="97"/>
      <c r="AS60" s="98"/>
      <c r="AT60" s="90">
        <v>46107.0</v>
      </c>
      <c r="AU60" s="99" t="s">
        <v>687</v>
      </c>
      <c r="AV60" s="99" t="s">
        <v>688</v>
      </c>
      <c r="AW60" s="100" t="s">
        <v>11</v>
      </c>
      <c r="AX60" s="101" t="s">
        <v>17</v>
      </c>
      <c r="AY60" s="80"/>
    </row>
    <row r="61" ht="22.5" customHeight="1">
      <c r="A61" s="59"/>
      <c r="B61" s="59"/>
      <c r="C61" s="81"/>
      <c r="D61" s="81"/>
      <c r="F61" s="59"/>
      <c r="G61" s="59"/>
      <c r="H61" s="81"/>
      <c r="I61" s="81"/>
      <c r="K61" s="131"/>
      <c r="L61" s="59"/>
      <c r="M61" s="59"/>
      <c r="N61" s="81"/>
      <c r="O61" s="81"/>
      <c r="P61" s="61"/>
      <c r="R61" s="60">
        <v>46094.0</v>
      </c>
      <c r="S61" s="57" t="s">
        <v>689</v>
      </c>
      <c r="T61" s="152" t="s">
        <v>690</v>
      </c>
      <c r="U61" s="58" t="s">
        <v>21</v>
      </c>
      <c r="V61" s="58" t="s">
        <v>17</v>
      </c>
      <c r="W61" s="61"/>
      <c r="X61" s="66"/>
      <c r="Y61" s="77">
        <v>46101.0</v>
      </c>
      <c r="Z61" s="72" t="s">
        <v>691</v>
      </c>
      <c r="AA61" s="72" t="s">
        <v>692</v>
      </c>
      <c r="AB61" s="78" t="s">
        <v>13</v>
      </c>
      <c r="AC61" s="78" t="s">
        <v>12</v>
      </c>
      <c r="AD61" s="75"/>
      <c r="AF61" s="77">
        <v>46100.0</v>
      </c>
      <c r="AG61" s="72" t="s">
        <v>693</v>
      </c>
      <c r="AH61" s="153" t="s">
        <v>694</v>
      </c>
      <c r="AI61" s="78" t="s">
        <v>18</v>
      </c>
      <c r="AJ61" s="78" t="s">
        <v>20</v>
      </c>
      <c r="AK61" s="75"/>
      <c r="AL61" s="76"/>
      <c r="AM61" s="84">
        <v>46106.0</v>
      </c>
      <c r="AN61" s="85" t="s">
        <v>695</v>
      </c>
      <c r="AO61" s="85" t="s">
        <v>696</v>
      </c>
      <c r="AP61" s="86" t="s">
        <v>22</v>
      </c>
      <c r="AQ61" s="114" t="s">
        <v>12</v>
      </c>
      <c r="AR61" s="97"/>
      <c r="AS61" s="98"/>
      <c r="AT61" s="122">
        <v>46107.0</v>
      </c>
      <c r="AU61" s="91" t="s">
        <v>697</v>
      </c>
      <c r="AV61" s="154" t="s">
        <v>698</v>
      </c>
      <c r="AW61" s="92" t="s">
        <v>11</v>
      </c>
      <c r="AX61" s="93" t="s">
        <v>17</v>
      </c>
      <c r="AY61" s="94"/>
    </row>
    <row r="62" ht="22.5" customHeight="1">
      <c r="A62" s="59"/>
      <c r="B62" s="59"/>
      <c r="C62" s="81"/>
      <c r="D62" s="81"/>
      <c r="F62" s="59"/>
      <c r="G62" s="59"/>
      <c r="H62" s="81"/>
      <c r="I62" s="81"/>
      <c r="K62" s="131"/>
      <c r="L62" s="59"/>
      <c r="M62" s="59"/>
      <c r="N62" s="81"/>
      <c r="O62" s="81"/>
      <c r="P62" s="61"/>
      <c r="R62" s="60">
        <v>46094.0</v>
      </c>
      <c r="S62" s="57" t="s">
        <v>699</v>
      </c>
      <c r="T62" s="57" t="s">
        <v>700</v>
      </c>
      <c r="U62" s="58" t="s">
        <v>23</v>
      </c>
      <c r="V62" s="58" t="s">
        <v>20</v>
      </c>
      <c r="W62" s="61"/>
      <c r="X62" s="66"/>
      <c r="Y62" s="77">
        <v>46101.0</v>
      </c>
      <c r="Z62" s="72" t="s">
        <v>701</v>
      </c>
      <c r="AA62" s="72" t="s">
        <v>702</v>
      </c>
      <c r="AB62" s="78" t="s">
        <v>24</v>
      </c>
      <c r="AC62" s="78" t="s">
        <v>12</v>
      </c>
      <c r="AD62" s="75"/>
      <c r="AF62" s="77">
        <v>46100.0</v>
      </c>
      <c r="AG62" s="72" t="s">
        <v>703</v>
      </c>
      <c r="AH62" s="72" t="s">
        <v>704</v>
      </c>
      <c r="AI62" s="78" t="s">
        <v>18</v>
      </c>
      <c r="AJ62" s="78" t="s">
        <v>20</v>
      </c>
      <c r="AK62" s="75"/>
      <c r="AL62" s="76"/>
      <c r="AM62" s="84">
        <v>46106.0</v>
      </c>
      <c r="AN62" s="85" t="s">
        <v>705</v>
      </c>
      <c r="AO62" s="85" t="s">
        <v>706</v>
      </c>
      <c r="AP62" s="86" t="s">
        <v>22</v>
      </c>
      <c r="AQ62" s="114" t="s">
        <v>12</v>
      </c>
      <c r="AR62" s="97"/>
      <c r="AS62" s="98"/>
      <c r="AT62" s="90">
        <v>46107.0</v>
      </c>
      <c r="AU62" s="99" t="s">
        <v>707</v>
      </c>
      <c r="AV62" s="99" t="s">
        <v>708</v>
      </c>
      <c r="AW62" s="100" t="s">
        <v>11</v>
      </c>
      <c r="AX62" s="101" t="s">
        <v>17</v>
      </c>
      <c r="AY62" s="80"/>
    </row>
    <row r="63" ht="22.5" customHeight="1">
      <c r="A63" s="59"/>
      <c r="B63" s="59"/>
      <c r="C63" s="81"/>
      <c r="D63" s="81"/>
      <c r="F63" s="59"/>
      <c r="G63" s="59"/>
      <c r="H63" s="81"/>
      <c r="I63" s="81"/>
      <c r="K63" s="131"/>
      <c r="L63" s="59"/>
      <c r="M63" s="59"/>
      <c r="N63" s="81"/>
      <c r="O63" s="81"/>
      <c r="P63" s="61"/>
      <c r="R63" s="60">
        <v>46094.0</v>
      </c>
      <c r="S63" s="57" t="s">
        <v>709</v>
      </c>
      <c r="T63" s="57" t="s">
        <v>710</v>
      </c>
      <c r="U63" s="58" t="s">
        <v>18</v>
      </c>
      <c r="V63" s="58" t="s">
        <v>20</v>
      </c>
      <c r="W63" s="61"/>
      <c r="X63" s="66"/>
      <c r="Y63" s="77">
        <v>46101.0</v>
      </c>
      <c r="Z63" s="72" t="s">
        <v>711</v>
      </c>
      <c r="AA63" s="72" t="s">
        <v>712</v>
      </c>
      <c r="AB63" s="78" t="s">
        <v>16</v>
      </c>
      <c r="AC63" s="78" t="s">
        <v>9</v>
      </c>
      <c r="AD63" s="75"/>
      <c r="AF63" s="77">
        <v>46100.0</v>
      </c>
      <c r="AG63" s="72" t="s">
        <v>713</v>
      </c>
      <c r="AH63" s="72" t="s">
        <v>714</v>
      </c>
      <c r="AI63" s="78" t="s">
        <v>18</v>
      </c>
      <c r="AJ63" s="78" t="s">
        <v>20</v>
      </c>
      <c r="AK63" s="75"/>
      <c r="AL63" s="76"/>
      <c r="AM63" s="155"/>
      <c r="AN63" s="156"/>
      <c r="AO63" s="156"/>
      <c r="AP63" s="157"/>
      <c r="AQ63" s="158"/>
      <c r="AR63" s="159"/>
      <c r="AS63" s="160"/>
      <c r="AT63" s="122">
        <v>46107.0</v>
      </c>
      <c r="AU63" s="91" t="s">
        <v>715</v>
      </c>
      <c r="AV63" s="91" t="s">
        <v>716</v>
      </c>
      <c r="AW63" s="92" t="s">
        <v>15</v>
      </c>
      <c r="AX63" s="93" t="s">
        <v>20</v>
      </c>
      <c r="AY63" s="94"/>
    </row>
    <row r="64" ht="22.5" customHeight="1">
      <c r="A64" s="59"/>
      <c r="B64" s="59"/>
      <c r="C64" s="81"/>
      <c r="D64" s="81"/>
      <c r="F64" s="59"/>
      <c r="G64" s="59"/>
      <c r="H64" s="81"/>
      <c r="I64" s="81"/>
      <c r="K64" s="131"/>
      <c r="L64" s="59"/>
      <c r="M64" s="59"/>
      <c r="N64" s="81"/>
      <c r="O64" s="81"/>
      <c r="P64" s="61"/>
      <c r="R64" s="60">
        <v>46094.0</v>
      </c>
      <c r="S64" s="57" t="s">
        <v>717</v>
      </c>
      <c r="T64" s="57" t="s">
        <v>718</v>
      </c>
      <c r="U64" s="58" t="s">
        <v>18</v>
      </c>
      <c r="V64" s="58" t="s">
        <v>20</v>
      </c>
      <c r="W64" s="61"/>
      <c r="X64" s="66"/>
      <c r="Y64" s="77">
        <v>46101.0</v>
      </c>
      <c r="Z64" s="72" t="s">
        <v>719</v>
      </c>
      <c r="AA64" s="72" t="s">
        <v>720</v>
      </c>
      <c r="AB64" s="78" t="s">
        <v>30</v>
      </c>
      <c r="AC64" s="78" t="s">
        <v>28</v>
      </c>
      <c r="AD64" s="75"/>
      <c r="AF64" s="77">
        <v>46100.0</v>
      </c>
      <c r="AG64" s="72" t="s">
        <v>721</v>
      </c>
      <c r="AH64" s="72" t="s">
        <v>722</v>
      </c>
      <c r="AI64" s="78" t="s">
        <v>18</v>
      </c>
      <c r="AJ64" s="78" t="s">
        <v>20</v>
      </c>
      <c r="AK64" s="75"/>
      <c r="AL64" s="76"/>
      <c r="AM64" s="155"/>
      <c r="AN64" s="156"/>
      <c r="AO64" s="156"/>
      <c r="AP64" s="157"/>
      <c r="AQ64" s="158"/>
      <c r="AR64" s="159"/>
      <c r="AS64" s="160"/>
      <c r="AT64" s="90">
        <v>46107.0</v>
      </c>
      <c r="AU64" s="99" t="s">
        <v>723</v>
      </c>
      <c r="AV64" s="99" t="s">
        <v>724</v>
      </c>
      <c r="AW64" s="100" t="s">
        <v>15</v>
      </c>
      <c r="AX64" s="101" t="s">
        <v>20</v>
      </c>
      <c r="AY64" s="80"/>
    </row>
    <row r="65" ht="22.5" customHeight="1">
      <c r="A65" s="59"/>
      <c r="B65" s="59"/>
      <c r="C65" s="81"/>
      <c r="D65" s="81"/>
      <c r="F65" s="59"/>
      <c r="G65" s="59"/>
      <c r="H65" s="81"/>
      <c r="I65" s="81"/>
      <c r="K65" s="131"/>
      <c r="L65" s="59"/>
      <c r="M65" s="59"/>
      <c r="N65" s="81"/>
      <c r="O65" s="81"/>
      <c r="P65" s="61"/>
      <c r="R65" s="60">
        <v>46094.0</v>
      </c>
      <c r="S65" s="57" t="s">
        <v>725</v>
      </c>
      <c r="T65" s="57" t="s">
        <v>726</v>
      </c>
      <c r="U65" s="58" t="s">
        <v>18</v>
      </c>
      <c r="V65" s="58" t="s">
        <v>20</v>
      </c>
      <c r="W65" s="61"/>
      <c r="X65" s="66"/>
      <c r="Y65" s="77">
        <v>46101.0</v>
      </c>
      <c r="Z65" s="72" t="s">
        <v>727</v>
      </c>
      <c r="AA65" s="72" t="s">
        <v>728</v>
      </c>
      <c r="AB65" s="78" t="s">
        <v>19</v>
      </c>
      <c r="AC65" s="78" t="s">
        <v>9</v>
      </c>
      <c r="AD65" s="75"/>
      <c r="AF65" s="77">
        <v>46100.0</v>
      </c>
      <c r="AG65" s="72" t="s">
        <v>729</v>
      </c>
      <c r="AH65" s="72" t="s">
        <v>730</v>
      </c>
      <c r="AI65" s="78" t="s">
        <v>18</v>
      </c>
      <c r="AJ65" s="78" t="s">
        <v>20</v>
      </c>
      <c r="AK65" s="75"/>
      <c r="AL65" s="76"/>
      <c r="AM65" s="84">
        <v>46107.0</v>
      </c>
      <c r="AN65" s="85" t="s">
        <v>731</v>
      </c>
      <c r="AO65" s="85" t="s">
        <v>732</v>
      </c>
      <c r="AP65" s="86" t="s">
        <v>30</v>
      </c>
      <c r="AQ65" s="87" t="s">
        <v>9</v>
      </c>
      <c r="AR65" s="97"/>
      <c r="AS65" s="98"/>
      <c r="AT65" s="122">
        <v>46107.0</v>
      </c>
      <c r="AU65" s="91" t="s">
        <v>733</v>
      </c>
      <c r="AV65" s="91" t="s">
        <v>734</v>
      </c>
      <c r="AW65" s="92" t="s">
        <v>15</v>
      </c>
      <c r="AX65" s="93" t="s">
        <v>20</v>
      </c>
      <c r="AY65" s="94"/>
    </row>
    <row r="66" ht="22.5" customHeight="1">
      <c r="A66" s="59"/>
      <c r="B66" s="59"/>
      <c r="C66" s="81"/>
      <c r="D66" s="81"/>
      <c r="F66" s="59"/>
      <c r="G66" s="59"/>
      <c r="H66" s="81"/>
      <c r="I66" s="81"/>
      <c r="K66" s="131"/>
      <c r="L66" s="59"/>
      <c r="M66" s="59"/>
      <c r="N66" s="81"/>
      <c r="O66" s="81"/>
      <c r="P66" s="61"/>
      <c r="R66" s="60">
        <v>46094.0</v>
      </c>
      <c r="S66" s="57" t="s">
        <v>735</v>
      </c>
      <c r="T66" s="57" t="s">
        <v>736</v>
      </c>
      <c r="U66" s="58" t="s">
        <v>18</v>
      </c>
      <c r="V66" s="58" t="s">
        <v>20</v>
      </c>
      <c r="W66" s="61"/>
      <c r="X66" s="66"/>
      <c r="Y66" s="77">
        <v>46101.0</v>
      </c>
      <c r="Z66" s="72" t="s">
        <v>737</v>
      </c>
      <c r="AA66" s="72" t="s">
        <v>738</v>
      </c>
      <c r="AB66" s="78" t="s">
        <v>16</v>
      </c>
      <c r="AC66" s="78" t="s">
        <v>9</v>
      </c>
      <c r="AD66" s="75"/>
      <c r="AF66" s="77">
        <v>46100.0</v>
      </c>
      <c r="AG66" s="72" t="s">
        <v>739</v>
      </c>
      <c r="AH66" s="72" t="s">
        <v>740</v>
      </c>
      <c r="AI66" s="78" t="s">
        <v>18</v>
      </c>
      <c r="AJ66" s="78" t="s">
        <v>20</v>
      </c>
      <c r="AK66" s="75"/>
      <c r="AL66" s="76"/>
      <c r="AM66" s="155"/>
      <c r="AN66" s="156"/>
      <c r="AO66" s="156"/>
      <c r="AP66" s="157"/>
      <c r="AQ66" s="158"/>
      <c r="AR66" s="159"/>
      <c r="AS66" s="160"/>
      <c r="AT66" s="90">
        <v>46107.0</v>
      </c>
      <c r="AU66" s="99" t="s">
        <v>741</v>
      </c>
      <c r="AV66" s="99" t="s">
        <v>742</v>
      </c>
      <c r="AW66" s="100" t="s">
        <v>23</v>
      </c>
      <c r="AX66" s="101" t="s">
        <v>20</v>
      </c>
      <c r="AY66" s="80"/>
    </row>
    <row r="67" ht="22.5" customHeight="1">
      <c r="A67" s="59"/>
      <c r="B67" s="59"/>
      <c r="C67" s="81"/>
      <c r="D67" s="81"/>
      <c r="F67" s="59"/>
      <c r="G67" s="59"/>
      <c r="H67" s="81"/>
      <c r="I67" s="81"/>
      <c r="K67" s="131"/>
      <c r="L67" s="59"/>
      <c r="M67" s="59"/>
      <c r="N67" s="81"/>
      <c r="O67" s="81"/>
      <c r="P67" s="61"/>
      <c r="R67" s="60">
        <v>46094.0</v>
      </c>
      <c r="S67" s="57" t="s">
        <v>743</v>
      </c>
      <c r="T67" s="57" t="s">
        <v>744</v>
      </c>
      <c r="U67" s="58" t="s">
        <v>23</v>
      </c>
      <c r="V67" s="58" t="s">
        <v>20</v>
      </c>
      <c r="W67" s="61"/>
      <c r="X67" s="66"/>
      <c r="Y67" s="77">
        <v>46101.0</v>
      </c>
      <c r="Z67" s="72" t="s">
        <v>745</v>
      </c>
      <c r="AA67" s="72" t="s">
        <v>746</v>
      </c>
      <c r="AB67" s="78" t="s">
        <v>30</v>
      </c>
      <c r="AC67" s="78" t="s">
        <v>28</v>
      </c>
      <c r="AD67" s="75"/>
      <c r="AF67" s="77">
        <v>46100.0</v>
      </c>
      <c r="AG67" s="72" t="s">
        <v>747</v>
      </c>
      <c r="AH67" s="161" t="s">
        <v>748</v>
      </c>
      <c r="AI67" s="78" t="s">
        <v>23</v>
      </c>
      <c r="AJ67" s="78" t="s">
        <v>14</v>
      </c>
      <c r="AK67" s="75"/>
      <c r="AL67" s="76"/>
      <c r="AM67" s="155"/>
      <c r="AN67" s="156"/>
      <c r="AO67" s="156"/>
      <c r="AP67" s="157"/>
      <c r="AQ67" s="158"/>
      <c r="AR67" s="159"/>
      <c r="AS67" s="160"/>
      <c r="AT67" s="122">
        <v>46107.0</v>
      </c>
      <c r="AU67" s="91" t="s">
        <v>749</v>
      </c>
      <c r="AV67" s="148" t="s">
        <v>750</v>
      </c>
      <c r="AW67" s="92" t="s">
        <v>23</v>
      </c>
      <c r="AX67" s="92" t="s">
        <v>20</v>
      </c>
      <c r="AY67" s="94"/>
    </row>
    <row r="68" ht="22.5" customHeight="1">
      <c r="A68" s="59"/>
      <c r="B68" s="59"/>
      <c r="C68" s="81"/>
      <c r="D68" s="81"/>
      <c r="F68" s="59"/>
      <c r="G68" s="59"/>
      <c r="H68" s="81"/>
      <c r="I68" s="81"/>
      <c r="K68" s="131"/>
      <c r="L68" s="59"/>
      <c r="M68" s="59"/>
      <c r="N68" s="81"/>
      <c r="O68" s="81"/>
      <c r="P68" s="61"/>
      <c r="R68" s="60">
        <v>46094.0</v>
      </c>
      <c r="S68" s="57" t="s">
        <v>751</v>
      </c>
      <c r="T68" s="57" t="s">
        <v>752</v>
      </c>
      <c r="U68" s="58" t="s">
        <v>23</v>
      </c>
      <c r="V68" s="58" t="s">
        <v>20</v>
      </c>
      <c r="W68" s="61"/>
      <c r="X68" s="66"/>
      <c r="Y68" s="77">
        <v>46101.0</v>
      </c>
      <c r="Z68" s="72" t="s">
        <v>753</v>
      </c>
      <c r="AA68" s="72" t="s">
        <v>754</v>
      </c>
      <c r="AB68" s="78" t="s">
        <v>30</v>
      </c>
      <c r="AC68" s="78" t="s">
        <v>28</v>
      </c>
      <c r="AD68" s="75"/>
      <c r="AF68" s="77">
        <v>46100.0</v>
      </c>
      <c r="AG68" s="72" t="s">
        <v>755</v>
      </c>
      <c r="AH68" s="162" t="s">
        <v>756</v>
      </c>
      <c r="AI68" s="78" t="s">
        <v>23</v>
      </c>
      <c r="AJ68" s="78" t="s">
        <v>14</v>
      </c>
      <c r="AK68" s="75"/>
      <c r="AL68" s="76"/>
      <c r="AM68" s="84">
        <v>46107.0</v>
      </c>
      <c r="AN68" s="85" t="s">
        <v>757</v>
      </c>
      <c r="AO68" s="85" t="s">
        <v>758</v>
      </c>
      <c r="AP68" s="86" t="s">
        <v>44</v>
      </c>
      <c r="AQ68" s="87" t="s">
        <v>9</v>
      </c>
      <c r="AR68" s="97"/>
      <c r="AS68" s="98"/>
      <c r="AT68" s="90">
        <v>46107.0</v>
      </c>
      <c r="AU68" s="99" t="s">
        <v>759</v>
      </c>
      <c r="AV68" s="163" t="s">
        <v>760</v>
      </c>
      <c r="AW68" s="100" t="s">
        <v>25</v>
      </c>
      <c r="AX68" s="100" t="s">
        <v>20</v>
      </c>
      <c r="AY68" s="80"/>
    </row>
    <row r="69" ht="22.5" customHeight="1">
      <c r="A69" s="59"/>
      <c r="B69" s="59"/>
      <c r="C69" s="81"/>
      <c r="D69" s="81"/>
      <c r="F69" s="59"/>
      <c r="G69" s="59"/>
      <c r="H69" s="81"/>
      <c r="I69" s="81"/>
      <c r="K69" s="131"/>
      <c r="L69" s="59"/>
      <c r="M69" s="59"/>
      <c r="N69" s="81"/>
      <c r="O69" s="81"/>
      <c r="P69" s="61"/>
      <c r="R69" s="60">
        <v>46094.0</v>
      </c>
      <c r="S69" s="57" t="s">
        <v>761</v>
      </c>
      <c r="T69" s="57" t="s">
        <v>762</v>
      </c>
      <c r="U69" s="58" t="s">
        <v>23</v>
      </c>
      <c r="V69" s="58" t="s">
        <v>20</v>
      </c>
      <c r="W69" s="61"/>
      <c r="X69" s="66"/>
      <c r="Y69" s="77">
        <v>46101.0</v>
      </c>
      <c r="Z69" s="72" t="s">
        <v>763</v>
      </c>
      <c r="AA69" s="72" t="s">
        <v>764</v>
      </c>
      <c r="AB69" s="78" t="s">
        <v>30</v>
      </c>
      <c r="AC69" s="78" t="s">
        <v>28</v>
      </c>
      <c r="AD69" s="75"/>
      <c r="AF69" s="77">
        <v>46100.0</v>
      </c>
      <c r="AG69" s="72" t="s">
        <v>765</v>
      </c>
      <c r="AH69" s="72" t="s">
        <v>766</v>
      </c>
      <c r="AI69" s="78" t="s">
        <v>25</v>
      </c>
      <c r="AJ69" s="78" t="s">
        <v>14</v>
      </c>
      <c r="AK69" s="75"/>
      <c r="AL69" s="76"/>
      <c r="AM69" s="155"/>
      <c r="AN69" s="156"/>
      <c r="AO69" s="156"/>
      <c r="AP69" s="157"/>
      <c r="AQ69" s="158"/>
      <c r="AR69" s="159"/>
      <c r="AS69" s="160"/>
      <c r="AT69" s="122">
        <v>46107.0</v>
      </c>
      <c r="AU69" s="91" t="s">
        <v>767</v>
      </c>
      <c r="AV69" s="91" t="s">
        <v>768</v>
      </c>
      <c r="AW69" s="92" t="s">
        <v>25</v>
      </c>
      <c r="AX69" s="92" t="s">
        <v>20</v>
      </c>
      <c r="AY69" s="94"/>
    </row>
    <row r="70" ht="22.5" customHeight="1">
      <c r="A70" s="59"/>
      <c r="B70" s="59"/>
      <c r="C70" s="81"/>
      <c r="D70" s="81"/>
      <c r="F70" s="59"/>
      <c r="G70" s="59"/>
      <c r="H70" s="81"/>
      <c r="I70" s="81"/>
      <c r="K70" s="131"/>
      <c r="L70" s="59"/>
      <c r="M70" s="59"/>
      <c r="N70" s="81"/>
      <c r="O70" s="81"/>
      <c r="P70" s="61"/>
      <c r="R70" s="60">
        <v>46094.0</v>
      </c>
      <c r="S70" s="57" t="s">
        <v>769</v>
      </c>
      <c r="T70" s="57" t="s">
        <v>770</v>
      </c>
      <c r="U70" s="58" t="s">
        <v>23</v>
      </c>
      <c r="V70" s="58" t="s">
        <v>20</v>
      </c>
      <c r="W70" s="61"/>
      <c r="X70" s="66"/>
      <c r="Y70" s="77">
        <v>46101.0</v>
      </c>
      <c r="Z70" s="72" t="s">
        <v>771</v>
      </c>
      <c r="AA70" s="72" t="s">
        <v>772</v>
      </c>
      <c r="AB70" s="78" t="s">
        <v>32</v>
      </c>
      <c r="AC70" s="78" t="s">
        <v>12</v>
      </c>
      <c r="AD70" s="75"/>
      <c r="AF70" s="77">
        <v>46100.0</v>
      </c>
      <c r="AG70" s="72" t="s">
        <v>773</v>
      </c>
      <c r="AH70" s="72" t="s">
        <v>774</v>
      </c>
      <c r="AI70" s="78" t="s">
        <v>15</v>
      </c>
      <c r="AJ70" s="78" t="s">
        <v>14</v>
      </c>
      <c r="AK70" s="75"/>
      <c r="AL70" s="76"/>
      <c r="AM70" s="84">
        <v>46107.0</v>
      </c>
      <c r="AN70" s="85" t="s">
        <v>775</v>
      </c>
      <c r="AO70" s="85" t="s">
        <v>776</v>
      </c>
      <c r="AP70" s="86" t="s">
        <v>10</v>
      </c>
      <c r="AQ70" s="114" t="s">
        <v>9</v>
      </c>
      <c r="AR70" s="97"/>
      <c r="AS70" s="98"/>
      <c r="AT70" s="90">
        <v>46107.0</v>
      </c>
      <c r="AU70" s="99" t="s">
        <v>777</v>
      </c>
      <c r="AV70" s="99" t="s">
        <v>778</v>
      </c>
      <c r="AW70" s="100" t="s">
        <v>25</v>
      </c>
      <c r="AX70" s="100" t="s">
        <v>20</v>
      </c>
      <c r="AY70" s="80"/>
    </row>
    <row r="71" ht="22.5" customHeight="1">
      <c r="A71" s="59"/>
      <c r="B71" s="59"/>
      <c r="C71" s="81"/>
      <c r="D71" s="81"/>
      <c r="F71" s="59"/>
      <c r="G71" s="59"/>
      <c r="H71" s="81"/>
      <c r="I71" s="81"/>
      <c r="K71" s="131"/>
      <c r="L71" s="59"/>
      <c r="M71" s="59"/>
      <c r="N71" s="81"/>
      <c r="O71" s="81"/>
      <c r="P71" s="61"/>
      <c r="R71" s="60">
        <v>46094.0</v>
      </c>
      <c r="S71" s="57" t="s">
        <v>779</v>
      </c>
      <c r="T71" s="57" t="s">
        <v>780</v>
      </c>
      <c r="U71" s="58" t="s">
        <v>25</v>
      </c>
      <c r="V71" s="58" t="s">
        <v>20</v>
      </c>
      <c r="W71" s="61"/>
      <c r="X71" s="66"/>
      <c r="Y71" s="77">
        <v>46101.0</v>
      </c>
      <c r="Z71" s="72" t="s">
        <v>781</v>
      </c>
      <c r="AA71" s="72" t="s">
        <v>782</v>
      </c>
      <c r="AB71" s="78" t="s">
        <v>13</v>
      </c>
      <c r="AC71" s="78" t="s">
        <v>9</v>
      </c>
      <c r="AD71" s="75"/>
      <c r="AF71" s="77">
        <v>46100.0</v>
      </c>
      <c r="AG71" s="72" t="s">
        <v>783</v>
      </c>
      <c r="AH71" s="72" t="s">
        <v>784</v>
      </c>
      <c r="AI71" s="78" t="s">
        <v>25</v>
      </c>
      <c r="AJ71" s="78" t="s">
        <v>14</v>
      </c>
      <c r="AK71" s="75"/>
      <c r="AL71" s="76"/>
      <c r="AM71" s="84">
        <v>46107.0</v>
      </c>
      <c r="AN71" s="85" t="s">
        <v>785</v>
      </c>
      <c r="AO71" s="85" t="s">
        <v>786</v>
      </c>
      <c r="AP71" s="86" t="s">
        <v>30</v>
      </c>
      <c r="AQ71" s="87" t="s">
        <v>9</v>
      </c>
      <c r="AR71" s="97"/>
      <c r="AS71" s="98"/>
      <c r="AT71" s="122">
        <v>46107.0</v>
      </c>
      <c r="AU71" s="91" t="s">
        <v>787</v>
      </c>
      <c r="AV71" s="91" t="s">
        <v>788</v>
      </c>
      <c r="AW71" s="92" t="s">
        <v>21</v>
      </c>
      <c r="AX71" s="92" t="s">
        <v>17</v>
      </c>
      <c r="AY71" s="94"/>
    </row>
    <row r="72" ht="22.5" customHeight="1">
      <c r="A72" s="59"/>
      <c r="B72" s="59"/>
      <c r="C72" s="81"/>
      <c r="D72" s="81"/>
      <c r="F72" s="59"/>
      <c r="G72" s="59"/>
      <c r="H72" s="81"/>
      <c r="I72" s="81"/>
      <c r="K72" s="131"/>
      <c r="L72" s="59"/>
      <c r="M72" s="59"/>
      <c r="N72" s="81"/>
      <c r="O72" s="81"/>
      <c r="P72" s="61"/>
      <c r="R72" s="60">
        <v>46094.0</v>
      </c>
      <c r="S72" s="57" t="s">
        <v>789</v>
      </c>
      <c r="T72" s="57" t="s">
        <v>790</v>
      </c>
      <c r="U72" s="58" t="s">
        <v>21</v>
      </c>
      <c r="V72" s="58" t="s">
        <v>17</v>
      </c>
      <c r="W72" s="61"/>
      <c r="X72" s="66"/>
      <c r="Y72" s="77">
        <v>46101.0</v>
      </c>
      <c r="Z72" s="72" t="s">
        <v>791</v>
      </c>
      <c r="AA72" s="72" t="s">
        <v>792</v>
      </c>
      <c r="AB72" s="78" t="s">
        <v>27</v>
      </c>
      <c r="AC72" s="78" t="s">
        <v>28</v>
      </c>
      <c r="AD72" s="75"/>
      <c r="AF72" s="77">
        <v>46100.0</v>
      </c>
      <c r="AG72" s="72" t="s">
        <v>793</v>
      </c>
      <c r="AH72" s="72" t="s">
        <v>794</v>
      </c>
      <c r="AI72" s="78" t="s">
        <v>25</v>
      </c>
      <c r="AJ72" s="78" t="s">
        <v>14</v>
      </c>
      <c r="AK72" s="75"/>
      <c r="AL72" s="76"/>
      <c r="AM72" s="155"/>
      <c r="AN72" s="156"/>
      <c r="AO72" s="156"/>
      <c r="AP72" s="157"/>
      <c r="AQ72" s="158"/>
      <c r="AR72" s="159"/>
      <c r="AS72" s="160"/>
      <c r="AT72" s="90">
        <v>46107.0</v>
      </c>
      <c r="AU72" s="99" t="s">
        <v>795</v>
      </c>
      <c r="AV72" s="99" t="s">
        <v>796</v>
      </c>
      <c r="AW72" s="100" t="s">
        <v>18</v>
      </c>
      <c r="AX72" s="100" t="s">
        <v>20</v>
      </c>
      <c r="AY72" s="80"/>
    </row>
    <row r="73" ht="22.5" customHeight="1">
      <c r="A73" s="59"/>
      <c r="B73" s="59"/>
      <c r="C73" s="81"/>
      <c r="D73" s="81"/>
      <c r="F73" s="59"/>
      <c r="G73" s="59"/>
      <c r="H73" s="81"/>
      <c r="I73" s="81"/>
      <c r="K73" s="131"/>
      <c r="L73" s="59"/>
      <c r="M73" s="59"/>
      <c r="N73" s="81"/>
      <c r="O73" s="81"/>
      <c r="P73" s="61"/>
      <c r="R73" s="131"/>
      <c r="S73" s="59"/>
      <c r="T73" s="59"/>
      <c r="U73" s="81"/>
      <c r="V73" s="81"/>
      <c r="W73" s="61"/>
      <c r="X73" s="66"/>
      <c r="Y73" s="77">
        <v>46101.0</v>
      </c>
      <c r="Z73" s="72" t="s">
        <v>797</v>
      </c>
      <c r="AA73" s="72" t="s">
        <v>798</v>
      </c>
      <c r="AB73" s="78" t="s">
        <v>22</v>
      </c>
      <c r="AC73" s="78" t="s">
        <v>12</v>
      </c>
      <c r="AD73" s="75"/>
      <c r="AF73" s="77">
        <v>46101.0</v>
      </c>
      <c r="AG73" s="72" t="s">
        <v>799</v>
      </c>
      <c r="AH73" s="72" t="s">
        <v>800</v>
      </c>
      <c r="AI73" s="78" t="s">
        <v>23</v>
      </c>
      <c r="AJ73" s="78" t="s">
        <v>14</v>
      </c>
      <c r="AK73" s="75"/>
      <c r="AL73" s="76"/>
      <c r="AM73" s="84">
        <v>46107.0</v>
      </c>
      <c r="AN73" s="85" t="s">
        <v>801</v>
      </c>
      <c r="AO73" s="85" t="s">
        <v>802</v>
      </c>
      <c r="AP73" s="86" t="s">
        <v>30</v>
      </c>
      <c r="AQ73" s="114" t="s">
        <v>9</v>
      </c>
      <c r="AR73" s="97"/>
      <c r="AS73" s="98"/>
      <c r="AT73" s="90">
        <v>46107.0</v>
      </c>
      <c r="AU73" s="164" t="s">
        <v>803</v>
      </c>
      <c r="AV73" s="164" t="s">
        <v>804</v>
      </c>
      <c r="AW73" s="92" t="s">
        <v>18</v>
      </c>
      <c r="AX73" s="92" t="s">
        <v>20</v>
      </c>
      <c r="AY73" s="94"/>
    </row>
    <row r="74" ht="22.5" customHeight="1">
      <c r="A74" s="59"/>
      <c r="B74" s="59"/>
      <c r="C74" s="81"/>
      <c r="D74" s="81"/>
      <c r="F74" s="59"/>
      <c r="G74" s="59"/>
      <c r="H74" s="81"/>
      <c r="I74" s="81"/>
      <c r="K74" s="131"/>
      <c r="L74" s="59"/>
      <c r="M74" s="59"/>
      <c r="N74" s="81"/>
      <c r="O74" s="81"/>
      <c r="P74" s="61"/>
      <c r="R74" s="131"/>
      <c r="S74" s="59"/>
      <c r="T74" s="59"/>
      <c r="U74" s="81"/>
      <c r="V74" s="81"/>
      <c r="W74" s="61"/>
      <c r="X74" s="66"/>
      <c r="Y74" s="77">
        <v>46101.0</v>
      </c>
      <c r="Z74" s="72" t="s">
        <v>805</v>
      </c>
      <c r="AA74" s="72" t="s">
        <v>806</v>
      </c>
      <c r="AB74" s="78" t="s">
        <v>27</v>
      </c>
      <c r="AC74" s="78" t="s">
        <v>28</v>
      </c>
      <c r="AD74" s="75"/>
      <c r="AF74" s="77">
        <v>46101.0</v>
      </c>
      <c r="AG74" s="165" t="s">
        <v>807</v>
      </c>
      <c r="AH74" s="72" t="s">
        <v>808</v>
      </c>
      <c r="AI74" s="78" t="s">
        <v>23</v>
      </c>
      <c r="AJ74" s="78" t="s">
        <v>14</v>
      </c>
      <c r="AK74" s="75"/>
      <c r="AL74" s="76"/>
      <c r="AM74" s="84">
        <v>46107.0</v>
      </c>
      <c r="AN74" s="85" t="s">
        <v>809</v>
      </c>
      <c r="AO74" s="85" t="s">
        <v>810</v>
      </c>
      <c r="AP74" s="86" t="s">
        <v>27</v>
      </c>
      <c r="AQ74" s="87" t="s">
        <v>28</v>
      </c>
      <c r="AR74" s="97"/>
      <c r="AS74" s="98"/>
      <c r="AT74" s="90">
        <v>46107.0</v>
      </c>
      <c r="AU74" s="164" t="s">
        <v>811</v>
      </c>
      <c r="AV74" s="164" t="s">
        <v>812</v>
      </c>
      <c r="AW74" s="100" t="s">
        <v>21</v>
      </c>
      <c r="AX74" s="92" t="s">
        <v>17</v>
      </c>
      <c r="AY74" s="80"/>
    </row>
    <row r="75" ht="22.5" customHeight="1">
      <c r="A75" s="59"/>
      <c r="B75" s="59"/>
      <c r="C75" s="81"/>
      <c r="D75" s="81"/>
      <c r="F75" s="59"/>
      <c r="G75" s="59"/>
      <c r="H75" s="81"/>
      <c r="I75" s="81"/>
      <c r="K75" s="131"/>
      <c r="L75" s="59"/>
      <c r="M75" s="59"/>
      <c r="N75" s="81"/>
      <c r="O75" s="81"/>
      <c r="P75" s="61"/>
      <c r="R75" s="131"/>
      <c r="S75" s="59"/>
      <c r="T75" s="59"/>
      <c r="U75" s="81"/>
      <c r="V75" s="81"/>
      <c r="W75" s="61"/>
      <c r="X75" s="66"/>
      <c r="Y75" s="77">
        <v>46101.0</v>
      </c>
      <c r="Z75" s="72" t="s">
        <v>813</v>
      </c>
      <c r="AA75" s="72" t="s">
        <v>814</v>
      </c>
      <c r="AB75" s="78" t="s">
        <v>27</v>
      </c>
      <c r="AC75" s="78" t="s">
        <v>28</v>
      </c>
      <c r="AD75" s="75"/>
      <c r="AF75" s="77">
        <v>46101.0</v>
      </c>
      <c r="AG75" s="165" t="s">
        <v>815</v>
      </c>
      <c r="AH75" s="72" t="s">
        <v>816</v>
      </c>
      <c r="AI75" s="78" t="s">
        <v>23</v>
      </c>
      <c r="AJ75" s="78" t="s">
        <v>14</v>
      </c>
      <c r="AK75" s="75"/>
      <c r="AL75" s="76"/>
      <c r="AM75" s="84">
        <v>46107.0</v>
      </c>
      <c r="AN75" s="85" t="s">
        <v>817</v>
      </c>
      <c r="AO75" s="85" t="s">
        <v>818</v>
      </c>
      <c r="AP75" s="86" t="s">
        <v>27</v>
      </c>
      <c r="AQ75" s="87" t="s">
        <v>28</v>
      </c>
      <c r="AR75" s="97"/>
      <c r="AS75" s="98"/>
      <c r="AT75" s="90">
        <v>46107.0</v>
      </c>
      <c r="AU75" s="164" t="s">
        <v>819</v>
      </c>
      <c r="AV75" s="164" t="s">
        <v>820</v>
      </c>
      <c r="AW75" s="92" t="s">
        <v>21</v>
      </c>
      <c r="AX75" s="92" t="s">
        <v>17</v>
      </c>
      <c r="AY75" s="94"/>
    </row>
    <row r="76" ht="22.5" customHeight="1">
      <c r="A76" s="59"/>
      <c r="B76" s="59"/>
      <c r="C76" s="81"/>
      <c r="D76" s="81"/>
      <c r="F76" s="59"/>
      <c r="G76" s="59"/>
      <c r="H76" s="81"/>
      <c r="I76" s="81"/>
      <c r="K76" s="131"/>
      <c r="L76" s="59"/>
      <c r="M76" s="59"/>
      <c r="N76" s="81"/>
      <c r="O76" s="81"/>
      <c r="P76" s="61"/>
      <c r="R76" s="131"/>
      <c r="S76" s="59"/>
      <c r="T76" s="59"/>
      <c r="U76" s="81"/>
      <c r="V76" s="81"/>
      <c r="W76" s="61"/>
      <c r="X76" s="66"/>
      <c r="Y76" s="77">
        <v>46101.0</v>
      </c>
      <c r="Z76" s="72" t="s">
        <v>821</v>
      </c>
      <c r="AA76" s="72" t="s">
        <v>822</v>
      </c>
      <c r="AB76" s="78" t="s">
        <v>27</v>
      </c>
      <c r="AC76" s="78" t="s">
        <v>17</v>
      </c>
      <c r="AD76" s="75"/>
      <c r="AF76" s="77">
        <v>46101.0</v>
      </c>
      <c r="AG76" s="165" t="s">
        <v>823</v>
      </c>
      <c r="AH76" s="72" t="s">
        <v>824</v>
      </c>
      <c r="AI76" s="78" t="s">
        <v>23</v>
      </c>
      <c r="AJ76" s="78" t="s">
        <v>14</v>
      </c>
      <c r="AK76" s="75"/>
      <c r="AL76" s="76"/>
      <c r="AM76" s="84">
        <v>46107.0</v>
      </c>
      <c r="AN76" s="85" t="s">
        <v>825</v>
      </c>
      <c r="AO76" s="85" t="s">
        <v>826</v>
      </c>
      <c r="AP76" s="86" t="s">
        <v>27</v>
      </c>
      <c r="AQ76" s="87" t="s">
        <v>28</v>
      </c>
      <c r="AR76" s="97"/>
      <c r="AS76" s="98"/>
      <c r="AT76" s="90">
        <v>46107.0</v>
      </c>
      <c r="AU76" s="164" t="s">
        <v>827</v>
      </c>
      <c r="AV76" s="164" t="s">
        <v>828</v>
      </c>
      <c r="AW76" s="100" t="s">
        <v>23</v>
      </c>
      <c r="AX76" s="92" t="s">
        <v>17</v>
      </c>
      <c r="AY76" s="80"/>
    </row>
    <row r="77" ht="22.5" customHeight="1">
      <c r="A77" s="59"/>
      <c r="B77" s="59"/>
      <c r="C77" s="81"/>
      <c r="D77" s="81"/>
      <c r="F77" s="59"/>
      <c r="G77" s="59"/>
      <c r="H77" s="81"/>
      <c r="I77" s="81"/>
      <c r="K77" s="131"/>
      <c r="L77" s="59"/>
      <c r="M77" s="59"/>
      <c r="N77" s="81"/>
      <c r="O77" s="81"/>
      <c r="P77" s="61"/>
      <c r="R77" s="131"/>
      <c r="S77" s="59"/>
      <c r="T77" s="59"/>
      <c r="U77" s="81"/>
      <c r="V77" s="81"/>
      <c r="W77" s="61"/>
      <c r="X77" s="66"/>
      <c r="Y77" s="77">
        <v>46101.0</v>
      </c>
      <c r="Z77" s="72" t="s">
        <v>829</v>
      </c>
      <c r="AA77" s="72" t="s">
        <v>830</v>
      </c>
      <c r="AB77" s="78" t="s">
        <v>13</v>
      </c>
      <c r="AC77" s="78" t="s">
        <v>9</v>
      </c>
      <c r="AD77" s="75"/>
      <c r="AF77" s="77">
        <v>46101.0</v>
      </c>
      <c r="AG77" s="72" t="s">
        <v>831</v>
      </c>
      <c r="AH77" s="72" t="s">
        <v>832</v>
      </c>
      <c r="AI77" s="78" t="s">
        <v>23</v>
      </c>
      <c r="AJ77" s="78" t="s">
        <v>17</v>
      </c>
      <c r="AK77" s="75"/>
      <c r="AL77" s="76"/>
      <c r="AM77" s="84">
        <v>46107.0</v>
      </c>
      <c r="AN77" s="85" t="s">
        <v>833</v>
      </c>
      <c r="AO77" s="85" t="s">
        <v>834</v>
      </c>
      <c r="AP77" s="86" t="s">
        <v>27</v>
      </c>
      <c r="AQ77" s="87" t="s">
        <v>28</v>
      </c>
      <c r="AR77" s="97"/>
      <c r="AS77" s="98"/>
      <c r="AT77" s="90">
        <v>46107.0</v>
      </c>
      <c r="AU77" s="164" t="s">
        <v>835</v>
      </c>
      <c r="AV77" s="164" t="s">
        <v>836</v>
      </c>
      <c r="AW77" s="92" t="s">
        <v>23</v>
      </c>
      <c r="AX77" s="92" t="s">
        <v>17</v>
      </c>
      <c r="AY77" s="94"/>
    </row>
    <row r="78" ht="22.5" customHeight="1">
      <c r="A78" s="59"/>
      <c r="B78" s="59"/>
      <c r="C78" s="81"/>
      <c r="D78" s="81"/>
      <c r="F78" s="59"/>
      <c r="G78" s="59"/>
      <c r="H78" s="81"/>
      <c r="I78" s="81"/>
      <c r="K78" s="131"/>
      <c r="L78" s="59"/>
      <c r="M78" s="59"/>
      <c r="N78" s="81"/>
      <c r="O78" s="81"/>
      <c r="P78" s="61"/>
      <c r="R78" s="131"/>
      <c r="S78" s="59"/>
      <c r="T78" s="59"/>
      <c r="U78" s="81"/>
      <c r="V78" s="81"/>
      <c r="W78" s="61"/>
      <c r="X78" s="66"/>
      <c r="Y78" s="77">
        <v>46101.0</v>
      </c>
      <c r="Z78" s="72" t="s">
        <v>837</v>
      </c>
      <c r="AA78" s="72" t="s">
        <v>838</v>
      </c>
      <c r="AB78" s="78" t="s">
        <v>10</v>
      </c>
      <c r="AC78" s="78" t="s">
        <v>9</v>
      </c>
      <c r="AD78" s="75"/>
      <c r="AF78" s="77">
        <v>46101.0</v>
      </c>
      <c r="AG78" s="72" t="s">
        <v>309</v>
      </c>
      <c r="AH78" s="72" t="s">
        <v>310</v>
      </c>
      <c r="AI78" s="78" t="s">
        <v>18</v>
      </c>
      <c r="AJ78" s="78" t="s">
        <v>12</v>
      </c>
      <c r="AK78" s="75"/>
      <c r="AL78" s="76"/>
      <c r="AM78" s="84">
        <v>46108.0</v>
      </c>
      <c r="AN78" s="85" t="s">
        <v>839</v>
      </c>
      <c r="AO78" s="85" t="s">
        <v>840</v>
      </c>
      <c r="AP78" s="86" t="s">
        <v>27</v>
      </c>
      <c r="AQ78" s="87" t="s">
        <v>9</v>
      </c>
      <c r="AR78" s="97"/>
      <c r="AS78" s="98"/>
      <c r="AT78" s="90">
        <v>46107.0</v>
      </c>
      <c r="AU78" s="99" t="s">
        <v>841</v>
      </c>
      <c r="AV78" s="99" t="s">
        <v>842</v>
      </c>
      <c r="AW78" s="100" t="s">
        <v>23</v>
      </c>
      <c r="AX78" s="101" t="s">
        <v>14</v>
      </c>
      <c r="AY78" s="80"/>
    </row>
    <row r="79" ht="22.5" customHeight="1">
      <c r="A79" s="59"/>
      <c r="B79" s="59"/>
      <c r="C79" s="81"/>
      <c r="D79" s="81"/>
      <c r="F79" s="59"/>
      <c r="G79" s="59"/>
      <c r="H79" s="81"/>
      <c r="I79" s="81"/>
      <c r="K79" s="131"/>
      <c r="L79" s="59"/>
      <c r="M79" s="59"/>
      <c r="N79" s="81"/>
      <c r="O79" s="81"/>
      <c r="P79" s="61"/>
      <c r="R79" s="131"/>
      <c r="S79" s="59"/>
      <c r="T79" s="59"/>
      <c r="U79" s="81"/>
      <c r="V79" s="81"/>
      <c r="W79" s="61"/>
      <c r="X79" s="66"/>
      <c r="Y79" s="77">
        <v>46101.0</v>
      </c>
      <c r="Z79" s="72" t="s">
        <v>843</v>
      </c>
      <c r="AA79" s="72" t="s">
        <v>844</v>
      </c>
      <c r="AB79" s="78" t="s">
        <v>27</v>
      </c>
      <c r="AC79" s="78" t="s">
        <v>17</v>
      </c>
      <c r="AD79" s="75"/>
      <c r="AF79" s="77">
        <v>46101.0</v>
      </c>
      <c r="AG79" s="72" t="s">
        <v>845</v>
      </c>
      <c r="AH79" s="72" t="s">
        <v>846</v>
      </c>
      <c r="AI79" s="78" t="s">
        <v>15</v>
      </c>
      <c r="AJ79" s="78" t="s">
        <v>17</v>
      </c>
      <c r="AK79" s="75"/>
      <c r="AL79" s="76"/>
      <c r="AM79" s="84">
        <v>46108.0</v>
      </c>
      <c r="AN79" s="85" t="s">
        <v>847</v>
      </c>
      <c r="AO79" s="85" t="s">
        <v>848</v>
      </c>
      <c r="AP79" s="86" t="s">
        <v>44</v>
      </c>
      <c r="AQ79" s="87" t="s">
        <v>9</v>
      </c>
      <c r="AR79" s="97"/>
      <c r="AS79" s="98"/>
      <c r="AT79" s="90">
        <v>46107.0</v>
      </c>
      <c r="AU79" s="124" t="s">
        <v>849</v>
      </c>
      <c r="AV79" s="91" t="s">
        <v>850</v>
      </c>
      <c r="AW79" s="92" t="s">
        <v>18</v>
      </c>
      <c r="AX79" s="101" t="s">
        <v>14</v>
      </c>
      <c r="AY79" s="94"/>
    </row>
    <row r="80" ht="22.5" customHeight="1">
      <c r="A80" s="59"/>
      <c r="B80" s="59"/>
      <c r="C80" s="81"/>
      <c r="D80" s="81"/>
      <c r="F80" s="59"/>
      <c r="G80" s="59"/>
      <c r="H80" s="81"/>
      <c r="I80" s="81"/>
      <c r="K80" s="131"/>
      <c r="L80" s="59"/>
      <c r="M80" s="59"/>
      <c r="N80" s="81"/>
      <c r="O80" s="81"/>
      <c r="P80" s="61"/>
      <c r="R80" s="131"/>
      <c r="S80" s="59"/>
      <c r="T80" s="59"/>
      <c r="U80" s="81"/>
      <c r="V80" s="81"/>
      <c r="W80" s="61"/>
      <c r="X80" s="66"/>
      <c r="Y80" s="77">
        <v>46101.0</v>
      </c>
      <c r="Z80" s="72" t="s">
        <v>851</v>
      </c>
      <c r="AA80" s="72" t="s">
        <v>852</v>
      </c>
      <c r="AB80" s="78" t="s">
        <v>22</v>
      </c>
      <c r="AC80" s="78" t="s">
        <v>20</v>
      </c>
      <c r="AD80" s="75"/>
      <c r="AF80" s="77">
        <v>46101.0</v>
      </c>
      <c r="AG80" s="72" t="s">
        <v>853</v>
      </c>
      <c r="AH80" s="72" t="s">
        <v>854</v>
      </c>
      <c r="AI80" s="78" t="s">
        <v>18</v>
      </c>
      <c r="AJ80" s="78" t="s">
        <v>17</v>
      </c>
      <c r="AK80" s="75"/>
      <c r="AL80" s="76"/>
      <c r="AM80" s="84">
        <v>46108.0</v>
      </c>
      <c r="AN80" s="85" t="s">
        <v>855</v>
      </c>
      <c r="AO80" s="85" t="s">
        <v>856</v>
      </c>
      <c r="AP80" s="86" t="s">
        <v>27</v>
      </c>
      <c r="AQ80" s="114" t="s">
        <v>9</v>
      </c>
      <c r="AR80" s="97"/>
      <c r="AS80" s="98"/>
      <c r="AT80" s="90">
        <v>46107.0</v>
      </c>
      <c r="AU80" s="124" t="s">
        <v>857</v>
      </c>
      <c r="AV80" s="99" t="s">
        <v>858</v>
      </c>
      <c r="AW80" s="100" t="s">
        <v>18</v>
      </c>
      <c r="AX80" s="101" t="s">
        <v>14</v>
      </c>
      <c r="AY80" s="80"/>
    </row>
    <row r="81" ht="22.5" customHeight="1">
      <c r="A81" s="59"/>
      <c r="B81" s="59"/>
      <c r="C81" s="81"/>
      <c r="D81" s="81"/>
      <c r="F81" s="59"/>
      <c r="G81" s="59"/>
      <c r="H81" s="81"/>
      <c r="I81" s="81"/>
      <c r="K81" s="131"/>
      <c r="L81" s="59"/>
      <c r="M81" s="59"/>
      <c r="N81" s="81"/>
      <c r="O81" s="81"/>
      <c r="P81" s="61"/>
      <c r="R81" s="131"/>
      <c r="S81" s="59"/>
      <c r="T81" s="59"/>
      <c r="U81" s="81"/>
      <c r="V81" s="81"/>
      <c r="W81" s="61"/>
      <c r="X81" s="66"/>
      <c r="Y81" s="77">
        <v>46101.0</v>
      </c>
      <c r="Z81" s="72" t="s">
        <v>859</v>
      </c>
      <c r="AA81" s="72" t="s">
        <v>860</v>
      </c>
      <c r="AB81" s="78" t="s">
        <v>22</v>
      </c>
      <c r="AC81" s="78" t="s">
        <v>20</v>
      </c>
      <c r="AD81" s="75"/>
      <c r="AF81" s="77">
        <v>46101.0</v>
      </c>
      <c r="AG81" s="72" t="s">
        <v>861</v>
      </c>
      <c r="AH81" s="72" t="s">
        <v>862</v>
      </c>
      <c r="AI81" s="78" t="s">
        <v>23</v>
      </c>
      <c r="AJ81" s="78" t="s">
        <v>14</v>
      </c>
      <c r="AK81" s="75"/>
      <c r="AL81" s="76"/>
      <c r="AM81" s="155"/>
      <c r="AN81" s="156"/>
      <c r="AO81" s="156"/>
      <c r="AP81" s="157"/>
      <c r="AQ81" s="166"/>
      <c r="AR81" s="159"/>
      <c r="AS81" s="160"/>
      <c r="AT81" s="167"/>
      <c r="AU81" s="168"/>
      <c r="AV81" s="168"/>
      <c r="AW81" s="169"/>
      <c r="AX81" s="170"/>
      <c r="AY81" s="171"/>
    </row>
    <row r="82" ht="22.5" customHeight="1">
      <c r="A82" s="59"/>
      <c r="B82" s="59"/>
      <c r="C82" s="81"/>
      <c r="D82" s="81"/>
      <c r="F82" s="59"/>
      <c r="G82" s="59"/>
      <c r="H82" s="81"/>
      <c r="I82" s="81"/>
      <c r="K82" s="131"/>
      <c r="L82" s="59"/>
      <c r="M82" s="59"/>
      <c r="N82" s="81"/>
      <c r="O82" s="81"/>
      <c r="P82" s="61"/>
      <c r="R82" s="131"/>
      <c r="S82" s="59"/>
      <c r="T82" s="59"/>
      <c r="U82" s="81"/>
      <c r="V82" s="81"/>
      <c r="W82" s="61"/>
      <c r="X82" s="66"/>
      <c r="Y82" s="77">
        <v>46101.0</v>
      </c>
      <c r="Z82" s="72" t="s">
        <v>863</v>
      </c>
      <c r="AA82" s="72" t="s">
        <v>864</v>
      </c>
      <c r="AB82" s="78" t="s">
        <v>22</v>
      </c>
      <c r="AC82" s="78" t="s">
        <v>20</v>
      </c>
      <c r="AD82" s="75"/>
      <c r="AF82" s="77">
        <v>46101.0</v>
      </c>
      <c r="AG82" s="165" t="s">
        <v>865</v>
      </c>
      <c r="AH82" s="72" t="s">
        <v>866</v>
      </c>
      <c r="AI82" s="78" t="s">
        <v>23</v>
      </c>
      <c r="AJ82" s="78" t="s">
        <v>14</v>
      </c>
      <c r="AK82" s="75"/>
      <c r="AL82" s="76"/>
      <c r="AM82" s="84">
        <v>46107.0</v>
      </c>
      <c r="AN82" s="85" t="s">
        <v>867</v>
      </c>
      <c r="AO82" s="85" t="s">
        <v>868</v>
      </c>
      <c r="AP82" s="86" t="s">
        <v>44</v>
      </c>
      <c r="AQ82" s="114" t="s">
        <v>9</v>
      </c>
      <c r="AR82" s="97"/>
      <c r="AS82" s="98"/>
      <c r="AT82" s="172"/>
      <c r="AU82" s="173"/>
      <c r="AV82" s="174"/>
      <c r="AW82" s="175"/>
      <c r="AX82" s="170"/>
      <c r="AY82" s="176"/>
    </row>
    <row r="83" ht="22.5" customHeight="1">
      <c r="A83" s="59"/>
      <c r="B83" s="59"/>
      <c r="C83" s="81"/>
      <c r="D83" s="81"/>
      <c r="F83" s="59"/>
      <c r="G83" s="59"/>
      <c r="H83" s="81"/>
      <c r="I83" s="81"/>
      <c r="K83" s="131"/>
      <c r="L83" s="59"/>
      <c r="M83" s="59"/>
      <c r="N83" s="81"/>
      <c r="O83" s="81"/>
      <c r="P83" s="61"/>
      <c r="R83" s="131"/>
      <c r="S83" s="59"/>
      <c r="T83" s="59"/>
      <c r="U83" s="81"/>
      <c r="V83" s="81"/>
      <c r="W83" s="61"/>
      <c r="X83" s="66"/>
      <c r="Y83" s="77">
        <v>46101.0</v>
      </c>
      <c r="Z83" s="72" t="s">
        <v>869</v>
      </c>
      <c r="AA83" s="72" t="s">
        <v>870</v>
      </c>
      <c r="AB83" s="78" t="s">
        <v>27</v>
      </c>
      <c r="AC83" s="78" t="s">
        <v>20</v>
      </c>
      <c r="AD83" s="75"/>
      <c r="AF83" s="77">
        <v>46101.0</v>
      </c>
      <c r="AG83" s="72" t="s">
        <v>871</v>
      </c>
      <c r="AH83" s="147" t="s">
        <v>872</v>
      </c>
      <c r="AI83" s="78" t="s">
        <v>23</v>
      </c>
      <c r="AJ83" s="78" t="s">
        <v>14</v>
      </c>
      <c r="AK83" s="75"/>
      <c r="AL83" s="76"/>
      <c r="AM83" s="84">
        <v>46108.0</v>
      </c>
      <c r="AN83" s="85" t="s">
        <v>873</v>
      </c>
      <c r="AO83" s="85" t="s">
        <v>874</v>
      </c>
      <c r="AP83" s="86" t="s">
        <v>27</v>
      </c>
      <c r="AQ83" s="114" t="s">
        <v>28</v>
      </c>
      <c r="AR83" s="97"/>
      <c r="AS83" s="98"/>
      <c r="AT83" s="177">
        <v>46108.0</v>
      </c>
      <c r="AU83" s="178" t="s">
        <v>875</v>
      </c>
      <c r="AV83" s="179" t="s">
        <v>876</v>
      </c>
      <c r="AW83" s="180" t="s">
        <v>11</v>
      </c>
      <c r="AX83" s="180" t="s">
        <v>20</v>
      </c>
      <c r="AY83" s="181"/>
    </row>
    <row r="84" ht="22.5" customHeight="1">
      <c r="A84" s="59"/>
      <c r="B84" s="59"/>
      <c r="C84" s="81"/>
      <c r="D84" s="81"/>
      <c r="F84" s="59"/>
      <c r="G84" s="59"/>
      <c r="H84" s="81"/>
      <c r="I84" s="81"/>
      <c r="K84" s="131"/>
      <c r="L84" s="59"/>
      <c r="M84" s="59"/>
      <c r="N84" s="81"/>
      <c r="O84" s="81"/>
      <c r="P84" s="61"/>
      <c r="R84" s="131"/>
      <c r="S84" s="59"/>
      <c r="T84" s="59"/>
      <c r="U84" s="81"/>
      <c r="V84" s="81"/>
      <c r="W84" s="61"/>
      <c r="X84" s="66"/>
      <c r="Y84" s="77">
        <v>46101.0</v>
      </c>
      <c r="Z84" s="72" t="s">
        <v>877</v>
      </c>
      <c r="AA84" s="72" t="s">
        <v>878</v>
      </c>
      <c r="AB84" s="78" t="s">
        <v>27</v>
      </c>
      <c r="AC84" s="78" t="s">
        <v>20</v>
      </c>
      <c r="AD84" s="75"/>
      <c r="AF84" s="77">
        <v>46101.0</v>
      </c>
      <c r="AG84" s="72" t="s">
        <v>879</v>
      </c>
      <c r="AH84" s="162" t="s">
        <v>880</v>
      </c>
      <c r="AI84" s="78" t="s">
        <v>21</v>
      </c>
      <c r="AJ84" s="78" t="s">
        <v>17</v>
      </c>
      <c r="AK84" s="75"/>
      <c r="AL84" s="76"/>
      <c r="AM84" s="84">
        <v>46108.0</v>
      </c>
      <c r="AN84" s="85" t="s">
        <v>881</v>
      </c>
      <c r="AO84" s="85" t="s">
        <v>882</v>
      </c>
      <c r="AP84" s="86" t="s">
        <v>44</v>
      </c>
      <c r="AQ84" s="114" t="s">
        <v>9</v>
      </c>
      <c r="AR84" s="97"/>
      <c r="AS84" s="98"/>
      <c r="AT84" s="177">
        <v>46108.0</v>
      </c>
      <c r="AU84" s="182" t="s">
        <v>883</v>
      </c>
      <c r="AV84" s="183" t="s">
        <v>884</v>
      </c>
      <c r="AW84" s="184" t="s">
        <v>11</v>
      </c>
      <c r="AX84" s="184" t="s">
        <v>20</v>
      </c>
      <c r="AY84" s="185"/>
    </row>
    <row r="85" ht="22.5" customHeight="1">
      <c r="A85" s="59"/>
      <c r="B85" s="59"/>
      <c r="C85" s="81"/>
      <c r="D85" s="81"/>
      <c r="F85" s="59"/>
      <c r="G85" s="59"/>
      <c r="H85" s="81"/>
      <c r="I85" s="81"/>
      <c r="K85" s="131"/>
      <c r="L85" s="59"/>
      <c r="M85" s="59"/>
      <c r="N85" s="81"/>
      <c r="O85" s="81"/>
      <c r="P85" s="61"/>
      <c r="R85" s="131"/>
      <c r="S85" s="59"/>
      <c r="T85" s="59"/>
      <c r="U85" s="81"/>
      <c r="V85" s="81"/>
      <c r="W85" s="61"/>
      <c r="X85" s="66"/>
      <c r="Y85" s="77">
        <v>46101.0</v>
      </c>
      <c r="Z85" s="72" t="s">
        <v>885</v>
      </c>
      <c r="AA85" s="72" t="s">
        <v>886</v>
      </c>
      <c r="AB85" s="78" t="s">
        <v>29</v>
      </c>
      <c r="AC85" s="78" t="s">
        <v>20</v>
      </c>
      <c r="AD85" s="75"/>
      <c r="AF85" s="77">
        <v>46101.0</v>
      </c>
      <c r="AG85" s="72" t="s">
        <v>887</v>
      </c>
      <c r="AH85" s="72" t="s">
        <v>888</v>
      </c>
      <c r="AI85" s="78" t="s">
        <v>25</v>
      </c>
      <c r="AJ85" s="78" t="s">
        <v>14</v>
      </c>
      <c r="AK85" s="75"/>
      <c r="AL85" s="76"/>
      <c r="AM85" s="186">
        <v>46108.0</v>
      </c>
      <c r="AN85" s="187" t="s">
        <v>889</v>
      </c>
      <c r="AO85" s="187" t="s">
        <v>890</v>
      </c>
      <c r="AP85" s="188"/>
      <c r="AQ85" s="189" t="s">
        <v>9</v>
      </c>
      <c r="AR85" s="190" t="s">
        <v>431</v>
      </c>
      <c r="AS85" s="191"/>
      <c r="AT85" s="177">
        <v>46108.0</v>
      </c>
      <c r="AU85" s="178" t="s">
        <v>891</v>
      </c>
      <c r="AV85" s="178" t="s">
        <v>892</v>
      </c>
      <c r="AW85" s="180" t="s">
        <v>11</v>
      </c>
      <c r="AX85" s="180" t="s">
        <v>20</v>
      </c>
      <c r="AY85" s="181"/>
    </row>
    <row r="86" ht="22.5" customHeight="1">
      <c r="A86" s="59"/>
      <c r="B86" s="59"/>
      <c r="C86" s="81"/>
      <c r="D86" s="81"/>
      <c r="F86" s="59"/>
      <c r="G86" s="59"/>
      <c r="H86" s="81"/>
      <c r="I86" s="81"/>
      <c r="K86" s="131"/>
      <c r="L86" s="59"/>
      <c r="M86" s="59"/>
      <c r="N86" s="81"/>
      <c r="O86" s="81"/>
      <c r="P86" s="61"/>
      <c r="R86" s="131"/>
      <c r="S86" s="59"/>
      <c r="T86" s="59"/>
      <c r="U86" s="81"/>
      <c r="V86" s="81"/>
      <c r="W86" s="61"/>
      <c r="X86" s="66"/>
      <c r="Y86" s="77">
        <v>46101.0</v>
      </c>
      <c r="Z86" s="72" t="s">
        <v>893</v>
      </c>
      <c r="AA86" s="72" t="s">
        <v>894</v>
      </c>
      <c r="AB86" s="78" t="s">
        <v>29</v>
      </c>
      <c r="AC86" s="78" t="s">
        <v>20</v>
      </c>
      <c r="AD86" s="75"/>
      <c r="AF86" s="77">
        <v>46101.0</v>
      </c>
      <c r="AG86" s="72" t="s">
        <v>895</v>
      </c>
      <c r="AH86" s="72" t="s">
        <v>896</v>
      </c>
      <c r="AI86" s="78" t="s">
        <v>23</v>
      </c>
      <c r="AJ86" s="78" t="s">
        <v>12</v>
      </c>
      <c r="AK86" s="75"/>
      <c r="AL86" s="76"/>
      <c r="AM86" s="84">
        <v>46108.0</v>
      </c>
      <c r="AN86" s="85" t="s">
        <v>897</v>
      </c>
      <c r="AO86" s="85" t="s">
        <v>898</v>
      </c>
      <c r="AP86" s="86" t="s">
        <v>30</v>
      </c>
      <c r="AQ86" s="114" t="s">
        <v>9</v>
      </c>
      <c r="AR86" s="97"/>
      <c r="AS86" s="98"/>
      <c r="AT86" s="177">
        <v>46108.0</v>
      </c>
      <c r="AU86" s="182" t="s">
        <v>899</v>
      </c>
      <c r="AV86" s="182" t="s">
        <v>900</v>
      </c>
      <c r="AW86" s="184" t="s">
        <v>11</v>
      </c>
      <c r="AX86" s="192" t="s">
        <v>20</v>
      </c>
      <c r="AY86" s="185"/>
    </row>
    <row r="87" ht="22.5" customHeight="1">
      <c r="A87" s="59"/>
      <c r="B87" s="59"/>
      <c r="C87" s="81"/>
      <c r="D87" s="81"/>
      <c r="F87" s="59"/>
      <c r="G87" s="59"/>
      <c r="H87" s="81"/>
      <c r="I87" s="81"/>
      <c r="K87" s="131"/>
      <c r="L87" s="59"/>
      <c r="M87" s="59"/>
      <c r="N87" s="81"/>
      <c r="O87" s="81"/>
      <c r="P87" s="61"/>
      <c r="R87" s="131"/>
      <c r="S87" s="59"/>
      <c r="T87" s="59"/>
      <c r="U87" s="81"/>
      <c r="V87" s="81"/>
      <c r="W87" s="61"/>
      <c r="X87" s="66"/>
      <c r="Y87" s="77">
        <v>46101.0</v>
      </c>
      <c r="Z87" s="72" t="s">
        <v>901</v>
      </c>
      <c r="AA87" s="72" t="s">
        <v>902</v>
      </c>
      <c r="AB87" s="78" t="s">
        <v>24</v>
      </c>
      <c r="AC87" s="78" t="s">
        <v>20</v>
      </c>
      <c r="AD87" s="75"/>
      <c r="AF87" s="77">
        <v>46101.0</v>
      </c>
      <c r="AG87" s="72" t="s">
        <v>903</v>
      </c>
      <c r="AH87" s="72" t="s">
        <v>904</v>
      </c>
      <c r="AI87" s="78" t="s">
        <v>23</v>
      </c>
      <c r="AJ87" s="78" t="s">
        <v>12</v>
      </c>
      <c r="AK87" s="75"/>
      <c r="AL87" s="76"/>
      <c r="AM87" s="84">
        <v>46108.0</v>
      </c>
      <c r="AN87" s="85" t="s">
        <v>905</v>
      </c>
      <c r="AO87" s="85" t="s">
        <v>906</v>
      </c>
      <c r="AP87" s="86" t="s">
        <v>44</v>
      </c>
      <c r="AQ87" s="114" t="s">
        <v>12</v>
      </c>
      <c r="AR87" s="97"/>
      <c r="AS87" s="98"/>
      <c r="AT87" s="177">
        <v>46108.0</v>
      </c>
      <c r="AU87" s="178" t="s">
        <v>907</v>
      </c>
      <c r="AV87" s="178" t="s">
        <v>908</v>
      </c>
      <c r="AW87" s="180" t="s">
        <v>11</v>
      </c>
      <c r="AX87" s="193" t="s">
        <v>20</v>
      </c>
      <c r="AY87" s="181"/>
    </row>
    <row r="88" ht="22.5" customHeight="1">
      <c r="A88" s="59"/>
      <c r="B88" s="59"/>
      <c r="C88" s="81"/>
      <c r="D88" s="81"/>
      <c r="F88" s="59"/>
      <c r="G88" s="59"/>
      <c r="H88" s="81"/>
      <c r="I88" s="81"/>
      <c r="K88" s="131"/>
      <c r="L88" s="59"/>
      <c r="M88" s="59"/>
      <c r="N88" s="81"/>
      <c r="O88" s="81"/>
      <c r="P88" s="61"/>
      <c r="R88" s="131"/>
      <c r="S88" s="59"/>
      <c r="T88" s="59"/>
      <c r="U88" s="81"/>
      <c r="V88" s="81"/>
      <c r="W88" s="61"/>
      <c r="X88" s="66"/>
      <c r="Y88" s="77">
        <v>46101.0</v>
      </c>
      <c r="Z88" s="72" t="s">
        <v>909</v>
      </c>
      <c r="AA88" s="72" t="s">
        <v>910</v>
      </c>
      <c r="AB88" s="78" t="s">
        <v>24</v>
      </c>
      <c r="AC88" s="78" t="s">
        <v>20</v>
      </c>
      <c r="AD88" s="75"/>
      <c r="AF88" s="194"/>
      <c r="AI88" s="81"/>
      <c r="AJ88" s="81"/>
      <c r="AK88" s="195"/>
      <c r="AL88" s="76"/>
      <c r="AM88" s="84">
        <v>46108.0</v>
      </c>
      <c r="AN88" s="85" t="s">
        <v>911</v>
      </c>
      <c r="AO88" s="85" t="s">
        <v>912</v>
      </c>
      <c r="AP88" s="86" t="s">
        <v>27</v>
      </c>
      <c r="AQ88" s="114" t="s">
        <v>12</v>
      </c>
      <c r="AR88" s="97"/>
      <c r="AS88" s="98"/>
      <c r="AT88" s="177">
        <v>46108.0</v>
      </c>
      <c r="AU88" s="182" t="s">
        <v>913</v>
      </c>
      <c r="AV88" s="182" t="s">
        <v>914</v>
      </c>
      <c r="AW88" s="184" t="s">
        <v>11</v>
      </c>
      <c r="AX88" s="184" t="s">
        <v>20</v>
      </c>
      <c r="AY88" s="185"/>
    </row>
    <row r="89" ht="22.5" customHeight="1">
      <c r="A89" s="59"/>
      <c r="B89" s="59"/>
      <c r="C89" s="81"/>
      <c r="D89" s="81"/>
      <c r="F89" s="59"/>
      <c r="G89" s="59"/>
      <c r="H89" s="81"/>
      <c r="I89" s="81"/>
      <c r="K89" s="131"/>
      <c r="L89" s="59"/>
      <c r="M89" s="59"/>
      <c r="N89" s="81"/>
      <c r="O89" s="81"/>
      <c r="P89" s="61"/>
      <c r="R89" s="131"/>
      <c r="S89" s="59"/>
      <c r="T89" s="59"/>
      <c r="U89" s="81"/>
      <c r="V89" s="81"/>
      <c r="W89" s="61"/>
      <c r="X89" s="66"/>
      <c r="Y89" s="77">
        <v>46101.0</v>
      </c>
      <c r="Z89" s="72" t="s">
        <v>915</v>
      </c>
      <c r="AA89" s="72" t="s">
        <v>916</v>
      </c>
      <c r="AB89" s="78" t="s">
        <v>24</v>
      </c>
      <c r="AC89" s="78" t="s">
        <v>20</v>
      </c>
      <c r="AD89" s="75"/>
      <c r="AF89" s="77">
        <v>46101.0</v>
      </c>
      <c r="AG89" s="72" t="s">
        <v>917</v>
      </c>
      <c r="AH89" s="72" t="s">
        <v>918</v>
      </c>
      <c r="AI89" s="78" t="s">
        <v>21</v>
      </c>
      <c r="AJ89" s="78" t="s">
        <v>12</v>
      </c>
      <c r="AK89" s="195"/>
      <c r="AL89" s="76"/>
      <c r="AM89" s="84">
        <v>46108.0</v>
      </c>
      <c r="AN89" s="85" t="s">
        <v>919</v>
      </c>
      <c r="AO89" s="85" t="s">
        <v>920</v>
      </c>
      <c r="AP89" s="86" t="s">
        <v>27</v>
      </c>
      <c r="AQ89" s="114" t="s">
        <v>12</v>
      </c>
      <c r="AR89" s="97"/>
      <c r="AS89" s="98"/>
      <c r="AT89" s="177">
        <v>46108.0</v>
      </c>
      <c r="AU89" s="178" t="s">
        <v>921</v>
      </c>
      <c r="AV89" s="178" t="s">
        <v>922</v>
      </c>
      <c r="AW89" s="180" t="s">
        <v>11</v>
      </c>
      <c r="AX89" s="193" t="s">
        <v>20</v>
      </c>
      <c r="AY89" s="181"/>
    </row>
    <row r="90" ht="22.5" customHeight="1">
      <c r="A90" s="59"/>
      <c r="B90" s="59"/>
      <c r="C90" s="81"/>
      <c r="D90" s="81"/>
      <c r="F90" s="59"/>
      <c r="G90" s="59"/>
      <c r="H90" s="81"/>
      <c r="I90" s="81"/>
      <c r="K90" s="131"/>
      <c r="L90" s="59"/>
      <c r="M90" s="59"/>
      <c r="N90" s="81"/>
      <c r="O90" s="81"/>
      <c r="P90" s="61"/>
      <c r="R90" s="131"/>
      <c r="S90" s="59"/>
      <c r="T90" s="59"/>
      <c r="U90" s="81"/>
      <c r="V90" s="81"/>
      <c r="W90" s="61"/>
      <c r="X90" s="66"/>
      <c r="Y90" s="77">
        <v>46101.0</v>
      </c>
      <c r="Z90" s="72" t="s">
        <v>923</v>
      </c>
      <c r="AA90" s="72" t="s">
        <v>924</v>
      </c>
      <c r="AB90" s="78" t="s">
        <v>27</v>
      </c>
      <c r="AC90" s="78" t="s">
        <v>28</v>
      </c>
      <c r="AD90" s="75"/>
      <c r="AF90" s="196"/>
      <c r="AG90" s="197"/>
      <c r="AH90" s="198"/>
      <c r="AI90" s="199"/>
      <c r="AJ90" s="199"/>
      <c r="AK90" s="195"/>
      <c r="AL90" s="76"/>
      <c r="AM90" s="84">
        <v>46108.0</v>
      </c>
      <c r="AN90" s="85" t="s">
        <v>925</v>
      </c>
      <c r="AO90" s="85" t="s">
        <v>926</v>
      </c>
      <c r="AP90" s="86" t="s">
        <v>27</v>
      </c>
      <c r="AQ90" s="87" t="s">
        <v>12</v>
      </c>
      <c r="AR90" s="97"/>
      <c r="AS90" s="98"/>
      <c r="AT90" s="200">
        <v>46108.0</v>
      </c>
      <c r="AU90" s="201" t="s">
        <v>927</v>
      </c>
      <c r="AV90" s="201" t="s">
        <v>928</v>
      </c>
      <c r="AW90" s="202" t="s">
        <v>23</v>
      </c>
      <c r="AX90" s="202" t="s">
        <v>20</v>
      </c>
      <c r="AY90" s="80"/>
    </row>
    <row r="91" ht="22.5" customHeight="1">
      <c r="A91" s="59"/>
      <c r="B91" s="59"/>
      <c r="C91" s="81"/>
      <c r="D91" s="81"/>
      <c r="F91" s="59"/>
      <c r="G91" s="59"/>
      <c r="H91" s="81"/>
      <c r="I91" s="81"/>
      <c r="K91" s="131"/>
      <c r="L91" s="59"/>
      <c r="M91" s="59"/>
      <c r="N91" s="81"/>
      <c r="O91" s="81"/>
      <c r="P91" s="61"/>
      <c r="R91" s="131"/>
      <c r="S91" s="59"/>
      <c r="T91" s="59"/>
      <c r="U91" s="81"/>
      <c r="V91" s="81"/>
      <c r="W91" s="61"/>
      <c r="X91" s="66"/>
      <c r="Y91" s="77">
        <v>46101.0</v>
      </c>
      <c r="Z91" s="72" t="s">
        <v>929</v>
      </c>
      <c r="AA91" s="72" t="s">
        <v>930</v>
      </c>
      <c r="AB91" s="78" t="s">
        <v>13</v>
      </c>
      <c r="AC91" s="78" t="s">
        <v>9</v>
      </c>
      <c r="AD91" s="75"/>
      <c r="AF91" s="196"/>
      <c r="AG91" s="197"/>
      <c r="AH91" s="198"/>
      <c r="AI91" s="199"/>
      <c r="AJ91" s="199"/>
      <c r="AK91" s="195"/>
      <c r="AL91" s="76"/>
      <c r="AM91" s="84">
        <v>46108.0</v>
      </c>
      <c r="AN91" s="85" t="s">
        <v>931</v>
      </c>
      <c r="AO91" s="85" t="s">
        <v>932</v>
      </c>
      <c r="AP91" s="86" t="s">
        <v>30</v>
      </c>
      <c r="AQ91" s="87" t="s">
        <v>9</v>
      </c>
      <c r="AR91" s="97"/>
      <c r="AS91" s="98"/>
      <c r="AT91" s="200">
        <v>46108.0</v>
      </c>
      <c r="AU91" s="203" t="s">
        <v>933</v>
      </c>
      <c r="AV91" s="203" t="s">
        <v>934</v>
      </c>
      <c r="AW91" s="204" t="s">
        <v>23</v>
      </c>
      <c r="AX91" s="204" t="s">
        <v>20</v>
      </c>
      <c r="AY91" s="94"/>
    </row>
    <row r="92" ht="22.5" customHeight="1">
      <c r="A92" s="59"/>
      <c r="B92" s="59"/>
      <c r="C92" s="81"/>
      <c r="D92" s="81"/>
      <c r="F92" s="59"/>
      <c r="G92" s="59"/>
      <c r="H92" s="81"/>
      <c r="I92" s="81"/>
      <c r="K92" s="131"/>
      <c r="L92" s="59"/>
      <c r="M92" s="59"/>
      <c r="N92" s="81"/>
      <c r="O92" s="81"/>
      <c r="P92" s="61"/>
      <c r="R92" s="131"/>
      <c r="S92" s="59"/>
      <c r="T92" s="59"/>
      <c r="U92" s="81"/>
      <c r="V92" s="81"/>
      <c r="W92" s="61"/>
      <c r="X92" s="66"/>
      <c r="Y92" s="194"/>
      <c r="AB92" s="81"/>
      <c r="AC92" s="81"/>
      <c r="AD92" s="61"/>
      <c r="AF92" s="196"/>
      <c r="AG92" s="197"/>
      <c r="AH92" s="198"/>
      <c r="AI92" s="199"/>
      <c r="AJ92" s="199"/>
      <c r="AK92" s="195"/>
      <c r="AL92" s="76"/>
      <c r="AM92" s="84">
        <v>46108.0</v>
      </c>
      <c r="AN92" s="85" t="s">
        <v>935</v>
      </c>
      <c r="AO92" s="85" t="s">
        <v>936</v>
      </c>
      <c r="AP92" s="86" t="s">
        <v>27</v>
      </c>
      <c r="AQ92" s="114" t="s">
        <v>12</v>
      </c>
      <c r="AR92" s="97"/>
      <c r="AS92" s="98"/>
      <c r="AT92" s="200">
        <v>46108.0</v>
      </c>
      <c r="AU92" s="201" t="s">
        <v>937</v>
      </c>
      <c r="AV92" s="201" t="s">
        <v>938</v>
      </c>
      <c r="AW92" s="202" t="s">
        <v>23</v>
      </c>
      <c r="AX92" s="202" t="s">
        <v>20</v>
      </c>
      <c r="AY92" s="80"/>
    </row>
    <row r="93" ht="22.5" customHeight="1">
      <c r="A93" s="59"/>
      <c r="B93" s="59"/>
      <c r="C93" s="81"/>
      <c r="D93" s="81"/>
      <c r="F93" s="59"/>
      <c r="G93" s="59"/>
      <c r="H93" s="81"/>
      <c r="I93" s="81"/>
      <c r="K93" s="131"/>
      <c r="L93" s="59"/>
      <c r="M93" s="59"/>
      <c r="N93" s="81"/>
      <c r="O93" s="81"/>
      <c r="P93" s="61"/>
      <c r="R93" s="131"/>
      <c r="S93" s="59"/>
      <c r="T93" s="59"/>
      <c r="U93" s="81"/>
      <c r="V93" s="81"/>
      <c r="W93" s="61"/>
      <c r="X93" s="66"/>
      <c r="Y93" s="205">
        <v>46101.0</v>
      </c>
      <c r="Z93" s="197" t="s">
        <v>939</v>
      </c>
      <c r="AA93" s="72" t="s">
        <v>940</v>
      </c>
      <c r="AB93" s="78" t="s">
        <v>30</v>
      </c>
      <c r="AC93" s="78" t="s">
        <v>12</v>
      </c>
      <c r="AD93" s="75"/>
      <c r="AF93" s="196"/>
      <c r="AG93" s="197"/>
      <c r="AH93" s="198"/>
      <c r="AI93" s="199"/>
      <c r="AJ93" s="199"/>
      <c r="AK93" s="195"/>
      <c r="AL93" s="76"/>
      <c r="AM93" s="84">
        <v>46108.0</v>
      </c>
      <c r="AN93" s="85" t="s">
        <v>941</v>
      </c>
      <c r="AO93" s="85" t="s">
        <v>942</v>
      </c>
      <c r="AP93" s="86" t="s">
        <v>27</v>
      </c>
      <c r="AQ93" s="114" t="s">
        <v>12</v>
      </c>
      <c r="AR93" s="97"/>
      <c r="AS93" s="98"/>
      <c r="AT93" s="206">
        <v>46108.0</v>
      </c>
      <c r="AU93" s="203" t="s">
        <v>642</v>
      </c>
      <c r="AV93" s="203" t="s">
        <v>943</v>
      </c>
      <c r="AW93" s="204" t="s">
        <v>21</v>
      </c>
      <c r="AX93" s="204" t="s">
        <v>14</v>
      </c>
      <c r="AY93" s="94"/>
    </row>
    <row r="94" ht="22.5" customHeight="1">
      <c r="A94" s="59"/>
      <c r="B94" s="59"/>
      <c r="C94" s="81"/>
      <c r="D94" s="81"/>
      <c r="F94" s="59"/>
      <c r="G94" s="59"/>
      <c r="H94" s="81"/>
      <c r="I94" s="81"/>
      <c r="K94" s="131"/>
      <c r="L94" s="59"/>
      <c r="M94" s="59"/>
      <c r="N94" s="81"/>
      <c r="O94" s="81"/>
      <c r="P94" s="61"/>
      <c r="R94" s="131"/>
      <c r="S94" s="59"/>
      <c r="T94" s="59"/>
      <c r="U94" s="81"/>
      <c r="V94" s="81"/>
      <c r="W94" s="61"/>
      <c r="X94" s="207"/>
      <c r="Y94" s="196"/>
      <c r="Z94" s="197"/>
      <c r="AA94" s="198"/>
      <c r="AB94" s="199"/>
      <c r="AC94" s="199"/>
      <c r="AD94" s="195"/>
      <c r="AF94" s="196"/>
      <c r="AG94" s="197"/>
      <c r="AH94" s="198"/>
      <c r="AI94" s="199"/>
      <c r="AJ94" s="199"/>
      <c r="AK94" s="195"/>
      <c r="AL94" s="76"/>
      <c r="AM94" s="208">
        <v>46108.0</v>
      </c>
      <c r="AN94" s="209" t="s">
        <v>944</v>
      </c>
      <c r="AO94" s="209" t="s">
        <v>945</v>
      </c>
      <c r="AP94" s="210" t="s">
        <v>27</v>
      </c>
      <c r="AQ94" s="211" t="s">
        <v>12</v>
      </c>
      <c r="AR94" s="97"/>
      <c r="AS94" s="98"/>
      <c r="AT94" s="212">
        <v>46108.0</v>
      </c>
      <c r="AU94" s="201" t="s">
        <v>779</v>
      </c>
      <c r="AV94" s="201" t="s">
        <v>780</v>
      </c>
      <c r="AW94" s="202" t="s">
        <v>25</v>
      </c>
      <c r="AX94" s="202" t="s">
        <v>20</v>
      </c>
      <c r="AY94" s="80"/>
    </row>
    <row r="95" ht="22.5" customHeight="1">
      <c r="A95" s="59"/>
      <c r="B95" s="59"/>
      <c r="C95" s="81"/>
      <c r="D95" s="81"/>
      <c r="F95" s="59"/>
      <c r="G95" s="59"/>
      <c r="H95" s="81"/>
      <c r="I95" s="81"/>
      <c r="K95" s="131"/>
      <c r="L95" s="59"/>
      <c r="M95" s="59"/>
      <c r="N95" s="81"/>
      <c r="O95" s="81"/>
      <c r="P95" s="61"/>
      <c r="R95" s="131"/>
      <c r="S95" s="59"/>
      <c r="T95" s="59"/>
      <c r="U95" s="81"/>
      <c r="V95" s="81"/>
      <c r="W95" s="61"/>
      <c r="X95" s="207"/>
      <c r="Y95" s="196"/>
      <c r="Z95" s="197"/>
      <c r="AA95" s="198"/>
      <c r="AB95" s="199"/>
      <c r="AC95" s="199"/>
      <c r="AD95" s="195"/>
      <c r="AF95" s="196"/>
      <c r="AG95" s="197"/>
      <c r="AH95" s="198"/>
      <c r="AI95" s="199"/>
      <c r="AJ95" s="199"/>
      <c r="AK95" s="195"/>
      <c r="AL95" s="76"/>
      <c r="AM95" s="208">
        <v>46108.0</v>
      </c>
      <c r="AN95" s="209" t="s">
        <v>946</v>
      </c>
      <c r="AO95" s="209" t="s">
        <v>947</v>
      </c>
      <c r="AP95" s="210" t="s">
        <v>44</v>
      </c>
      <c r="AQ95" s="211" t="s">
        <v>12</v>
      </c>
      <c r="AR95" s="97"/>
      <c r="AS95" s="98"/>
      <c r="AT95" s="206">
        <v>46108.0</v>
      </c>
      <c r="AU95" s="201" t="s">
        <v>789</v>
      </c>
      <c r="AV95" s="201" t="s">
        <v>790</v>
      </c>
      <c r="AW95" s="204" t="s">
        <v>21</v>
      </c>
      <c r="AX95" s="204" t="s">
        <v>17</v>
      </c>
      <c r="AY95" s="94"/>
    </row>
    <row r="96" ht="22.5" customHeight="1">
      <c r="A96" s="59"/>
      <c r="B96" s="59"/>
      <c r="C96" s="81"/>
      <c r="D96" s="81"/>
      <c r="F96" s="59"/>
      <c r="G96" s="59"/>
      <c r="H96" s="81"/>
      <c r="I96" s="81"/>
      <c r="K96" s="131"/>
      <c r="L96" s="59"/>
      <c r="M96" s="59"/>
      <c r="N96" s="81"/>
      <c r="O96" s="81"/>
      <c r="P96" s="61"/>
      <c r="R96" s="131"/>
      <c r="S96" s="59"/>
      <c r="T96" s="59"/>
      <c r="U96" s="81"/>
      <c r="V96" s="81"/>
      <c r="W96" s="61"/>
      <c r="X96" s="207"/>
      <c r="Y96" s="196"/>
      <c r="Z96" s="197"/>
      <c r="AA96" s="198"/>
      <c r="AB96" s="199"/>
      <c r="AC96" s="199"/>
      <c r="AD96" s="195"/>
      <c r="AF96" s="196"/>
      <c r="AG96" s="197"/>
      <c r="AH96" s="198"/>
      <c r="AI96" s="199"/>
      <c r="AJ96" s="199"/>
      <c r="AK96" s="195"/>
      <c r="AL96" s="76"/>
      <c r="AM96" s="208">
        <v>46108.0</v>
      </c>
      <c r="AN96" s="209" t="s">
        <v>948</v>
      </c>
      <c r="AO96" s="209" t="s">
        <v>949</v>
      </c>
      <c r="AP96" s="210" t="s">
        <v>44</v>
      </c>
      <c r="AQ96" s="211" t="s">
        <v>12</v>
      </c>
      <c r="AR96" s="97"/>
      <c r="AS96" s="57" t="b">
        <v>0</v>
      </c>
      <c r="AT96" s="212">
        <v>46108.0</v>
      </c>
      <c r="AU96" s="201" t="s">
        <v>608</v>
      </c>
      <c r="AV96" s="201" t="s">
        <v>609</v>
      </c>
      <c r="AW96" s="202" t="s">
        <v>23</v>
      </c>
      <c r="AX96" s="202" t="s">
        <v>20</v>
      </c>
      <c r="AY96" s="80"/>
    </row>
    <row r="97" ht="22.5" customHeight="1">
      <c r="A97" s="59"/>
      <c r="B97" s="59"/>
      <c r="C97" s="81"/>
      <c r="D97" s="81"/>
      <c r="F97" s="59"/>
      <c r="G97" s="59"/>
      <c r="H97" s="81"/>
      <c r="I97" s="81"/>
      <c r="K97" s="131"/>
      <c r="L97" s="59"/>
      <c r="M97" s="59"/>
      <c r="N97" s="81"/>
      <c r="O97" s="81"/>
      <c r="P97" s="61"/>
      <c r="R97" s="131"/>
      <c r="S97" s="59"/>
      <c r="T97" s="59"/>
      <c r="U97" s="81"/>
      <c r="V97" s="81"/>
      <c r="W97" s="61"/>
      <c r="X97" s="207"/>
      <c r="Y97" s="196"/>
      <c r="Z97" s="197"/>
      <c r="AA97" s="198"/>
      <c r="AB97" s="199"/>
      <c r="AC97" s="199"/>
      <c r="AD97" s="195"/>
      <c r="AF97" s="196"/>
      <c r="AG97" s="197"/>
      <c r="AH97" s="198"/>
      <c r="AI97" s="199"/>
      <c r="AJ97" s="199"/>
      <c r="AK97" s="195"/>
      <c r="AL97" s="76"/>
      <c r="AM97" s="194"/>
      <c r="AP97" s="81"/>
      <c r="AQ97" s="81"/>
      <c r="AR97" s="61"/>
      <c r="AS97" s="213"/>
      <c r="AT97" s="206">
        <v>46108.0</v>
      </c>
      <c r="AU97" s="201" t="s">
        <v>618</v>
      </c>
      <c r="AV97" s="201" t="s">
        <v>619</v>
      </c>
      <c r="AW97" s="204" t="s">
        <v>23</v>
      </c>
      <c r="AX97" s="204" t="s">
        <v>20</v>
      </c>
      <c r="AY97" s="94"/>
    </row>
    <row r="98" ht="22.5" customHeight="1">
      <c r="A98" s="59"/>
      <c r="B98" s="59"/>
      <c r="C98" s="81"/>
      <c r="D98" s="81"/>
      <c r="F98" s="59"/>
      <c r="G98" s="59"/>
      <c r="H98" s="81"/>
      <c r="I98" s="81"/>
      <c r="K98" s="131"/>
      <c r="L98" s="59"/>
      <c r="M98" s="59"/>
      <c r="N98" s="81"/>
      <c r="O98" s="81"/>
      <c r="P98" s="61"/>
      <c r="R98" s="131"/>
      <c r="S98" s="59"/>
      <c r="T98" s="59"/>
      <c r="U98" s="81"/>
      <c r="V98" s="81"/>
      <c r="W98" s="61"/>
      <c r="X98" s="207"/>
      <c r="Y98" s="196"/>
      <c r="Z98" s="197"/>
      <c r="AA98" s="198"/>
      <c r="AB98" s="199"/>
      <c r="AC98" s="199"/>
      <c r="AD98" s="195"/>
      <c r="AF98" s="196"/>
      <c r="AG98" s="197"/>
      <c r="AH98" s="198"/>
      <c r="AI98" s="199"/>
      <c r="AJ98" s="199"/>
      <c r="AK98" s="195"/>
      <c r="AL98" s="76"/>
      <c r="AM98" s="194"/>
      <c r="AP98" s="81"/>
      <c r="AQ98" s="81"/>
      <c r="AR98" s="61"/>
      <c r="AS98" s="213"/>
      <c r="AT98" s="214"/>
      <c r="AU98" s="215"/>
      <c r="AV98" s="215"/>
      <c r="AW98" s="216"/>
      <c r="AX98" s="216"/>
      <c r="AY98" s="176"/>
    </row>
    <row r="99" ht="22.5" customHeight="1">
      <c r="A99" s="59"/>
      <c r="B99" s="59"/>
      <c r="C99" s="81"/>
      <c r="D99" s="81"/>
      <c r="F99" s="59"/>
      <c r="G99" s="59"/>
      <c r="H99" s="81"/>
      <c r="I99" s="81"/>
      <c r="K99" s="131"/>
      <c r="L99" s="59"/>
      <c r="M99" s="59"/>
      <c r="N99" s="81"/>
      <c r="O99" s="81"/>
      <c r="P99" s="61"/>
      <c r="R99" s="131"/>
      <c r="S99" s="59"/>
      <c r="T99" s="59"/>
      <c r="U99" s="81"/>
      <c r="V99" s="81"/>
      <c r="W99" s="61"/>
      <c r="X99" s="207"/>
      <c r="Y99" s="196"/>
      <c r="Z99" s="197"/>
      <c r="AA99" s="198"/>
      <c r="AB99" s="199"/>
      <c r="AC99" s="199"/>
      <c r="AD99" s="195"/>
      <c r="AF99" s="196"/>
      <c r="AG99" s="197"/>
      <c r="AH99" s="198"/>
      <c r="AI99" s="199"/>
      <c r="AJ99" s="199"/>
      <c r="AK99" s="195"/>
      <c r="AL99" s="76"/>
      <c r="AM99" s="217"/>
      <c r="AN99" s="218"/>
      <c r="AO99" s="218"/>
      <c r="AP99" s="219"/>
      <c r="AQ99" s="220"/>
      <c r="AR99" s="221"/>
      <c r="AS99" s="222"/>
      <c r="AT99" s="223"/>
      <c r="AU99" s="224"/>
      <c r="AV99" s="224"/>
      <c r="AW99" s="225"/>
      <c r="AX99" s="225"/>
      <c r="AY99" s="171"/>
    </row>
    <row r="100" ht="22.5" customHeight="1">
      <c r="A100" s="59"/>
      <c r="B100" s="59"/>
      <c r="C100" s="81"/>
      <c r="D100" s="81"/>
      <c r="F100" s="59"/>
      <c r="G100" s="59"/>
      <c r="H100" s="81"/>
      <c r="I100" s="81"/>
      <c r="K100" s="131"/>
      <c r="L100" s="59"/>
      <c r="M100" s="59"/>
      <c r="N100" s="81"/>
      <c r="O100" s="81"/>
      <c r="P100" s="61"/>
      <c r="R100" s="131"/>
      <c r="S100" s="59"/>
      <c r="T100" s="59"/>
      <c r="U100" s="81"/>
      <c r="V100" s="81"/>
      <c r="W100" s="61"/>
      <c r="X100" s="207"/>
      <c r="Y100" s="196"/>
      <c r="Z100" s="197"/>
      <c r="AA100" s="198"/>
      <c r="AB100" s="199"/>
      <c r="AC100" s="199"/>
      <c r="AD100" s="195"/>
      <c r="AF100" s="196"/>
      <c r="AG100" s="197"/>
      <c r="AH100" s="198"/>
      <c r="AI100" s="199"/>
      <c r="AJ100" s="199"/>
      <c r="AK100" s="195"/>
      <c r="AL100" s="76"/>
      <c r="AM100" s="226"/>
      <c r="AN100" s="227"/>
      <c r="AO100" s="227"/>
      <c r="AP100" s="228"/>
      <c r="AQ100" s="229"/>
      <c r="AR100" s="230"/>
      <c r="AS100" s="231"/>
      <c r="AT100" s="232"/>
      <c r="AU100" s="227"/>
      <c r="AV100" s="227"/>
      <c r="AW100" s="228"/>
      <c r="AX100" s="229"/>
      <c r="AY100" s="176"/>
    </row>
    <row r="101" ht="22.5" customHeight="1">
      <c r="A101" s="59"/>
      <c r="B101" s="59"/>
      <c r="C101" s="81"/>
      <c r="D101" s="81"/>
      <c r="F101" s="59"/>
      <c r="G101" s="59"/>
      <c r="H101" s="81"/>
      <c r="I101" s="81"/>
      <c r="K101" s="131"/>
      <c r="L101" s="59"/>
      <c r="M101" s="59"/>
      <c r="N101" s="81"/>
      <c r="O101" s="81"/>
      <c r="P101" s="61"/>
      <c r="R101" s="131"/>
      <c r="S101" s="59"/>
      <c r="T101" s="59"/>
      <c r="U101" s="81"/>
      <c r="V101" s="81"/>
      <c r="W101" s="61"/>
      <c r="X101" s="207"/>
      <c r="Y101" s="196"/>
      <c r="Z101" s="197"/>
      <c r="AA101" s="198"/>
      <c r="AB101" s="199"/>
      <c r="AC101" s="199"/>
      <c r="AD101" s="195"/>
      <c r="AF101" s="196"/>
      <c r="AG101" s="197"/>
      <c r="AH101" s="198"/>
      <c r="AI101" s="199"/>
      <c r="AJ101" s="199"/>
      <c r="AK101" s="195"/>
      <c r="AL101" s="76"/>
      <c r="AM101" s="217"/>
      <c r="AN101" s="218"/>
      <c r="AO101" s="218"/>
      <c r="AP101" s="219"/>
      <c r="AQ101" s="220"/>
      <c r="AR101" s="221"/>
      <c r="AS101" s="222"/>
      <c r="AT101" s="233"/>
      <c r="AU101" s="218"/>
      <c r="AV101" s="218"/>
      <c r="AW101" s="219"/>
      <c r="AX101" s="220"/>
      <c r="AY101" s="171"/>
    </row>
    <row r="102" ht="22.5" customHeight="1">
      <c r="A102" s="59"/>
      <c r="B102" s="59"/>
      <c r="C102" s="81"/>
      <c r="D102" s="81"/>
      <c r="F102" s="59"/>
      <c r="G102" s="59"/>
      <c r="H102" s="81"/>
      <c r="I102" s="81"/>
      <c r="K102" s="131"/>
      <c r="L102" s="59"/>
      <c r="M102" s="59"/>
      <c r="N102" s="81"/>
      <c r="O102" s="81"/>
      <c r="P102" s="61"/>
      <c r="R102" s="131"/>
      <c r="S102" s="59"/>
      <c r="T102" s="59"/>
      <c r="U102" s="81"/>
      <c r="V102" s="81"/>
      <c r="W102" s="61"/>
      <c r="X102" s="207"/>
      <c r="Y102" s="196"/>
      <c r="Z102" s="197"/>
      <c r="AA102" s="198"/>
      <c r="AB102" s="199"/>
      <c r="AC102" s="199"/>
      <c r="AD102" s="195"/>
      <c r="AF102" s="196"/>
      <c r="AG102" s="197"/>
      <c r="AH102" s="198"/>
      <c r="AI102" s="199"/>
      <c r="AJ102" s="199"/>
      <c r="AK102" s="195"/>
      <c r="AL102" s="76"/>
      <c r="AM102" s="226"/>
      <c r="AN102" s="227"/>
      <c r="AO102" s="227"/>
      <c r="AP102" s="228"/>
      <c r="AQ102" s="229"/>
      <c r="AR102" s="230"/>
      <c r="AS102" s="231"/>
      <c r="AT102" s="232"/>
      <c r="AU102" s="227"/>
      <c r="AV102" s="227"/>
      <c r="AW102" s="228"/>
      <c r="AX102" s="229"/>
      <c r="AY102" s="176"/>
    </row>
    <row r="103" ht="22.5" customHeight="1">
      <c r="A103" s="59"/>
      <c r="B103" s="59"/>
      <c r="C103" s="81"/>
      <c r="D103" s="81"/>
      <c r="F103" s="59"/>
      <c r="G103" s="59"/>
      <c r="H103" s="81"/>
      <c r="I103" s="81"/>
      <c r="K103" s="131"/>
      <c r="L103" s="59"/>
      <c r="M103" s="59"/>
      <c r="N103" s="81"/>
      <c r="O103" s="81"/>
      <c r="P103" s="61"/>
      <c r="R103" s="131"/>
      <c r="S103" s="59"/>
      <c r="T103" s="59"/>
      <c r="U103" s="81"/>
      <c r="V103" s="81"/>
      <c r="W103" s="61"/>
      <c r="X103" s="207"/>
      <c r="Y103" s="196"/>
      <c r="Z103" s="197"/>
      <c r="AA103" s="198"/>
      <c r="AB103" s="199"/>
      <c r="AC103" s="199"/>
      <c r="AD103" s="195"/>
      <c r="AF103" s="196"/>
      <c r="AG103" s="197"/>
      <c r="AH103" s="198"/>
      <c r="AI103" s="199"/>
      <c r="AJ103" s="199"/>
      <c r="AK103" s="195"/>
      <c r="AL103" s="76"/>
      <c r="AM103" s="217"/>
      <c r="AN103" s="218"/>
      <c r="AO103" s="218"/>
      <c r="AP103" s="219"/>
      <c r="AQ103" s="220"/>
      <c r="AR103" s="221"/>
      <c r="AS103" s="222"/>
      <c r="AT103" s="233"/>
      <c r="AU103" s="218"/>
      <c r="AV103" s="218"/>
      <c r="AW103" s="219"/>
      <c r="AX103" s="220"/>
      <c r="AY103" s="171"/>
    </row>
    <row r="104" ht="22.5" customHeight="1">
      <c r="A104" s="59"/>
      <c r="B104" s="59"/>
      <c r="C104" s="81"/>
      <c r="D104" s="81"/>
      <c r="F104" s="59"/>
      <c r="G104" s="59"/>
      <c r="H104" s="81"/>
      <c r="I104" s="81"/>
      <c r="K104" s="131"/>
      <c r="L104" s="59"/>
      <c r="M104" s="59"/>
      <c r="N104" s="81"/>
      <c r="O104" s="81"/>
      <c r="P104" s="61"/>
      <c r="R104" s="131"/>
      <c r="S104" s="59"/>
      <c r="T104" s="59"/>
      <c r="U104" s="81"/>
      <c r="V104" s="81"/>
      <c r="W104" s="61"/>
      <c r="X104" s="207"/>
      <c r="Y104" s="196"/>
      <c r="Z104" s="197"/>
      <c r="AA104" s="198"/>
      <c r="AB104" s="199"/>
      <c r="AC104" s="199"/>
      <c r="AD104" s="195"/>
      <c r="AF104" s="196"/>
      <c r="AG104" s="197"/>
      <c r="AH104" s="198"/>
      <c r="AI104" s="199"/>
      <c r="AJ104" s="199"/>
      <c r="AK104" s="195"/>
      <c r="AL104" s="76"/>
      <c r="AM104" s="226"/>
      <c r="AN104" s="227"/>
      <c r="AO104" s="227"/>
      <c r="AP104" s="228"/>
      <c r="AQ104" s="229"/>
      <c r="AR104" s="230"/>
      <c r="AS104" s="231"/>
      <c r="AT104" s="232"/>
      <c r="AU104" s="227"/>
      <c r="AV104" s="227"/>
      <c r="AW104" s="228"/>
      <c r="AX104" s="229"/>
      <c r="AY104" s="176"/>
    </row>
    <row r="105" ht="22.5" customHeight="1">
      <c r="A105" s="59"/>
      <c r="B105" s="59"/>
      <c r="C105" s="81"/>
      <c r="D105" s="81"/>
      <c r="F105" s="59"/>
      <c r="G105" s="59"/>
      <c r="H105" s="81"/>
      <c r="I105" s="81"/>
      <c r="K105" s="131"/>
      <c r="L105" s="59"/>
      <c r="M105" s="59"/>
      <c r="N105" s="81"/>
      <c r="O105" s="81"/>
      <c r="P105" s="61"/>
      <c r="R105" s="131"/>
      <c r="S105" s="59"/>
      <c r="T105" s="59"/>
      <c r="U105" s="81"/>
      <c r="V105" s="81"/>
      <c r="W105" s="61"/>
      <c r="X105" s="207"/>
      <c r="Y105" s="196"/>
      <c r="Z105" s="197"/>
      <c r="AA105" s="198"/>
      <c r="AB105" s="199"/>
      <c r="AC105" s="199"/>
      <c r="AD105" s="195"/>
      <c r="AF105" s="196"/>
      <c r="AG105" s="197"/>
      <c r="AH105" s="198"/>
      <c r="AI105" s="199"/>
      <c r="AJ105" s="199"/>
      <c r="AK105" s="195"/>
      <c r="AL105" s="76"/>
      <c r="AM105" s="217"/>
      <c r="AN105" s="218"/>
      <c r="AO105" s="218"/>
      <c r="AP105" s="219"/>
      <c r="AQ105" s="220"/>
      <c r="AR105" s="221"/>
      <c r="AS105" s="222"/>
      <c r="AT105" s="233"/>
      <c r="AU105" s="218"/>
      <c r="AV105" s="218"/>
      <c r="AW105" s="219"/>
      <c r="AX105" s="220"/>
      <c r="AY105" s="171"/>
    </row>
    <row r="106" ht="22.5" customHeight="1">
      <c r="A106" s="59"/>
      <c r="B106" s="59"/>
      <c r="C106" s="81"/>
      <c r="D106" s="81"/>
      <c r="F106" s="59"/>
      <c r="G106" s="59"/>
      <c r="H106" s="81"/>
      <c r="I106" s="81"/>
      <c r="K106" s="131"/>
      <c r="L106" s="59"/>
      <c r="M106" s="59"/>
      <c r="N106" s="81"/>
      <c r="O106" s="81"/>
      <c r="P106" s="61"/>
      <c r="R106" s="131"/>
      <c r="S106" s="59"/>
      <c r="T106" s="59"/>
      <c r="U106" s="81"/>
      <c r="V106" s="81"/>
      <c r="W106" s="61"/>
      <c r="X106" s="207"/>
      <c r="Y106" s="196"/>
      <c r="Z106" s="197"/>
      <c r="AA106" s="198"/>
      <c r="AB106" s="199"/>
      <c r="AC106" s="199"/>
      <c r="AD106" s="195"/>
      <c r="AF106" s="196"/>
      <c r="AG106" s="197"/>
      <c r="AH106" s="198"/>
      <c r="AI106" s="199"/>
      <c r="AJ106" s="199"/>
      <c r="AK106" s="195"/>
      <c r="AL106" s="76"/>
      <c r="AM106" s="226"/>
      <c r="AN106" s="227"/>
      <c r="AO106" s="227"/>
      <c r="AP106" s="228"/>
      <c r="AQ106" s="229"/>
      <c r="AR106" s="230"/>
      <c r="AS106" s="231"/>
      <c r="AT106" s="232"/>
      <c r="AU106" s="227"/>
      <c r="AV106" s="227"/>
      <c r="AW106" s="228"/>
      <c r="AX106" s="229"/>
      <c r="AY106" s="176"/>
    </row>
    <row r="107" ht="22.5" customHeight="1">
      <c r="A107" s="59"/>
      <c r="B107" s="59"/>
      <c r="C107" s="81"/>
      <c r="D107" s="81"/>
      <c r="F107" s="59"/>
      <c r="G107" s="59"/>
      <c r="H107" s="81"/>
      <c r="I107" s="81"/>
      <c r="K107" s="131"/>
      <c r="L107" s="59"/>
      <c r="M107" s="59"/>
      <c r="N107" s="81"/>
      <c r="O107" s="81"/>
      <c r="P107" s="61"/>
      <c r="R107" s="131"/>
      <c r="S107" s="59"/>
      <c r="T107" s="59"/>
      <c r="U107" s="81"/>
      <c r="V107" s="81"/>
      <c r="W107" s="61"/>
      <c r="X107" s="207"/>
      <c r="Y107" s="196"/>
      <c r="Z107" s="197"/>
      <c r="AA107" s="198"/>
      <c r="AB107" s="199"/>
      <c r="AC107" s="199"/>
      <c r="AD107" s="195"/>
      <c r="AF107" s="196"/>
      <c r="AG107" s="197"/>
      <c r="AH107" s="198"/>
      <c r="AI107" s="199"/>
      <c r="AJ107" s="199"/>
      <c r="AK107" s="195"/>
      <c r="AL107" s="76"/>
      <c r="AM107" s="217"/>
      <c r="AN107" s="218"/>
      <c r="AO107" s="218"/>
      <c r="AP107" s="219"/>
      <c r="AQ107" s="220"/>
      <c r="AR107" s="221"/>
      <c r="AS107" s="222"/>
      <c r="AT107" s="233"/>
      <c r="AU107" s="218"/>
      <c r="AV107" s="218"/>
      <c r="AW107" s="219"/>
      <c r="AX107" s="220"/>
      <c r="AY107" s="171"/>
    </row>
    <row r="108" ht="22.5" customHeight="1">
      <c r="A108" s="59"/>
      <c r="B108" s="59"/>
      <c r="C108" s="81"/>
      <c r="D108" s="81"/>
      <c r="F108" s="59"/>
      <c r="G108" s="59"/>
      <c r="H108" s="81"/>
      <c r="I108" s="81"/>
      <c r="K108" s="131"/>
      <c r="L108" s="59"/>
      <c r="M108" s="59"/>
      <c r="N108" s="81"/>
      <c r="O108" s="81"/>
      <c r="P108" s="61"/>
      <c r="R108" s="131"/>
      <c r="S108" s="59"/>
      <c r="T108" s="59"/>
      <c r="U108" s="81"/>
      <c r="V108" s="81"/>
      <c r="W108" s="61"/>
      <c r="X108" s="207"/>
      <c r="Y108" s="196"/>
      <c r="Z108" s="197"/>
      <c r="AA108" s="198"/>
      <c r="AB108" s="199"/>
      <c r="AC108" s="199"/>
      <c r="AD108" s="195"/>
      <c r="AF108" s="196"/>
      <c r="AG108" s="197"/>
      <c r="AH108" s="198"/>
      <c r="AI108" s="199"/>
      <c r="AJ108" s="199"/>
      <c r="AK108" s="195"/>
      <c r="AL108" s="76"/>
      <c r="AM108" s="226"/>
      <c r="AN108" s="227"/>
      <c r="AO108" s="227"/>
      <c r="AP108" s="228"/>
      <c r="AQ108" s="229"/>
      <c r="AR108" s="230"/>
      <c r="AS108" s="231"/>
      <c r="AT108" s="232"/>
      <c r="AU108" s="227"/>
      <c r="AV108" s="227"/>
      <c r="AW108" s="228"/>
      <c r="AX108" s="229"/>
      <c r="AY108" s="176"/>
    </row>
    <row r="109" ht="22.5" customHeight="1">
      <c r="A109" s="59"/>
      <c r="B109" s="59"/>
      <c r="C109" s="81"/>
      <c r="D109" s="81"/>
      <c r="F109" s="59"/>
      <c r="G109" s="59"/>
      <c r="H109" s="81"/>
      <c r="I109" s="81"/>
      <c r="K109" s="131"/>
      <c r="L109" s="59"/>
      <c r="M109" s="59"/>
      <c r="N109" s="81"/>
      <c r="O109" s="81"/>
      <c r="P109" s="61"/>
      <c r="R109" s="131"/>
      <c r="S109" s="59"/>
      <c r="T109" s="59"/>
      <c r="U109" s="81"/>
      <c r="V109" s="81"/>
      <c r="W109" s="61"/>
      <c r="X109" s="207"/>
      <c r="Y109" s="196"/>
      <c r="Z109" s="197"/>
      <c r="AA109" s="198"/>
      <c r="AB109" s="199"/>
      <c r="AC109" s="199"/>
      <c r="AD109" s="195"/>
      <c r="AF109" s="196"/>
      <c r="AG109" s="197"/>
      <c r="AH109" s="198"/>
      <c r="AI109" s="199"/>
      <c r="AJ109" s="199"/>
      <c r="AK109" s="195"/>
      <c r="AL109" s="76"/>
      <c r="AM109" s="217"/>
      <c r="AN109" s="218"/>
      <c r="AO109" s="218"/>
      <c r="AP109" s="219"/>
      <c r="AQ109" s="220"/>
      <c r="AR109" s="221"/>
      <c r="AS109" s="222"/>
      <c r="AT109" s="233"/>
      <c r="AU109" s="218"/>
      <c r="AV109" s="218"/>
      <c r="AW109" s="219"/>
      <c r="AX109" s="220"/>
      <c r="AY109" s="171"/>
    </row>
    <row r="110" ht="22.5" customHeight="1">
      <c r="A110" s="59"/>
      <c r="B110" s="59"/>
      <c r="C110" s="81"/>
      <c r="D110" s="81"/>
      <c r="F110" s="59"/>
      <c r="G110" s="59"/>
      <c r="H110" s="81"/>
      <c r="I110" s="81"/>
      <c r="K110" s="131"/>
      <c r="L110" s="59"/>
      <c r="M110" s="59"/>
      <c r="N110" s="81"/>
      <c r="O110" s="81"/>
      <c r="P110" s="61"/>
      <c r="R110" s="131"/>
      <c r="S110" s="59"/>
      <c r="T110" s="59"/>
      <c r="U110" s="81"/>
      <c r="V110" s="81"/>
      <c r="W110" s="61"/>
      <c r="X110" s="207"/>
      <c r="Y110" s="196"/>
      <c r="Z110" s="197"/>
      <c r="AA110" s="198"/>
      <c r="AB110" s="199"/>
      <c r="AC110" s="199"/>
      <c r="AD110" s="195"/>
      <c r="AF110" s="196"/>
      <c r="AG110" s="197"/>
      <c r="AH110" s="198"/>
      <c r="AI110" s="199"/>
      <c r="AJ110" s="199"/>
      <c r="AK110" s="195"/>
      <c r="AL110" s="76"/>
      <c r="AM110" s="226"/>
      <c r="AN110" s="227"/>
      <c r="AO110" s="227"/>
      <c r="AP110" s="228"/>
      <c r="AQ110" s="229"/>
      <c r="AR110" s="230"/>
      <c r="AS110" s="231"/>
      <c r="AT110" s="232"/>
      <c r="AU110" s="227"/>
      <c r="AV110" s="227"/>
      <c r="AW110" s="228"/>
      <c r="AX110" s="229"/>
      <c r="AY110" s="176"/>
    </row>
    <row r="111" ht="22.5" customHeight="1">
      <c r="A111" s="59"/>
      <c r="B111" s="59"/>
      <c r="C111" s="81"/>
      <c r="D111" s="81"/>
      <c r="F111" s="59"/>
      <c r="G111" s="59"/>
      <c r="H111" s="81"/>
      <c r="I111" s="81"/>
      <c r="K111" s="131"/>
      <c r="L111" s="59"/>
      <c r="M111" s="59"/>
      <c r="N111" s="81"/>
      <c r="O111" s="81"/>
      <c r="P111" s="61"/>
      <c r="R111" s="131"/>
      <c r="S111" s="59"/>
      <c r="T111" s="59"/>
      <c r="U111" s="81"/>
      <c r="V111" s="81"/>
      <c r="W111" s="61"/>
      <c r="X111" s="207"/>
      <c r="Y111" s="196"/>
      <c r="Z111" s="197"/>
      <c r="AA111" s="198"/>
      <c r="AB111" s="199"/>
      <c r="AC111" s="199"/>
      <c r="AD111" s="195"/>
      <c r="AF111" s="196"/>
      <c r="AG111" s="197"/>
      <c r="AH111" s="198"/>
      <c r="AI111" s="199"/>
      <c r="AJ111" s="199"/>
      <c r="AK111" s="195"/>
      <c r="AL111" s="76"/>
      <c r="AM111" s="217"/>
      <c r="AN111" s="218"/>
      <c r="AO111" s="218"/>
      <c r="AP111" s="219"/>
      <c r="AQ111" s="220"/>
      <c r="AR111" s="221"/>
      <c r="AS111" s="222"/>
      <c r="AT111" s="233"/>
      <c r="AU111" s="218"/>
      <c r="AV111" s="218"/>
      <c r="AW111" s="219"/>
      <c r="AX111" s="220"/>
      <c r="AY111" s="171"/>
    </row>
    <row r="112" ht="22.5" customHeight="1">
      <c r="A112" s="59"/>
      <c r="B112" s="59"/>
      <c r="C112" s="81"/>
      <c r="D112" s="81"/>
      <c r="F112" s="59"/>
      <c r="G112" s="59"/>
      <c r="H112" s="81"/>
      <c r="I112" s="81"/>
      <c r="K112" s="131"/>
      <c r="L112" s="59"/>
      <c r="M112" s="59"/>
      <c r="N112" s="81"/>
      <c r="O112" s="81"/>
      <c r="P112" s="61"/>
      <c r="R112" s="131"/>
      <c r="S112" s="59"/>
      <c r="T112" s="59"/>
      <c r="U112" s="81"/>
      <c r="V112" s="81"/>
      <c r="W112" s="61"/>
      <c r="X112" s="207"/>
      <c r="Y112" s="196"/>
      <c r="Z112" s="197"/>
      <c r="AA112" s="198"/>
      <c r="AB112" s="199"/>
      <c r="AC112" s="199"/>
      <c r="AD112" s="195"/>
      <c r="AF112" s="196"/>
      <c r="AG112" s="197"/>
      <c r="AH112" s="198"/>
      <c r="AI112" s="199"/>
      <c r="AJ112" s="199"/>
      <c r="AK112" s="195"/>
      <c r="AL112" s="76"/>
      <c r="AM112" s="226"/>
      <c r="AN112" s="227"/>
      <c r="AO112" s="227"/>
      <c r="AP112" s="228"/>
      <c r="AQ112" s="229"/>
      <c r="AR112" s="230"/>
      <c r="AS112" s="231"/>
      <c r="AT112" s="232"/>
      <c r="AU112" s="227"/>
      <c r="AV112" s="227"/>
      <c r="AW112" s="228"/>
      <c r="AX112" s="229"/>
      <c r="AY112" s="176"/>
    </row>
    <row r="113" ht="22.5" customHeight="1">
      <c r="A113" s="59"/>
      <c r="B113" s="59"/>
      <c r="C113" s="81"/>
      <c r="D113" s="81"/>
      <c r="F113" s="59"/>
      <c r="G113" s="59"/>
      <c r="H113" s="81"/>
      <c r="I113" s="81"/>
      <c r="K113" s="131"/>
      <c r="L113" s="59"/>
      <c r="M113" s="59"/>
      <c r="N113" s="81"/>
      <c r="O113" s="81"/>
      <c r="P113" s="61"/>
      <c r="R113" s="131"/>
      <c r="S113" s="59"/>
      <c r="T113" s="59"/>
      <c r="U113" s="81"/>
      <c r="V113" s="81"/>
      <c r="W113" s="61"/>
      <c r="X113" s="207"/>
      <c r="Y113" s="196"/>
      <c r="Z113" s="197"/>
      <c r="AA113" s="198"/>
      <c r="AB113" s="199"/>
      <c r="AC113" s="199"/>
      <c r="AD113" s="195"/>
      <c r="AF113" s="196"/>
      <c r="AG113" s="197"/>
      <c r="AH113" s="198"/>
      <c r="AI113" s="199"/>
      <c r="AJ113" s="199"/>
      <c r="AK113" s="195"/>
      <c r="AL113" s="76"/>
      <c r="AM113" s="217"/>
      <c r="AN113" s="218"/>
      <c r="AO113" s="218"/>
      <c r="AP113" s="219"/>
      <c r="AQ113" s="220"/>
      <c r="AR113" s="221"/>
      <c r="AS113" s="222"/>
      <c r="AT113" s="233"/>
      <c r="AU113" s="218"/>
      <c r="AV113" s="218"/>
      <c r="AW113" s="219"/>
      <c r="AX113" s="220"/>
      <c r="AY113" s="171"/>
    </row>
    <row r="114" ht="22.5" customHeight="1">
      <c r="A114" s="59"/>
      <c r="B114" s="59"/>
      <c r="C114" s="81"/>
      <c r="D114" s="81"/>
      <c r="F114" s="59"/>
      <c r="G114" s="59"/>
      <c r="H114" s="81"/>
      <c r="I114" s="81"/>
      <c r="K114" s="131"/>
      <c r="L114" s="59"/>
      <c r="M114" s="59"/>
      <c r="N114" s="81"/>
      <c r="O114" s="81"/>
      <c r="P114" s="61"/>
      <c r="R114" s="131"/>
      <c r="S114" s="59"/>
      <c r="T114" s="59"/>
      <c r="U114" s="81"/>
      <c r="V114" s="81"/>
      <c r="W114" s="61"/>
      <c r="X114" s="207"/>
      <c r="Y114" s="196"/>
      <c r="Z114" s="197"/>
      <c r="AA114" s="198"/>
      <c r="AB114" s="199"/>
      <c r="AC114" s="199"/>
      <c r="AD114" s="195"/>
      <c r="AF114" s="196"/>
      <c r="AG114" s="197"/>
      <c r="AH114" s="198"/>
      <c r="AI114" s="199"/>
      <c r="AJ114" s="199"/>
      <c r="AK114" s="195"/>
      <c r="AL114" s="76"/>
      <c r="AM114" s="226"/>
      <c r="AN114" s="227"/>
      <c r="AO114" s="227"/>
      <c r="AP114" s="228"/>
      <c r="AQ114" s="229"/>
      <c r="AR114" s="230"/>
      <c r="AS114" s="231"/>
      <c r="AT114" s="232"/>
      <c r="AU114" s="227"/>
      <c r="AV114" s="227"/>
      <c r="AW114" s="228"/>
      <c r="AX114" s="229"/>
      <c r="AY114" s="176"/>
    </row>
    <row r="115" ht="22.5" customHeight="1">
      <c r="A115" s="59"/>
      <c r="B115" s="59"/>
      <c r="C115" s="81"/>
      <c r="D115" s="81"/>
      <c r="F115" s="59"/>
      <c r="G115" s="59"/>
      <c r="H115" s="81"/>
      <c r="I115" s="81"/>
      <c r="K115" s="131"/>
      <c r="L115" s="59"/>
      <c r="M115" s="59"/>
      <c r="N115" s="81"/>
      <c r="O115" s="81"/>
      <c r="P115" s="61"/>
      <c r="R115" s="131"/>
      <c r="S115" s="59"/>
      <c r="T115" s="59"/>
      <c r="U115" s="81"/>
      <c r="V115" s="81"/>
      <c r="W115" s="61"/>
      <c r="X115" s="207"/>
      <c r="Y115" s="196"/>
      <c r="Z115" s="197"/>
      <c r="AA115" s="198"/>
      <c r="AB115" s="199"/>
      <c r="AC115" s="199"/>
      <c r="AD115" s="195"/>
      <c r="AF115" s="196"/>
      <c r="AG115" s="197"/>
      <c r="AH115" s="198"/>
      <c r="AI115" s="199"/>
      <c r="AJ115" s="199"/>
      <c r="AK115" s="195"/>
      <c r="AL115" s="76"/>
      <c r="AM115" s="217"/>
      <c r="AN115" s="218"/>
      <c r="AO115" s="218"/>
      <c r="AP115" s="219"/>
      <c r="AQ115" s="220"/>
      <c r="AR115" s="221"/>
      <c r="AS115" s="222"/>
      <c r="AT115" s="233"/>
      <c r="AU115" s="218"/>
      <c r="AV115" s="218"/>
      <c r="AW115" s="219"/>
      <c r="AX115" s="220"/>
      <c r="AY115" s="171"/>
    </row>
    <row r="116" ht="22.5" customHeight="1">
      <c r="A116" s="59"/>
      <c r="B116" s="59"/>
      <c r="C116" s="81"/>
      <c r="D116" s="81"/>
      <c r="F116" s="59"/>
      <c r="G116" s="59"/>
      <c r="H116" s="81"/>
      <c r="I116" s="81"/>
      <c r="K116" s="131"/>
      <c r="L116" s="59"/>
      <c r="M116" s="59"/>
      <c r="N116" s="81"/>
      <c r="O116" s="81"/>
      <c r="P116" s="61"/>
      <c r="R116" s="131"/>
      <c r="S116" s="59"/>
      <c r="T116" s="59"/>
      <c r="U116" s="81"/>
      <c r="V116" s="81"/>
      <c r="W116" s="61"/>
      <c r="X116" s="207"/>
      <c r="Y116" s="196"/>
      <c r="Z116" s="197"/>
      <c r="AA116" s="198"/>
      <c r="AB116" s="199"/>
      <c r="AC116" s="199"/>
      <c r="AD116" s="195"/>
      <c r="AF116" s="196"/>
      <c r="AG116" s="197"/>
      <c r="AH116" s="198"/>
      <c r="AI116" s="199"/>
      <c r="AJ116" s="199"/>
      <c r="AK116" s="195"/>
      <c r="AL116" s="76"/>
      <c r="AM116" s="226"/>
      <c r="AN116" s="227"/>
      <c r="AO116" s="227"/>
      <c r="AP116" s="228"/>
      <c r="AQ116" s="229"/>
      <c r="AR116" s="230"/>
      <c r="AS116" s="231"/>
      <c r="AT116" s="232"/>
      <c r="AU116" s="227"/>
      <c r="AV116" s="227"/>
      <c r="AW116" s="228"/>
      <c r="AX116" s="229"/>
      <c r="AY116" s="176"/>
    </row>
    <row r="117" ht="22.5" customHeight="1">
      <c r="A117" s="59"/>
      <c r="B117" s="59"/>
      <c r="C117" s="81"/>
      <c r="D117" s="81"/>
      <c r="F117" s="59"/>
      <c r="G117" s="59"/>
      <c r="H117" s="81"/>
      <c r="I117" s="81"/>
      <c r="K117" s="131"/>
      <c r="L117" s="59"/>
      <c r="M117" s="59"/>
      <c r="N117" s="81"/>
      <c r="O117" s="81"/>
      <c r="P117" s="61"/>
      <c r="R117" s="131"/>
      <c r="S117" s="59"/>
      <c r="T117" s="59"/>
      <c r="U117" s="81"/>
      <c r="V117" s="81"/>
      <c r="W117" s="61"/>
      <c r="X117" s="207"/>
      <c r="Y117" s="196"/>
      <c r="Z117" s="197"/>
      <c r="AA117" s="198"/>
      <c r="AB117" s="199"/>
      <c r="AC117" s="199"/>
      <c r="AD117" s="195"/>
      <c r="AF117" s="196"/>
      <c r="AG117" s="197"/>
      <c r="AH117" s="198"/>
      <c r="AI117" s="199"/>
      <c r="AJ117" s="199"/>
      <c r="AK117" s="195"/>
      <c r="AL117" s="76"/>
      <c r="AM117" s="217"/>
      <c r="AN117" s="218"/>
      <c r="AO117" s="218"/>
      <c r="AP117" s="219"/>
      <c r="AQ117" s="220"/>
      <c r="AR117" s="221"/>
      <c r="AS117" s="222"/>
      <c r="AT117" s="233"/>
      <c r="AU117" s="218"/>
      <c r="AV117" s="218"/>
      <c r="AW117" s="219"/>
      <c r="AX117" s="220"/>
      <c r="AY117" s="171"/>
    </row>
    <row r="118" ht="22.5" customHeight="1">
      <c r="A118" s="59"/>
      <c r="B118" s="59"/>
      <c r="C118" s="81"/>
      <c r="D118" s="81"/>
      <c r="F118" s="59"/>
      <c r="G118" s="59"/>
      <c r="H118" s="81"/>
      <c r="I118" s="81"/>
      <c r="K118" s="131"/>
      <c r="L118" s="59"/>
      <c r="M118" s="59"/>
      <c r="N118" s="81"/>
      <c r="O118" s="81"/>
      <c r="P118" s="61"/>
      <c r="R118" s="131"/>
      <c r="S118" s="59"/>
      <c r="T118" s="59"/>
      <c r="U118" s="81"/>
      <c r="V118" s="81"/>
      <c r="W118" s="61"/>
      <c r="X118" s="207"/>
      <c r="Y118" s="196"/>
      <c r="Z118" s="197"/>
      <c r="AA118" s="198"/>
      <c r="AB118" s="199"/>
      <c r="AC118" s="199"/>
      <c r="AD118" s="195"/>
      <c r="AF118" s="196"/>
      <c r="AG118" s="197"/>
      <c r="AH118" s="198"/>
      <c r="AI118" s="199"/>
      <c r="AJ118" s="199"/>
      <c r="AK118" s="195"/>
      <c r="AL118" s="76"/>
      <c r="AM118" s="226"/>
      <c r="AN118" s="227"/>
      <c r="AO118" s="227"/>
      <c r="AP118" s="228"/>
      <c r="AQ118" s="229"/>
      <c r="AR118" s="230"/>
      <c r="AS118" s="231"/>
      <c r="AT118" s="232"/>
      <c r="AU118" s="227"/>
      <c r="AV118" s="227"/>
      <c r="AW118" s="228"/>
      <c r="AX118" s="229"/>
      <c r="AY118" s="176"/>
    </row>
    <row r="119" ht="22.5" customHeight="1">
      <c r="A119" s="59"/>
      <c r="B119" s="59"/>
      <c r="C119" s="81"/>
      <c r="D119" s="81"/>
      <c r="F119" s="59"/>
      <c r="G119" s="59"/>
      <c r="H119" s="81"/>
      <c r="I119" s="81"/>
      <c r="K119" s="131"/>
      <c r="L119" s="59"/>
      <c r="M119" s="59"/>
      <c r="N119" s="81"/>
      <c r="O119" s="81"/>
      <c r="P119" s="61"/>
      <c r="R119" s="131"/>
      <c r="S119" s="59"/>
      <c r="T119" s="59"/>
      <c r="U119" s="81"/>
      <c r="V119" s="81"/>
      <c r="W119" s="61"/>
      <c r="X119" s="207"/>
      <c r="Y119" s="196"/>
      <c r="Z119" s="197"/>
      <c r="AA119" s="198"/>
      <c r="AB119" s="199"/>
      <c r="AC119" s="199"/>
      <c r="AD119" s="195"/>
      <c r="AF119" s="196"/>
      <c r="AG119" s="197"/>
      <c r="AH119" s="198"/>
      <c r="AI119" s="199"/>
      <c r="AJ119" s="199"/>
      <c r="AK119" s="195"/>
      <c r="AL119" s="76"/>
      <c r="AM119" s="217"/>
      <c r="AN119" s="218"/>
      <c r="AO119" s="218"/>
      <c r="AP119" s="219"/>
      <c r="AQ119" s="220"/>
      <c r="AR119" s="221"/>
      <c r="AS119" s="222"/>
      <c r="AT119" s="233"/>
      <c r="AU119" s="218"/>
      <c r="AV119" s="218"/>
      <c r="AW119" s="219"/>
      <c r="AX119" s="220"/>
      <c r="AY119" s="171"/>
    </row>
    <row r="120" ht="22.5" customHeight="1">
      <c r="A120" s="59"/>
      <c r="B120" s="59"/>
      <c r="C120" s="81"/>
      <c r="D120" s="81"/>
      <c r="F120" s="59"/>
      <c r="G120" s="59"/>
      <c r="H120" s="81"/>
      <c r="I120" s="81"/>
      <c r="K120" s="131"/>
      <c r="L120" s="59"/>
      <c r="M120" s="59"/>
      <c r="N120" s="81"/>
      <c r="O120" s="81"/>
      <c r="P120" s="61"/>
      <c r="R120" s="131"/>
      <c r="S120" s="59"/>
      <c r="T120" s="59"/>
      <c r="U120" s="81"/>
      <c r="V120" s="81"/>
      <c r="W120" s="61"/>
      <c r="X120" s="207"/>
      <c r="Y120" s="196"/>
      <c r="Z120" s="197"/>
      <c r="AA120" s="198"/>
      <c r="AB120" s="199"/>
      <c r="AC120" s="199"/>
      <c r="AD120" s="195"/>
      <c r="AF120" s="196"/>
      <c r="AG120" s="197"/>
      <c r="AH120" s="198"/>
      <c r="AI120" s="199"/>
      <c r="AJ120" s="199"/>
      <c r="AK120" s="195"/>
      <c r="AL120" s="76"/>
      <c r="AM120" s="226"/>
      <c r="AN120" s="227"/>
      <c r="AO120" s="227"/>
      <c r="AP120" s="228"/>
      <c r="AQ120" s="229"/>
      <c r="AR120" s="230"/>
      <c r="AS120" s="231"/>
      <c r="AT120" s="232"/>
      <c r="AU120" s="227"/>
      <c r="AV120" s="227"/>
      <c r="AW120" s="228"/>
      <c r="AX120" s="229"/>
      <c r="AY120" s="176"/>
    </row>
    <row r="121" ht="22.5" customHeight="1">
      <c r="A121" s="59"/>
      <c r="B121" s="59"/>
      <c r="C121" s="81"/>
      <c r="D121" s="81"/>
      <c r="F121" s="59"/>
      <c r="G121" s="59"/>
      <c r="H121" s="81"/>
      <c r="I121" s="81"/>
      <c r="K121" s="131"/>
      <c r="L121" s="59"/>
      <c r="M121" s="59"/>
      <c r="N121" s="81"/>
      <c r="O121" s="81"/>
      <c r="P121" s="61"/>
      <c r="R121" s="131"/>
      <c r="S121" s="59"/>
      <c r="T121" s="59"/>
      <c r="U121" s="81"/>
      <c r="V121" s="81"/>
      <c r="W121" s="61"/>
      <c r="X121" s="207"/>
      <c r="Y121" s="196"/>
      <c r="Z121" s="197"/>
      <c r="AA121" s="198"/>
      <c r="AB121" s="199"/>
      <c r="AC121" s="199"/>
      <c r="AD121" s="195"/>
      <c r="AF121" s="196"/>
      <c r="AG121" s="197"/>
      <c r="AH121" s="198"/>
      <c r="AI121" s="199"/>
      <c r="AJ121" s="199"/>
      <c r="AK121" s="195"/>
      <c r="AL121" s="76"/>
      <c r="AM121" s="217"/>
      <c r="AN121" s="218"/>
      <c r="AO121" s="218"/>
      <c r="AP121" s="219"/>
      <c r="AQ121" s="220"/>
      <c r="AR121" s="221"/>
      <c r="AS121" s="222"/>
      <c r="AT121" s="233"/>
      <c r="AU121" s="218"/>
      <c r="AV121" s="218"/>
      <c r="AW121" s="219"/>
      <c r="AX121" s="220"/>
      <c r="AY121" s="171"/>
    </row>
    <row r="122" ht="22.5" customHeight="1">
      <c r="A122" s="59"/>
      <c r="B122" s="59"/>
      <c r="C122" s="81"/>
      <c r="D122" s="81"/>
      <c r="F122" s="59"/>
      <c r="G122" s="59"/>
      <c r="H122" s="81"/>
      <c r="I122" s="81"/>
      <c r="K122" s="131"/>
      <c r="L122" s="59"/>
      <c r="M122" s="59"/>
      <c r="N122" s="81"/>
      <c r="O122" s="81"/>
      <c r="P122" s="61"/>
      <c r="R122" s="131"/>
      <c r="S122" s="59"/>
      <c r="T122" s="59"/>
      <c r="U122" s="81"/>
      <c r="V122" s="81"/>
      <c r="W122" s="61"/>
      <c r="X122" s="207"/>
      <c r="Y122" s="196"/>
      <c r="Z122" s="197"/>
      <c r="AA122" s="198"/>
      <c r="AB122" s="199"/>
      <c r="AC122" s="199"/>
      <c r="AD122" s="195"/>
      <c r="AF122" s="196"/>
      <c r="AG122" s="197"/>
      <c r="AH122" s="198"/>
      <c r="AI122" s="199"/>
      <c r="AJ122" s="199"/>
      <c r="AK122" s="195"/>
      <c r="AL122" s="76"/>
      <c r="AM122" s="226"/>
      <c r="AN122" s="227"/>
      <c r="AO122" s="227"/>
      <c r="AP122" s="228"/>
      <c r="AQ122" s="229"/>
      <c r="AR122" s="230"/>
      <c r="AS122" s="231"/>
      <c r="AT122" s="232"/>
      <c r="AU122" s="227"/>
      <c r="AV122" s="227"/>
      <c r="AW122" s="228"/>
      <c r="AX122" s="229"/>
      <c r="AY122" s="176"/>
    </row>
    <row r="123" ht="22.5" customHeight="1">
      <c r="A123" s="59"/>
      <c r="B123" s="59"/>
      <c r="C123" s="81"/>
      <c r="D123" s="81"/>
      <c r="F123" s="59"/>
      <c r="G123" s="59"/>
      <c r="H123" s="81"/>
      <c r="I123" s="81"/>
      <c r="K123" s="131"/>
      <c r="L123" s="59"/>
      <c r="M123" s="59"/>
      <c r="N123" s="81"/>
      <c r="O123" s="81"/>
      <c r="P123" s="61"/>
      <c r="R123" s="131"/>
      <c r="S123" s="59"/>
      <c r="T123" s="59"/>
      <c r="U123" s="81"/>
      <c r="V123" s="81"/>
      <c r="W123" s="61"/>
      <c r="X123" s="207"/>
      <c r="Y123" s="196"/>
      <c r="Z123" s="197"/>
      <c r="AA123" s="198"/>
      <c r="AB123" s="199"/>
      <c r="AC123" s="199"/>
      <c r="AD123" s="195"/>
      <c r="AF123" s="196"/>
      <c r="AG123" s="197"/>
      <c r="AH123" s="198"/>
      <c r="AI123" s="199"/>
      <c r="AJ123" s="199"/>
      <c r="AK123" s="195"/>
      <c r="AL123" s="76"/>
      <c r="AM123" s="217"/>
      <c r="AN123" s="218"/>
      <c r="AO123" s="218"/>
      <c r="AP123" s="219"/>
      <c r="AQ123" s="220"/>
      <c r="AR123" s="221"/>
      <c r="AS123" s="222"/>
      <c r="AT123" s="233"/>
      <c r="AU123" s="218"/>
      <c r="AV123" s="218"/>
      <c r="AW123" s="219"/>
      <c r="AX123" s="220"/>
      <c r="AY123" s="171"/>
    </row>
    <row r="124" ht="22.5" customHeight="1">
      <c r="A124" s="59"/>
      <c r="B124" s="59"/>
      <c r="C124" s="81"/>
      <c r="D124" s="81"/>
      <c r="F124" s="59"/>
      <c r="G124" s="59"/>
      <c r="H124" s="81"/>
      <c r="I124" s="81"/>
      <c r="K124" s="131"/>
      <c r="L124" s="59"/>
      <c r="M124" s="59"/>
      <c r="N124" s="81"/>
      <c r="O124" s="81"/>
      <c r="P124" s="61"/>
      <c r="R124" s="131"/>
      <c r="S124" s="59"/>
      <c r="T124" s="59"/>
      <c r="U124" s="81"/>
      <c r="V124" s="81"/>
      <c r="W124" s="61"/>
      <c r="X124" s="207"/>
      <c r="Y124" s="196"/>
      <c r="Z124" s="197"/>
      <c r="AA124" s="198"/>
      <c r="AB124" s="199"/>
      <c r="AC124" s="199"/>
      <c r="AD124" s="195"/>
      <c r="AF124" s="196"/>
      <c r="AG124" s="197"/>
      <c r="AH124" s="198"/>
      <c r="AI124" s="199"/>
      <c r="AJ124" s="199"/>
      <c r="AK124" s="195"/>
      <c r="AL124" s="76"/>
      <c r="AM124" s="226"/>
      <c r="AN124" s="227"/>
      <c r="AO124" s="227"/>
      <c r="AP124" s="228"/>
      <c r="AQ124" s="229"/>
      <c r="AR124" s="230"/>
      <c r="AS124" s="231"/>
      <c r="AT124" s="232"/>
      <c r="AU124" s="227"/>
      <c r="AV124" s="227"/>
      <c r="AW124" s="228"/>
      <c r="AX124" s="229"/>
      <c r="AY124" s="176"/>
    </row>
    <row r="125" ht="22.5" customHeight="1">
      <c r="A125" s="59"/>
      <c r="B125" s="59"/>
      <c r="C125" s="81"/>
      <c r="D125" s="81"/>
      <c r="F125" s="59"/>
      <c r="G125" s="59"/>
      <c r="H125" s="81"/>
      <c r="I125" s="81"/>
      <c r="K125" s="131"/>
      <c r="L125" s="59"/>
      <c r="M125" s="59"/>
      <c r="N125" s="81"/>
      <c r="O125" s="81"/>
      <c r="P125" s="61"/>
      <c r="R125" s="131"/>
      <c r="S125" s="59"/>
      <c r="T125" s="59"/>
      <c r="U125" s="81"/>
      <c r="V125" s="81"/>
      <c r="W125" s="61"/>
      <c r="X125" s="207"/>
      <c r="Y125" s="196"/>
      <c r="Z125" s="197"/>
      <c r="AA125" s="198"/>
      <c r="AB125" s="199"/>
      <c r="AC125" s="199"/>
      <c r="AD125" s="195"/>
      <c r="AF125" s="196"/>
      <c r="AG125" s="197"/>
      <c r="AH125" s="198"/>
      <c r="AI125" s="199"/>
      <c r="AJ125" s="199"/>
      <c r="AK125" s="195"/>
      <c r="AL125" s="76"/>
      <c r="AM125" s="217"/>
      <c r="AN125" s="218"/>
      <c r="AO125" s="218"/>
      <c r="AP125" s="219"/>
      <c r="AQ125" s="220"/>
      <c r="AR125" s="221"/>
      <c r="AS125" s="222"/>
      <c r="AT125" s="233"/>
      <c r="AU125" s="218"/>
      <c r="AV125" s="218"/>
      <c r="AW125" s="219"/>
      <c r="AX125" s="220"/>
      <c r="AY125" s="171"/>
    </row>
    <row r="126" ht="22.5" customHeight="1">
      <c r="A126" s="59"/>
      <c r="B126" s="59"/>
      <c r="C126" s="81"/>
      <c r="D126" s="81"/>
      <c r="F126" s="59"/>
      <c r="G126" s="59"/>
      <c r="H126" s="81"/>
      <c r="I126" s="81"/>
      <c r="K126" s="131"/>
      <c r="L126" s="59"/>
      <c r="M126" s="59"/>
      <c r="N126" s="81"/>
      <c r="O126" s="81"/>
      <c r="P126" s="61"/>
      <c r="R126" s="131"/>
      <c r="S126" s="59"/>
      <c r="T126" s="59"/>
      <c r="U126" s="81"/>
      <c r="V126" s="81"/>
      <c r="W126" s="61"/>
      <c r="X126" s="207"/>
      <c r="Y126" s="196"/>
      <c r="Z126" s="197"/>
      <c r="AA126" s="198"/>
      <c r="AB126" s="199"/>
      <c r="AC126" s="199"/>
      <c r="AD126" s="195"/>
      <c r="AF126" s="196"/>
      <c r="AG126" s="197"/>
      <c r="AH126" s="198"/>
      <c r="AI126" s="199"/>
      <c r="AJ126" s="199"/>
      <c r="AK126" s="195"/>
      <c r="AL126" s="76"/>
      <c r="AM126" s="226"/>
      <c r="AN126" s="227"/>
      <c r="AO126" s="227"/>
      <c r="AP126" s="228"/>
      <c r="AQ126" s="229"/>
      <c r="AR126" s="230"/>
      <c r="AS126" s="231"/>
      <c r="AT126" s="232"/>
      <c r="AU126" s="227"/>
      <c r="AV126" s="227"/>
      <c r="AW126" s="228"/>
      <c r="AX126" s="229"/>
      <c r="AY126" s="176"/>
    </row>
    <row r="127" ht="22.5" customHeight="1">
      <c r="A127" s="59"/>
      <c r="B127" s="59"/>
      <c r="C127" s="81"/>
      <c r="D127" s="81"/>
      <c r="F127" s="59"/>
      <c r="G127" s="59"/>
      <c r="H127" s="81"/>
      <c r="I127" s="81"/>
      <c r="K127" s="131"/>
      <c r="L127" s="59"/>
      <c r="M127" s="59"/>
      <c r="N127" s="81"/>
      <c r="O127" s="81"/>
      <c r="P127" s="61"/>
      <c r="R127" s="131"/>
      <c r="S127" s="59"/>
      <c r="T127" s="59"/>
      <c r="U127" s="81"/>
      <c r="V127" s="81"/>
      <c r="W127" s="61"/>
      <c r="X127" s="207"/>
      <c r="Y127" s="196"/>
      <c r="Z127" s="197"/>
      <c r="AA127" s="198"/>
      <c r="AB127" s="199"/>
      <c r="AC127" s="199"/>
      <c r="AD127" s="195"/>
      <c r="AF127" s="196"/>
      <c r="AG127" s="197"/>
      <c r="AH127" s="198"/>
      <c r="AI127" s="199"/>
      <c r="AJ127" s="199"/>
      <c r="AK127" s="195"/>
      <c r="AL127" s="76"/>
      <c r="AM127" s="217"/>
      <c r="AN127" s="218"/>
      <c r="AO127" s="218"/>
      <c r="AP127" s="219"/>
      <c r="AQ127" s="220"/>
      <c r="AR127" s="221"/>
      <c r="AS127" s="222"/>
      <c r="AT127" s="233"/>
      <c r="AU127" s="218"/>
      <c r="AV127" s="218"/>
      <c r="AW127" s="219"/>
      <c r="AX127" s="220"/>
      <c r="AY127" s="171"/>
    </row>
    <row r="128" ht="22.5" customHeight="1">
      <c r="A128" s="59"/>
      <c r="B128" s="59"/>
      <c r="C128" s="81"/>
      <c r="D128" s="81"/>
      <c r="F128" s="59"/>
      <c r="G128" s="59"/>
      <c r="H128" s="81"/>
      <c r="I128" s="81"/>
      <c r="K128" s="131"/>
      <c r="L128" s="59"/>
      <c r="M128" s="59"/>
      <c r="N128" s="81"/>
      <c r="O128" s="81"/>
      <c r="P128" s="61"/>
      <c r="R128" s="131"/>
      <c r="S128" s="59"/>
      <c r="T128" s="59"/>
      <c r="U128" s="81"/>
      <c r="V128" s="81"/>
      <c r="W128" s="61"/>
      <c r="X128" s="207"/>
      <c r="Y128" s="196"/>
      <c r="Z128" s="197"/>
      <c r="AA128" s="198"/>
      <c r="AB128" s="199"/>
      <c r="AC128" s="199"/>
      <c r="AD128" s="195"/>
      <c r="AF128" s="196"/>
      <c r="AG128" s="197"/>
      <c r="AH128" s="198"/>
      <c r="AI128" s="199"/>
      <c r="AJ128" s="199"/>
      <c r="AK128" s="195"/>
      <c r="AL128" s="76"/>
      <c r="AM128" s="226"/>
      <c r="AN128" s="227"/>
      <c r="AO128" s="227"/>
      <c r="AP128" s="228"/>
      <c r="AQ128" s="229"/>
      <c r="AR128" s="230"/>
      <c r="AS128" s="231"/>
      <c r="AT128" s="232"/>
      <c r="AU128" s="227"/>
      <c r="AV128" s="227"/>
      <c r="AW128" s="228"/>
      <c r="AX128" s="229"/>
      <c r="AY128" s="176"/>
    </row>
    <row r="129" ht="22.5" customHeight="1">
      <c r="A129" s="59"/>
      <c r="B129" s="59"/>
      <c r="C129" s="81"/>
      <c r="D129" s="81"/>
      <c r="F129" s="59"/>
      <c r="G129" s="59"/>
      <c r="H129" s="81"/>
      <c r="I129" s="81"/>
      <c r="K129" s="131"/>
      <c r="L129" s="59"/>
      <c r="M129" s="59"/>
      <c r="N129" s="81"/>
      <c r="O129" s="81"/>
      <c r="P129" s="61"/>
      <c r="R129" s="131"/>
      <c r="S129" s="59"/>
      <c r="T129" s="59"/>
      <c r="U129" s="81"/>
      <c r="V129" s="81"/>
      <c r="W129" s="61"/>
      <c r="X129" s="207"/>
      <c r="Y129" s="196"/>
      <c r="Z129" s="197"/>
      <c r="AA129" s="198"/>
      <c r="AB129" s="199"/>
      <c r="AC129" s="199"/>
      <c r="AD129" s="195"/>
      <c r="AF129" s="196"/>
      <c r="AG129" s="197"/>
      <c r="AH129" s="198"/>
      <c r="AI129" s="199"/>
      <c r="AJ129" s="199"/>
      <c r="AK129" s="195"/>
      <c r="AL129" s="76"/>
      <c r="AM129" s="217"/>
      <c r="AN129" s="218"/>
      <c r="AO129" s="218"/>
      <c r="AP129" s="219"/>
      <c r="AQ129" s="220"/>
      <c r="AR129" s="221"/>
      <c r="AS129" s="222"/>
      <c r="AT129" s="233"/>
      <c r="AU129" s="218"/>
      <c r="AV129" s="218"/>
      <c r="AW129" s="219"/>
      <c r="AX129" s="220"/>
      <c r="AY129" s="171"/>
    </row>
    <row r="130" ht="22.5" customHeight="1">
      <c r="A130" s="59"/>
      <c r="B130" s="59"/>
      <c r="C130" s="81"/>
      <c r="D130" s="81"/>
      <c r="F130" s="59"/>
      <c r="G130" s="59"/>
      <c r="H130" s="81"/>
      <c r="I130" s="81"/>
      <c r="K130" s="131"/>
      <c r="L130" s="59"/>
      <c r="M130" s="59"/>
      <c r="N130" s="81"/>
      <c r="O130" s="81"/>
      <c r="P130" s="61"/>
      <c r="R130" s="131"/>
      <c r="S130" s="59"/>
      <c r="T130" s="59"/>
      <c r="U130" s="81"/>
      <c r="V130" s="81"/>
      <c r="W130" s="61"/>
      <c r="X130" s="207"/>
      <c r="Y130" s="196"/>
      <c r="Z130" s="197"/>
      <c r="AA130" s="198"/>
      <c r="AB130" s="199"/>
      <c r="AC130" s="199"/>
      <c r="AD130" s="195"/>
      <c r="AF130" s="196"/>
      <c r="AG130" s="197"/>
      <c r="AH130" s="198"/>
      <c r="AI130" s="199"/>
      <c r="AJ130" s="199"/>
      <c r="AK130" s="195"/>
      <c r="AL130" s="76"/>
      <c r="AM130" s="226"/>
      <c r="AN130" s="227"/>
      <c r="AO130" s="227"/>
      <c r="AP130" s="228"/>
      <c r="AQ130" s="229"/>
      <c r="AR130" s="230"/>
      <c r="AS130" s="231"/>
      <c r="AT130" s="232"/>
      <c r="AU130" s="227"/>
      <c r="AV130" s="227"/>
      <c r="AW130" s="228"/>
      <c r="AX130" s="229"/>
      <c r="AY130" s="176"/>
    </row>
    <row r="131" ht="22.5" customHeight="1">
      <c r="A131" s="59"/>
      <c r="B131" s="59"/>
      <c r="C131" s="81"/>
      <c r="D131" s="81"/>
      <c r="F131" s="59"/>
      <c r="G131" s="59"/>
      <c r="H131" s="81"/>
      <c r="I131" s="81"/>
      <c r="K131" s="131"/>
      <c r="L131" s="59"/>
      <c r="M131" s="59"/>
      <c r="N131" s="81"/>
      <c r="O131" s="81"/>
      <c r="P131" s="61"/>
      <c r="R131" s="131"/>
      <c r="S131" s="59"/>
      <c r="T131" s="59"/>
      <c r="U131" s="81"/>
      <c r="V131" s="81"/>
      <c r="W131" s="61"/>
      <c r="X131" s="207"/>
      <c r="Y131" s="196"/>
      <c r="Z131" s="197"/>
      <c r="AA131" s="198"/>
      <c r="AB131" s="199"/>
      <c r="AC131" s="199"/>
      <c r="AD131" s="195"/>
      <c r="AF131" s="196"/>
      <c r="AG131" s="197"/>
      <c r="AH131" s="198"/>
      <c r="AI131" s="199"/>
      <c r="AJ131" s="199"/>
      <c r="AK131" s="195"/>
      <c r="AL131" s="76"/>
      <c r="AM131" s="217"/>
      <c r="AN131" s="218"/>
      <c r="AO131" s="218"/>
      <c r="AP131" s="219"/>
      <c r="AQ131" s="220"/>
      <c r="AR131" s="221"/>
      <c r="AS131" s="222"/>
      <c r="AT131" s="233"/>
      <c r="AU131" s="218"/>
      <c r="AV131" s="218"/>
      <c r="AW131" s="219"/>
      <c r="AX131" s="220"/>
      <c r="AY131" s="171"/>
    </row>
    <row r="132" ht="22.5" customHeight="1">
      <c r="A132" s="59"/>
      <c r="B132" s="59"/>
      <c r="C132" s="81"/>
      <c r="D132" s="81"/>
      <c r="F132" s="59"/>
      <c r="G132" s="59"/>
      <c r="H132" s="81"/>
      <c r="I132" s="81"/>
      <c r="K132" s="131"/>
      <c r="L132" s="59"/>
      <c r="M132" s="59"/>
      <c r="N132" s="81"/>
      <c r="O132" s="81"/>
      <c r="P132" s="61"/>
      <c r="R132" s="131"/>
      <c r="S132" s="59"/>
      <c r="T132" s="59"/>
      <c r="U132" s="81"/>
      <c r="V132" s="81"/>
      <c r="W132" s="61"/>
      <c r="X132" s="207"/>
      <c r="Y132" s="196"/>
      <c r="Z132" s="197"/>
      <c r="AA132" s="198"/>
      <c r="AB132" s="199"/>
      <c r="AC132" s="199"/>
      <c r="AD132" s="195"/>
      <c r="AF132" s="196"/>
      <c r="AG132" s="197"/>
      <c r="AH132" s="198"/>
      <c r="AI132" s="199"/>
      <c r="AJ132" s="199"/>
      <c r="AK132" s="195"/>
      <c r="AL132" s="76"/>
      <c r="AM132" s="226"/>
      <c r="AN132" s="227"/>
      <c r="AO132" s="227"/>
      <c r="AP132" s="228"/>
      <c r="AQ132" s="229"/>
      <c r="AR132" s="230"/>
      <c r="AS132" s="231"/>
      <c r="AT132" s="232"/>
      <c r="AU132" s="227"/>
      <c r="AV132" s="227"/>
      <c r="AW132" s="228"/>
      <c r="AX132" s="229"/>
      <c r="AY132" s="176"/>
    </row>
    <row r="133" ht="22.5" customHeight="1">
      <c r="A133" s="59"/>
      <c r="B133" s="59"/>
      <c r="C133" s="81"/>
      <c r="D133" s="81"/>
      <c r="F133" s="59"/>
      <c r="G133" s="59"/>
      <c r="H133" s="81"/>
      <c r="I133" s="81"/>
      <c r="K133" s="131"/>
      <c r="L133" s="59"/>
      <c r="M133" s="59"/>
      <c r="N133" s="81"/>
      <c r="O133" s="81"/>
      <c r="P133" s="61"/>
      <c r="R133" s="131"/>
      <c r="S133" s="59"/>
      <c r="T133" s="59"/>
      <c r="U133" s="81"/>
      <c r="V133" s="81"/>
      <c r="W133" s="61"/>
      <c r="X133" s="207"/>
      <c r="Y133" s="196"/>
      <c r="Z133" s="197"/>
      <c r="AA133" s="198"/>
      <c r="AB133" s="199"/>
      <c r="AC133" s="199"/>
      <c r="AD133" s="195"/>
      <c r="AF133" s="196"/>
      <c r="AG133" s="197"/>
      <c r="AH133" s="198"/>
      <c r="AI133" s="199"/>
      <c r="AJ133" s="199"/>
      <c r="AK133" s="195"/>
      <c r="AL133" s="76"/>
      <c r="AM133" s="217"/>
      <c r="AN133" s="218"/>
      <c r="AO133" s="218"/>
      <c r="AP133" s="219"/>
      <c r="AQ133" s="220"/>
      <c r="AR133" s="221"/>
      <c r="AS133" s="222"/>
      <c r="AT133" s="233"/>
      <c r="AU133" s="218"/>
      <c r="AV133" s="218"/>
      <c r="AW133" s="219"/>
      <c r="AX133" s="220"/>
      <c r="AY133" s="171"/>
    </row>
    <row r="134" ht="22.5" customHeight="1">
      <c r="A134" s="59"/>
      <c r="B134" s="59"/>
      <c r="C134" s="81"/>
      <c r="D134" s="81"/>
      <c r="F134" s="59"/>
      <c r="G134" s="59"/>
      <c r="H134" s="81"/>
      <c r="I134" s="81"/>
      <c r="K134" s="131"/>
      <c r="L134" s="59"/>
      <c r="M134" s="59"/>
      <c r="N134" s="81"/>
      <c r="O134" s="81"/>
      <c r="P134" s="61"/>
      <c r="R134" s="131"/>
      <c r="S134" s="59"/>
      <c r="T134" s="59"/>
      <c r="U134" s="81"/>
      <c r="V134" s="81"/>
      <c r="W134" s="61"/>
      <c r="X134" s="207"/>
      <c r="Y134" s="196"/>
      <c r="Z134" s="197"/>
      <c r="AA134" s="198"/>
      <c r="AB134" s="199"/>
      <c r="AC134" s="199"/>
      <c r="AD134" s="195"/>
      <c r="AF134" s="196"/>
      <c r="AG134" s="197"/>
      <c r="AH134" s="198"/>
      <c r="AI134" s="199"/>
      <c r="AJ134" s="199"/>
      <c r="AK134" s="195"/>
      <c r="AL134" s="76"/>
      <c r="AM134" s="226"/>
      <c r="AN134" s="227"/>
      <c r="AO134" s="227"/>
      <c r="AP134" s="228"/>
      <c r="AQ134" s="229"/>
      <c r="AR134" s="230"/>
      <c r="AS134" s="231"/>
      <c r="AT134" s="232"/>
      <c r="AU134" s="227"/>
      <c r="AV134" s="227"/>
      <c r="AW134" s="228"/>
      <c r="AX134" s="229"/>
      <c r="AY134" s="176"/>
    </row>
    <row r="135" ht="22.5" customHeight="1">
      <c r="A135" s="59"/>
      <c r="B135" s="59"/>
      <c r="C135" s="81"/>
      <c r="D135" s="81"/>
      <c r="F135" s="59"/>
      <c r="G135" s="59"/>
      <c r="H135" s="81"/>
      <c r="I135" s="81"/>
      <c r="K135" s="131"/>
      <c r="L135" s="59"/>
      <c r="M135" s="59"/>
      <c r="N135" s="81"/>
      <c r="O135" s="81"/>
      <c r="P135" s="61"/>
      <c r="R135" s="131"/>
      <c r="S135" s="59"/>
      <c r="T135" s="59"/>
      <c r="U135" s="81"/>
      <c r="V135" s="81"/>
      <c r="W135" s="61"/>
      <c r="X135" s="207"/>
      <c r="Y135" s="196"/>
      <c r="Z135" s="197"/>
      <c r="AA135" s="198"/>
      <c r="AB135" s="199"/>
      <c r="AC135" s="199"/>
      <c r="AD135" s="195"/>
      <c r="AF135" s="196"/>
      <c r="AG135" s="197"/>
      <c r="AH135" s="198"/>
      <c r="AI135" s="199"/>
      <c r="AJ135" s="199"/>
      <c r="AK135" s="195"/>
      <c r="AL135" s="76"/>
      <c r="AM135" s="217"/>
      <c r="AN135" s="218"/>
      <c r="AO135" s="218"/>
      <c r="AP135" s="219"/>
      <c r="AQ135" s="220"/>
      <c r="AR135" s="221"/>
      <c r="AS135" s="222"/>
      <c r="AT135" s="233"/>
      <c r="AU135" s="218"/>
      <c r="AV135" s="218"/>
      <c r="AW135" s="219"/>
      <c r="AX135" s="220"/>
      <c r="AY135" s="171"/>
    </row>
    <row r="136" ht="22.5" customHeight="1">
      <c r="A136" s="59"/>
      <c r="B136" s="59"/>
      <c r="C136" s="81"/>
      <c r="D136" s="81"/>
      <c r="F136" s="59"/>
      <c r="G136" s="59"/>
      <c r="H136" s="81"/>
      <c r="I136" s="81"/>
      <c r="K136" s="131"/>
      <c r="L136" s="59"/>
      <c r="M136" s="59"/>
      <c r="N136" s="81"/>
      <c r="O136" s="81"/>
      <c r="P136" s="61"/>
      <c r="R136" s="131"/>
      <c r="S136" s="59"/>
      <c r="T136" s="59"/>
      <c r="U136" s="81"/>
      <c r="V136" s="81"/>
      <c r="W136" s="61"/>
      <c r="X136" s="207"/>
      <c r="Y136" s="196"/>
      <c r="Z136" s="197"/>
      <c r="AA136" s="198"/>
      <c r="AB136" s="199"/>
      <c r="AC136" s="199"/>
      <c r="AD136" s="195"/>
      <c r="AF136" s="196"/>
      <c r="AG136" s="197"/>
      <c r="AH136" s="198"/>
      <c r="AI136" s="199"/>
      <c r="AJ136" s="199"/>
      <c r="AK136" s="195"/>
      <c r="AL136" s="76"/>
      <c r="AM136" s="226"/>
      <c r="AN136" s="227"/>
      <c r="AO136" s="227"/>
      <c r="AP136" s="228"/>
      <c r="AQ136" s="229"/>
      <c r="AR136" s="230"/>
      <c r="AS136" s="231"/>
      <c r="AT136" s="232"/>
      <c r="AU136" s="227"/>
      <c r="AV136" s="227"/>
      <c r="AW136" s="228"/>
      <c r="AX136" s="229"/>
      <c r="AY136" s="176"/>
    </row>
    <row r="137" ht="22.5" customHeight="1">
      <c r="A137" s="59"/>
      <c r="B137" s="59"/>
      <c r="C137" s="81"/>
      <c r="D137" s="81"/>
      <c r="F137" s="59"/>
      <c r="G137" s="59"/>
      <c r="H137" s="81"/>
      <c r="I137" s="81"/>
      <c r="K137" s="131"/>
      <c r="L137" s="59"/>
      <c r="M137" s="59"/>
      <c r="N137" s="81"/>
      <c r="O137" s="81"/>
      <c r="P137" s="61"/>
      <c r="R137" s="131"/>
      <c r="S137" s="59"/>
      <c r="T137" s="59"/>
      <c r="U137" s="81"/>
      <c r="V137" s="81"/>
      <c r="W137" s="61"/>
      <c r="X137" s="207"/>
      <c r="Y137" s="196"/>
      <c r="Z137" s="197"/>
      <c r="AA137" s="198"/>
      <c r="AB137" s="199"/>
      <c r="AC137" s="199"/>
      <c r="AD137" s="195"/>
      <c r="AF137" s="196"/>
      <c r="AG137" s="197"/>
      <c r="AH137" s="198"/>
      <c r="AI137" s="199"/>
      <c r="AJ137" s="199"/>
      <c r="AK137" s="195"/>
      <c r="AL137" s="76"/>
      <c r="AM137" s="217"/>
      <c r="AN137" s="218"/>
      <c r="AO137" s="218"/>
      <c r="AP137" s="219"/>
      <c r="AQ137" s="220"/>
      <c r="AR137" s="221"/>
      <c r="AS137" s="222"/>
      <c r="AT137" s="233"/>
      <c r="AU137" s="218"/>
      <c r="AV137" s="218"/>
      <c r="AW137" s="219"/>
      <c r="AX137" s="220"/>
      <c r="AY137" s="171"/>
    </row>
    <row r="138" ht="22.5" customHeight="1">
      <c r="A138" s="59"/>
      <c r="B138" s="59"/>
      <c r="C138" s="81"/>
      <c r="D138" s="81"/>
      <c r="F138" s="59"/>
      <c r="G138" s="59"/>
      <c r="H138" s="81"/>
      <c r="I138" s="81"/>
      <c r="K138" s="131"/>
      <c r="L138" s="59"/>
      <c r="M138" s="59"/>
      <c r="N138" s="81"/>
      <c r="O138" s="81"/>
      <c r="P138" s="61"/>
      <c r="R138" s="131"/>
      <c r="S138" s="59"/>
      <c r="T138" s="59"/>
      <c r="U138" s="81"/>
      <c r="V138" s="81"/>
      <c r="W138" s="61"/>
      <c r="X138" s="207"/>
      <c r="Y138" s="196"/>
      <c r="Z138" s="197"/>
      <c r="AA138" s="198"/>
      <c r="AB138" s="199"/>
      <c r="AC138" s="199"/>
      <c r="AD138" s="195"/>
      <c r="AF138" s="196"/>
      <c r="AG138" s="197"/>
      <c r="AH138" s="198"/>
      <c r="AI138" s="199"/>
      <c r="AJ138" s="199"/>
      <c r="AK138" s="195"/>
      <c r="AL138" s="76"/>
      <c r="AM138" s="226"/>
      <c r="AN138" s="227"/>
      <c r="AO138" s="227"/>
      <c r="AP138" s="228"/>
      <c r="AQ138" s="229"/>
      <c r="AR138" s="230"/>
      <c r="AS138" s="231"/>
      <c r="AT138" s="232"/>
      <c r="AU138" s="227"/>
      <c r="AV138" s="227"/>
      <c r="AW138" s="228"/>
      <c r="AX138" s="229"/>
      <c r="AY138" s="176"/>
    </row>
    <row r="139" ht="22.5" customHeight="1">
      <c r="A139" s="59"/>
      <c r="B139" s="59"/>
      <c r="C139" s="81"/>
      <c r="D139" s="81"/>
      <c r="F139" s="59"/>
      <c r="G139" s="59"/>
      <c r="H139" s="81"/>
      <c r="I139" s="81"/>
      <c r="K139" s="131"/>
      <c r="L139" s="59"/>
      <c r="M139" s="59"/>
      <c r="N139" s="81"/>
      <c r="O139" s="81"/>
      <c r="P139" s="61"/>
      <c r="R139" s="131"/>
      <c r="S139" s="59"/>
      <c r="T139" s="59"/>
      <c r="U139" s="81"/>
      <c r="V139" s="81"/>
      <c r="W139" s="61"/>
      <c r="X139" s="207"/>
      <c r="Y139" s="196"/>
      <c r="Z139" s="197"/>
      <c r="AA139" s="198"/>
      <c r="AB139" s="199"/>
      <c r="AC139" s="199"/>
      <c r="AD139" s="195"/>
      <c r="AF139" s="196"/>
      <c r="AG139" s="197"/>
      <c r="AH139" s="198"/>
      <c r="AI139" s="199"/>
      <c r="AJ139" s="199"/>
      <c r="AK139" s="195"/>
      <c r="AL139" s="76"/>
      <c r="AM139" s="217"/>
      <c r="AN139" s="218"/>
      <c r="AO139" s="218"/>
      <c r="AP139" s="219"/>
      <c r="AQ139" s="220"/>
      <c r="AR139" s="221"/>
      <c r="AS139" s="222"/>
      <c r="AT139" s="233"/>
      <c r="AU139" s="218"/>
      <c r="AV139" s="218"/>
      <c r="AW139" s="219"/>
      <c r="AX139" s="220"/>
      <c r="AY139" s="171"/>
    </row>
    <row r="140" ht="22.5" customHeight="1">
      <c r="A140" s="59"/>
      <c r="B140" s="59"/>
      <c r="C140" s="81"/>
      <c r="D140" s="81"/>
      <c r="F140" s="59"/>
      <c r="G140" s="59"/>
      <c r="H140" s="81"/>
      <c r="I140" s="81"/>
      <c r="K140" s="131"/>
      <c r="L140" s="59"/>
      <c r="M140" s="59"/>
      <c r="N140" s="81"/>
      <c r="O140" s="81"/>
      <c r="P140" s="61"/>
      <c r="R140" s="131"/>
      <c r="S140" s="59"/>
      <c r="T140" s="59"/>
      <c r="U140" s="81"/>
      <c r="V140" s="81"/>
      <c r="W140" s="61"/>
      <c r="X140" s="207"/>
      <c r="Y140" s="196"/>
      <c r="Z140" s="197"/>
      <c r="AA140" s="198"/>
      <c r="AB140" s="199"/>
      <c r="AC140" s="199"/>
      <c r="AD140" s="195"/>
      <c r="AF140" s="196"/>
      <c r="AG140" s="197"/>
      <c r="AH140" s="198"/>
      <c r="AI140" s="199"/>
      <c r="AJ140" s="199"/>
      <c r="AK140" s="195"/>
      <c r="AL140" s="76"/>
      <c r="AM140" s="226"/>
      <c r="AN140" s="227"/>
      <c r="AO140" s="227"/>
      <c r="AP140" s="228"/>
      <c r="AQ140" s="229"/>
      <c r="AR140" s="230"/>
      <c r="AS140" s="231"/>
      <c r="AT140" s="232"/>
      <c r="AU140" s="227"/>
      <c r="AV140" s="227"/>
      <c r="AW140" s="228"/>
      <c r="AX140" s="229"/>
      <c r="AY140" s="176"/>
    </row>
    <row r="141" ht="22.5" customHeight="1">
      <c r="A141" s="59"/>
      <c r="B141" s="59"/>
      <c r="C141" s="81"/>
      <c r="D141" s="81"/>
      <c r="F141" s="59"/>
      <c r="G141" s="59"/>
      <c r="H141" s="81"/>
      <c r="I141" s="81"/>
      <c r="K141" s="131"/>
      <c r="L141" s="59"/>
      <c r="M141" s="59"/>
      <c r="N141" s="81"/>
      <c r="O141" s="81"/>
      <c r="P141" s="61"/>
      <c r="R141" s="131"/>
      <c r="S141" s="59"/>
      <c r="T141" s="59"/>
      <c r="U141" s="81"/>
      <c r="V141" s="81"/>
      <c r="W141" s="61"/>
      <c r="X141" s="207"/>
      <c r="Y141" s="196"/>
      <c r="Z141" s="197"/>
      <c r="AA141" s="198"/>
      <c r="AB141" s="199"/>
      <c r="AC141" s="199"/>
      <c r="AD141" s="195"/>
      <c r="AF141" s="196"/>
      <c r="AG141" s="197"/>
      <c r="AH141" s="198"/>
      <c r="AI141" s="199"/>
      <c r="AJ141" s="199"/>
      <c r="AK141" s="195"/>
      <c r="AL141" s="76"/>
      <c r="AM141" s="217"/>
      <c r="AN141" s="218"/>
      <c r="AO141" s="218"/>
      <c r="AP141" s="219"/>
      <c r="AQ141" s="220"/>
      <c r="AR141" s="221"/>
      <c r="AS141" s="222"/>
      <c r="AT141" s="233"/>
      <c r="AU141" s="218"/>
      <c r="AV141" s="218"/>
      <c r="AW141" s="219"/>
      <c r="AX141" s="220"/>
      <c r="AY141" s="171"/>
    </row>
    <row r="142" ht="22.5" customHeight="1">
      <c r="A142" s="59"/>
      <c r="B142" s="59"/>
      <c r="C142" s="81"/>
      <c r="D142" s="81"/>
      <c r="F142" s="59"/>
      <c r="G142" s="59"/>
      <c r="H142" s="81"/>
      <c r="I142" s="81"/>
      <c r="K142" s="131"/>
      <c r="L142" s="59"/>
      <c r="M142" s="59"/>
      <c r="N142" s="81"/>
      <c r="O142" s="81"/>
      <c r="P142" s="61"/>
      <c r="R142" s="131"/>
      <c r="S142" s="59"/>
      <c r="T142" s="59"/>
      <c r="U142" s="81"/>
      <c r="V142" s="81"/>
      <c r="W142" s="61"/>
      <c r="X142" s="207"/>
      <c r="Y142" s="196"/>
      <c r="Z142" s="197"/>
      <c r="AA142" s="198"/>
      <c r="AB142" s="199"/>
      <c r="AC142" s="199"/>
      <c r="AD142" s="195"/>
      <c r="AF142" s="196"/>
      <c r="AG142" s="197"/>
      <c r="AH142" s="198"/>
      <c r="AI142" s="199"/>
      <c r="AJ142" s="199"/>
      <c r="AK142" s="195"/>
      <c r="AL142" s="76"/>
      <c r="AM142" s="226"/>
      <c r="AN142" s="227"/>
      <c r="AO142" s="227"/>
      <c r="AP142" s="228"/>
      <c r="AQ142" s="229"/>
      <c r="AR142" s="230"/>
      <c r="AS142" s="231"/>
      <c r="AT142" s="232"/>
      <c r="AU142" s="227"/>
      <c r="AV142" s="227"/>
      <c r="AW142" s="228"/>
      <c r="AX142" s="229"/>
      <c r="AY142" s="176"/>
    </row>
    <row r="143" ht="22.5" customHeight="1">
      <c r="A143" s="59"/>
      <c r="B143" s="59"/>
      <c r="C143" s="81"/>
      <c r="D143" s="81"/>
      <c r="F143" s="59"/>
      <c r="G143" s="59"/>
      <c r="H143" s="81"/>
      <c r="I143" s="81"/>
      <c r="K143" s="131"/>
      <c r="L143" s="59"/>
      <c r="M143" s="59"/>
      <c r="N143" s="81"/>
      <c r="O143" s="81"/>
      <c r="P143" s="61"/>
      <c r="R143" s="131"/>
      <c r="S143" s="59"/>
      <c r="T143" s="59"/>
      <c r="U143" s="81"/>
      <c r="V143" s="81"/>
      <c r="W143" s="61"/>
      <c r="X143" s="207"/>
      <c r="Y143" s="196"/>
      <c r="Z143" s="197"/>
      <c r="AA143" s="198"/>
      <c r="AB143" s="199"/>
      <c r="AC143" s="199"/>
      <c r="AD143" s="195"/>
      <c r="AF143" s="196"/>
      <c r="AG143" s="197"/>
      <c r="AH143" s="198"/>
      <c r="AI143" s="199"/>
      <c r="AJ143" s="199"/>
      <c r="AK143" s="195"/>
      <c r="AL143" s="76"/>
      <c r="AM143" s="217"/>
      <c r="AN143" s="218"/>
      <c r="AO143" s="218"/>
      <c r="AP143" s="219"/>
      <c r="AQ143" s="220"/>
      <c r="AR143" s="221"/>
      <c r="AS143" s="222"/>
      <c r="AT143" s="233"/>
      <c r="AU143" s="218"/>
      <c r="AV143" s="218"/>
      <c r="AW143" s="219"/>
      <c r="AX143" s="220"/>
      <c r="AY143" s="171"/>
    </row>
    <row r="144" ht="22.5" customHeight="1">
      <c r="A144" s="59"/>
      <c r="B144" s="59"/>
      <c r="C144" s="81"/>
      <c r="D144" s="81"/>
      <c r="F144" s="59"/>
      <c r="G144" s="59"/>
      <c r="H144" s="81"/>
      <c r="I144" s="81"/>
      <c r="K144" s="131"/>
      <c r="L144" s="59"/>
      <c r="M144" s="59"/>
      <c r="N144" s="81"/>
      <c r="O144" s="81"/>
      <c r="P144" s="61"/>
      <c r="R144" s="131"/>
      <c r="S144" s="59"/>
      <c r="T144" s="59"/>
      <c r="U144" s="81"/>
      <c r="V144" s="81"/>
      <c r="W144" s="61"/>
      <c r="X144" s="207"/>
      <c r="Y144" s="196"/>
      <c r="Z144" s="197"/>
      <c r="AA144" s="198"/>
      <c r="AB144" s="199"/>
      <c r="AC144" s="199"/>
      <c r="AD144" s="195"/>
      <c r="AF144" s="196"/>
      <c r="AG144" s="197"/>
      <c r="AH144" s="198"/>
      <c r="AI144" s="199"/>
      <c r="AJ144" s="199"/>
      <c r="AK144" s="195"/>
      <c r="AL144" s="76"/>
      <c r="AM144" s="226"/>
      <c r="AN144" s="227"/>
      <c r="AO144" s="227"/>
      <c r="AP144" s="228"/>
      <c r="AQ144" s="229"/>
      <c r="AR144" s="230"/>
      <c r="AS144" s="231"/>
      <c r="AT144" s="232"/>
      <c r="AU144" s="227"/>
      <c r="AV144" s="227"/>
      <c r="AW144" s="228"/>
      <c r="AX144" s="229"/>
      <c r="AY144" s="176"/>
    </row>
    <row r="145" ht="22.5" customHeight="1">
      <c r="A145" s="59"/>
      <c r="B145" s="59"/>
      <c r="C145" s="81"/>
      <c r="D145" s="81"/>
      <c r="F145" s="59"/>
      <c r="G145" s="59"/>
      <c r="H145" s="81"/>
      <c r="I145" s="81"/>
      <c r="K145" s="131"/>
      <c r="L145" s="59"/>
      <c r="M145" s="59"/>
      <c r="N145" s="81"/>
      <c r="O145" s="81"/>
      <c r="P145" s="61"/>
      <c r="R145" s="131"/>
      <c r="S145" s="59"/>
      <c r="T145" s="59"/>
      <c r="U145" s="81"/>
      <c r="V145" s="81"/>
      <c r="W145" s="61"/>
      <c r="X145" s="207"/>
      <c r="Y145" s="196"/>
      <c r="Z145" s="197"/>
      <c r="AA145" s="198"/>
      <c r="AB145" s="199"/>
      <c r="AC145" s="199"/>
      <c r="AD145" s="195"/>
      <c r="AF145" s="196"/>
      <c r="AG145" s="197"/>
      <c r="AH145" s="198"/>
      <c r="AI145" s="199"/>
      <c r="AJ145" s="199"/>
      <c r="AK145" s="195"/>
      <c r="AL145" s="76"/>
      <c r="AM145" s="217"/>
      <c r="AN145" s="218"/>
      <c r="AO145" s="218"/>
      <c r="AP145" s="219"/>
      <c r="AQ145" s="220"/>
      <c r="AR145" s="221"/>
      <c r="AS145" s="222"/>
      <c r="AT145" s="233"/>
      <c r="AU145" s="218"/>
      <c r="AV145" s="218"/>
      <c r="AW145" s="219"/>
      <c r="AX145" s="220"/>
      <c r="AY145" s="171"/>
    </row>
    <row r="146" ht="22.5" customHeight="1">
      <c r="A146" s="59"/>
      <c r="B146" s="59"/>
      <c r="C146" s="81"/>
      <c r="D146" s="81"/>
      <c r="F146" s="59"/>
      <c r="G146" s="59"/>
      <c r="H146" s="81"/>
      <c r="I146" s="81"/>
      <c r="K146" s="131"/>
      <c r="L146" s="59"/>
      <c r="M146" s="59"/>
      <c r="N146" s="81"/>
      <c r="O146" s="81"/>
      <c r="P146" s="61"/>
      <c r="R146" s="131"/>
      <c r="S146" s="59"/>
      <c r="T146" s="59"/>
      <c r="U146" s="81"/>
      <c r="V146" s="81"/>
      <c r="W146" s="61"/>
      <c r="X146" s="207"/>
      <c r="Y146" s="196"/>
      <c r="Z146" s="197"/>
      <c r="AA146" s="198"/>
      <c r="AB146" s="199"/>
      <c r="AC146" s="199"/>
      <c r="AD146" s="195"/>
      <c r="AF146" s="196"/>
      <c r="AG146" s="197"/>
      <c r="AH146" s="198"/>
      <c r="AI146" s="199"/>
      <c r="AJ146" s="199"/>
      <c r="AK146" s="195"/>
      <c r="AL146" s="76"/>
      <c r="AM146" s="226"/>
      <c r="AN146" s="227"/>
      <c r="AO146" s="227"/>
      <c r="AP146" s="228"/>
      <c r="AQ146" s="229"/>
      <c r="AR146" s="230"/>
      <c r="AS146" s="231"/>
      <c r="AT146" s="232"/>
      <c r="AU146" s="227"/>
      <c r="AV146" s="227"/>
      <c r="AW146" s="228"/>
      <c r="AX146" s="229"/>
      <c r="AY146" s="176"/>
    </row>
    <row r="147" ht="22.5" customHeight="1">
      <c r="A147" s="59"/>
      <c r="B147" s="59"/>
      <c r="C147" s="81"/>
      <c r="D147" s="81"/>
      <c r="F147" s="59"/>
      <c r="G147" s="59"/>
      <c r="H147" s="81"/>
      <c r="I147" s="81"/>
      <c r="K147" s="131"/>
      <c r="L147" s="59"/>
      <c r="M147" s="59"/>
      <c r="N147" s="81"/>
      <c r="O147" s="81"/>
      <c r="P147" s="61"/>
      <c r="R147" s="131"/>
      <c r="S147" s="59"/>
      <c r="T147" s="59"/>
      <c r="U147" s="81"/>
      <c r="V147" s="81"/>
      <c r="W147" s="61"/>
      <c r="X147" s="207"/>
      <c r="Y147" s="196"/>
      <c r="Z147" s="197"/>
      <c r="AA147" s="198"/>
      <c r="AB147" s="199"/>
      <c r="AC147" s="199"/>
      <c r="AD147" s="195"/>
      <c r="AF147" s="196"/>
      <c r="AG147" s="197"/>
      <c r="AH147" s="198"/>
      <c r="AI147" s="199"/>
      <c r="AJ147" s="199"/>
      <c r="AK147" s="195"/>
      <c r="AL147" s="76"/>
      <c r="AM147" s="217"/>
      <c r="AN147" s="218"/>
      <c r="AO147" s="218"/>
      <c r="AP147" s="219"/>
      <c r="AQ147" s="220"/>
      <c r="AR147" s="221"/>
      <c r="AS147" s="222"/>
      <c r="AT147" s="233"/>
      <c r="AU147" s="218"/>
      <c r="AV147" s="218"/>
      <c r="AW147" s="219"/>
      <c r="AX147" s="220"/>
      <c r="AY147" s="171"/>
    </row>
    <row r="148" ht="22.5" customHeight="1">
      <c r="A148" s="59"/>
      <c r="B148" s="59"/>
      <c r="C148" s="81"/>
      <c r="D148" s="81"/>
      <c r="F148" s="59"/>
      <c r="G148" s="59"/>
      <c r="H148" s="81"/>
      <c r="I148" s="81"/>
      <c r="K148" s="131"/>
      <c r="L148" s="59"/>
      <c r="M148" s="59"/>
      <c r="N148" s="81"/>
      <c r="O148" s="81"/>
      <c r="P148" s="61"/>
      <c r="R148" s="131"/>
      <c r="S148" s="59"/>
      <c r="T148" s="59"/>
      <c r="U148" s="81"/>
      <c r="V148" s="81"/>
      <c r="W148" s="61"/>
      <c r="X148" s="207"/>
      <c r="Y148" s="196"/>
      <c r="Z148" s="197"/>
      <c r="AA148" s="198"/>
      <c r="AB148" s="199"/>
      <c r="AC148" s="199"/>
      <c r="AD148" s="195"/>
      <c r="AF148" s="196"/>
      <c r="AG148" s="197"/>
      <c r="AH148" s="198"/>
      <c r="AI148" s="199"/>
      <c r="AJ148" s="199"/>
      <c r="AK148" s="195"/>
      <c r="AL148" s="76"/>
      <c r="AM148" s="226"/>
      <c r="AN148" s="227"/>
      <c r="AO148" s="227"/>
      <c r="AP148" s="228"/>
      <c r="AQ148" s="229"/>
      <c r="AR148" s="230"/>
      <c r="AS148" s="231"/>
      <c r="AT148" s="232"/>
      <c r="AU148" s="227"/>
      <c r="AV148" s="227"/>
      <c r="AW148" s="228"/>
      <c r="AX148" s="229"/>
      <c r="AY148" s="176"/>
    </row>
    <row r="149" ht="22.5" customHeight="1">
      <c r="A149" s="59"/>
      <c r="B149" s="59"/>
      <c r="C149" s="81"/>
      <c r="D149" s="81"/>
      <c r="F149" s="59"/>
      <c r="G149" s="59"/>
      <c r="H149" s="81"/>
      <c r="I149" s="81"/>
      <c r="K149" s="131"/>
      <c r="L149" s="59"/>
      <c r="M149" s="59"/>
      <c r="N149" s="81"/>
      <c r="O149" s="81"/>
      <c r="P149" s="61"/>
      <c r="R149" s="131"/>
      <c r="S149" s="59"/>
      <c r="T149" s="59"/>
      <c r="U149" s="81"/>
      <c r="V149" s="81"/>
      <c r="W149" s="61"/>
      <c r="X149" s="207"/>
      <c r="Y149" s="196"/>
      <c r="Z149" s="197"/>
      <c r="AA149" s="198"/>
      <c r="AB149" s="199"/>
      <c r="AC149" s="199"/>
      <c r="AD149" s="195"/>
      <c r="AF149" s="196"/>
      <c r="AG149" s="197"/>
      <c r="AH149" s="198"/>
      <c r="AI149" s="199"/>
      <c r="AJ149" s="199"/>
      <c r="AK149" s="195"/>
      <c r="AL149" s="76"/>
      <c r="AM149" s="217"/>
      <c r="AN149" s="218"/>
      <c r="AO149" s="218"/>
      <c r="AP149" s="219"/>
      <c r="AQ149" s="220"/>
      <c r="AR149" s="221"/>
      <c r="AS149" s="222"/>
      <c r="AT149" s="233"/>
      <c r="AU149" s="218"/>
      <c r="AV149" s="218"/>
      <c r="AW149" s="219"/>
      <c r="AX149" s="220"/>
      <c r="AY149" s="171"/>
    </row>
    <row r="150" ht="22.5" customHeight="1">
      <c r="A150" s="59"/>
      <c r="B150" s="59"/>
      <c r="C150" s="81"/>
      <c r="D150" s="81"/>
      <c r="F150" s="59"/>
      <c r="G150" s="59"/>
      <c r="H150" s="81"/>
      <c r="I150" s="81"/>
      <c r="K150" s="131"/>
      <c r="L150" s="59"/>
      <c r="M150" s="59"/>
      <c r="N150" s="81"/>
      <c r="O150" s="81"/>
      <c r="P150" s="61"/>
      <c r="R150" s="131"/>
      <c r="S150" s="59"/>
      <c r="T150" s="59"/>
      <c r="U150" s="81"/>
      <c r="V150" s="81"/>
      <c r="W150" s="61"/>
      <c r="X150" s="207"/>
      <c r="Y150" s="196"/>
      <c r="Z150" s="197"/>
      <c r="AA150" s="198"/>
      <c r="AB150" s="199"/>
      <c r="AC150" s="199"/>
      <c r="AD150" s="195"/>
      <c r="AF150" s="196"/>
      <c r="AG150" s="197"/>
      <c r="AH150" s="198"/>
      <c r="AI150" s="199"/>
      <c r="AJ150" s="199"/>
      <c r="AK150" s="195"/>
      <c r="AL150" s="76"/>
      <c r="AM150" s="234"/>
      <c r="AN150" s="235"/>
      <c r="AO150" s="235"/>
      <c r="AP150" s="236"/>
      <c r="AQ150" s="237"/>
      <c r="AR150" s="238"/>
      <c r="AS150" s="239"/>
      <c r="AT150" s="240"/>
      <c r="AU150" s="241"/>
      <c r="AV150" s="241"/>
      <c r="AW150" s="242"/>
      <c r="AX150" s="243"/>
      <c r="AY150" s="244"/>
    </row>
  </sheetData>
  <dataValidations>
    <dataValidation type="list" allowBlank="1" sqref="AC2:AC150 AJ2:AJ150 AQ2:AQ150 D2:D150 AX2:AX150 V2:V150 O2:O150 I2:I150">
      <formula1>"Mariadelaida,Noel,Clara,Eduardo,Luis,Ximena,Daniela,Jesus"</formula1>
    </dataValidation>
    <dataValidation type="list" allowBlank="1" sqref="AP2:AP150">
      <formula1>"Mexico,Guatemala,Dominican Republic,Nicaragua,Colombia,Ecuador,Panama,Honduras,El Salvador,Costa Rica,Belice"</formula1>
    </dataValidation>
    <dataValidation type="list" allowBlank="1" sqref="AB2:AB150 C2:C150 N2:N150">
      <formula1>"Mexico,Guatemala,Domican Republic,Nicaragua,Colombia,Ecuador,Panama,Honduras,El Salvador,Costa Rica"</formula1>
    </dataValidation>
    <dataValidation type="custom" allowBlank="1" showDropDown="1" sqref="Y2:Y150 AF2:AF150 AM2:AM150 AT2:AT150 R2:R150 K2:K150">
      <formula1>OR(NOT(ISERROR(DATEVALUE(K2))), AND(ISNUMBER(K2), LEFT(CELL("format", K2))="D"))</formula1>
    </dataValidation>
    <dataValidation type="list" allowBlank="1" sqref="AI2:AI150 AW2:AW150 U2:U150 H2:H150">
      <formula1>"Argentina,Uruguay,Paraguay,Chile,Bolivia,Peru"</formula1>
    </dataValidation>
    <dataValidation allowBlank="1" showDropDown="1" sqref="AD2:AD150 AK2:AK150 AR2:AR150 AY2:AY150 W2:W150 P2:P150"/>
  </dataValidations>
  <drawing r:id="rId1"/>
  <tableParts count="8">
    <tablePart r:id="rId10"/>
    <tablePart r:id="rId11"/>
    <tablePart r:id="rId12"/>
    <tablePart r:id="rId13"/>
    <tablePart r:id="rId14"/>
    <tablePart r:id="rId15"/>
    <tablePart r:id="rId16"/>
    <tablePart r:id="rId1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245"/>
    </row>
    <row r="2" outlineLevel="1">
      <c r="A2" s="27" t="s">
        <v>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29" t="s">
        <v>33</v>
      </c>
      <c r="C18" s="10"/>
      <c r="D18" s="10"/>
      <c r="E18" s="30" t="s">
        <v>34</v>
      </c>
      <c r="F18" s="30" t="s">
        <v>35</v>
      </c>
      <c r="G18" s="10"/>
      <c r="H18" s="29" t="s">
        <v>33</v>
      </c>
      <c r="I18" s="10"/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40.0</v>
      </c>
      <c r="D19" s="10"/>
      <c r="E19" s="33">
        <f>SUMIF($E$4:$E$17,B19,$F$4:$F$17)</f>
        <v>55</v>
      </c>
      <c r="F19" s="246">
        <f t="shared" ref="F19:F21" si="1">C19-E19</f>
        <v>-15</v>
      </c>
      <c r="G19" s="10"/>
      <c r="H19" s="23" t="s">
        <v>951</v>
      </c>
      <c r="I19" s="36">
        <v>15.0</v>
      </c>
      <c r="J19" s="10"/>
      <c r="K19" s="33">
        <f>SUM(SUMIF($K$4:$K$17, "Argentina",$L$4:$L$17), SUMIF($K$4:$K$17, "Uruguay",$L$4:$L$17))</f>
        <v>29</v>
      </c>
      <c r="L19" s="33">
        <f t="shared" ref="L19:L23" si="2">I19-K19</f>
        <v>-14</v>
      </c>
    </row>
    <row r="20" outlineLevel="1">
      <c r="B20" s="19" t="s">
        <v>952</v>
      </c>
      <c r="C20" s="32">
        <v>30.0</v>
      </c>
      <c r="D20" s="10"/>
      <c r="E20" s="33">
        <f>SUM(SUMIF($E$4:$E$17,"Dominican Republic",$F$4:$F$17), SUMIF($E$4:$E$17,"Panama",$F$4:$F$17), SUMIF($E$4:$E$17,"Costa Rica",$F$4:$F$17))</f>
        <v>20</v>
      </c>
      <c r="F20" s="246">
        <f t="shared" si="1"/>
        <v>10</v>
      </c>
      <c r="G20" s="10"/>
      <c r="H20" s="22" t="s">
        <v>18</v>
      </c>
      <c r="I20" s="36">
        <v>20.0</v>
      </c>
      <c r="J20" s="10"/>
      <c r="K20" s="33">
        <f>SUMIF($K$4:$K$17, H20,$L$4:$L$17)</f>
        <v>12</v>
      </c>
      <c r="L20" s="33">
        <f t="shared" si="2"/>
        <v>8</v>
      </c>
    </row>
    <row r="21" outlineLevel="1">
      <c r="B21" s="19" t="s">
        <v>953</v>
      </c>
      <c r="C21" s="32">
        <v>20.0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17</v>
      </c>
      <c r="F21" s="246">
        <f t="shared" si="1"/>
        <v>3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24</v>
      </c>
      <c r="L21" s="33">
        <f t="shared" si="2"/>
        <v>-4</v>
      </c>
    </row>
    <row r="22" outlineLevel="1">
      <c r="D22" s="10"/>
      <c r="E22" s="37" t="s">
        <v>40</v>
      </c>
      <c r="F22" s="38">
        <f>sum(C19:C21)</f>
        <v>90</v>
      </c>
      <c r="G22" s="10"/>
      <c r="H22" s="22" t="s">
        <v>23</v>
      </c>
      <c r="I22" s="36">
        <v>20.0</v>
      </c>
      <c r="J22" s="10"/>
      <c r="K22" s="33">
        <f>SUMIF($K$4:$K$17, "Peru", $L$4:$L$17)</f>
        <v>18</v>
      </c>
      <c r="L22" s="33">
        <f t="shared" si="2"/>
        <v>2</v>
      </c>
    </row>
    <row r="23" outlineLevel="1">
      <c r="D23" s="10"/>
      <c r="E23" s="37" t="s">
        <v>41</v>
      </c>
      <c r="F23" s="38">
        <f>SUM(F19:F21)</f>
        <v>-2</v>
      </c>
      <c r="G23" s="10"/>
      <c r="H23" s="23" t="s">
        <v>955</v>
      </c>
      <c r="I23" s="36">
        <v>15.0</v>
      </c>
      <c r="J23" s="10"/>
      <c r="K23" s="33">
        <f>SUM(SUMIF($K$4:$K$17, "Bolivia",$L$4:$L$17), SUMIF($K$4:$K$17, "Paraguay",$L$4:$L$17))</f>
        <v>10</v>
      </c>
      <c r="L23" s="33">
        <f t="shared" si="2"/>
        <v>5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90</v>
      </c>
    </row>
    <row r="25" outlineLevel="1">
      <c r="G25" s="10"/>
      <c r="J25" s="10"/>
      <c r="K25" s="37" t="s">
        <v>41</v>
      </c>
      <c r="L25" s="38">
        <f>SUM(L19:L23)</f>
        <v>-3</v>
      </c>
    </row>
    <row r="26" outlineLevel="1">
      <c r="G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249"/>
    </row>
    <row r="38" outlineLevel="1">
      <c r="A38" s="8" t="s">
        <v>8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10"/>
      <c r="D54" s="10"/>
      <c r="E54" s="30" t="s">
        <v>34</v>
      </c>
      <c r="F54" s="30" t="s">
        <v>35</v>
      </c>
      <c r="G54" s="10"/>
      <c r="H54" s="29" t="s">
        <v>33</v>
      </c>
      <c r="I54" s="10"/>
      <c r="J54" s="10"/>
      <c r="K54" s="30" t="s">
        <v>34</v>
      </c>
      <c r="L54" s="30" t="s">
        <v>35</v>
      </c>
      <c r="N54" s="250" t="s">
        <v>960</v>
      </c>
    </row>
    <row r="55" outlineLevel="1">
      <c r="B55" s="31" t="s">
        <v>22</v>
      </c>
      <c r="C55" s="32">
        <v>40.0</v>
      </c>
      <c r="D55" s="10"/>
      <c r="E55" s="33">
        <f>SUMIF($E$40:$E$53,"Mexico",$F$40:$F$53)</f>
        <v>48</v>
      </c>
      <c r="F55" s="246">
        <f t="shared" ref="F55:F57" si="3">C55-E55</f>
        <v>-8</v>
      </c>
      <c r="G55" s="10"/>
      <c r="H55" s="23" t="s">
        <v>951</v>
      </c>
      <c r="I55" s="36">
        <v>15.0</v>
      </c>
      <c r="J55" s="10"/>
      <c r="K55" s="33">
        <f>SUM(SUMIF($K$40:$K$53, "Argentina",$L$40:$L$53), SUMIF($K$40:$K$53, "Uruguay",$L$40:$L$53))</f>
        <v>28</v>
      </c>
      <c r="L55" s="33">
        <f t="shared" ref="L55:L59" si="4">I55-K55</f>
        <v>-13</v>
      </c>
      <c r="N55" s="251" t="s">
        <v>22</v>
      </c>
      <c r="O55" s="252">
        <f>SUM(SUMIF($E$62:$E$70, "Mexico",$F$62:$F$70))</f>
        <v>47</v>
      </c>
    </row>
    <row r="56" outlineLevel="1">
      <c r="B56" s="19" t="s">
        <v>952</v>
      </c>
      <c r="C56" s="32">
        <v>30.0</v>
      </c>
      <c r="D56" s="10"/>
      <c r="E56" s="33">
        <f>SUM(SUMIF($E$40:$E$53,"Dominican Republic",$F$40:$F$53), SUMIF($E$40:$E$53,"Panama",$F$40:$F$53), SUMIF($E$40:$E$53,"Costa Rica",$F$40:$F$53))</f>
        <v>22</v>
      </c>
      <c r="F56" s="246">
        <f t="shared" si="3"/>
        <v>8</v>
      </c>
      <c r="G56" s="10"/>
      <c r="H56" s="22" t="s">
        <v>18</v>
      </c>
      <c r="I56" s="36">
        <v>20.0</v>
      </c>
      <c r="J56" s="10"/>
      <c r="K56" s="33">
        <f>SUM(SUMIF($K$40:$K$53, "Chile",$L$40:$L$53))</f>
        <v>20</v>
      </c>
      <c r="L56" s="33">
        <f t="shared" si="4"/>
        <v>0</v>
      </c>
      <c r="N56" s="251" t="s">
        <v>952</v>
      </c>
      <c r="O56" s="252">
        <f>SUM(SUMIF($E$62:$E$70, "Dominican Republic",$F$62:$F$70), SUMIF($E$62:$E$70, "Panama",$F$62:$F$70), SUMIF($E$62:$E$70, "Costa Rica",$F$62:$F$70))</f>
        <v>21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22</v>
      </c>
      <c r="F57" s="246">
        <f t="shared" si="3"/>
        <v>-2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28</v>
      </c>
      <c r="L57" s="33">
        <f t="shared" si="4"/>
        <v>-8</v>
      </c>
      <c r="N57" s="251" t="s">
        <v>953</v>
      </c>
      <c r="O57" s="252">
        <f>SUM(SUMIF($E$62:$E$70, "Nicaragua",$F$62:$F$70), SUMIF($E$62:$E$70, "Guatemala",$F$62:$F$70), SUMIF($E$62:$E$70, "El Salvador",$F$62:$F$70), SUMIF($E$62:$E$70, "Belize",$F$62:$F$70), SUMIF($E$62:$E$70, "Honduras",$F$62:$F$70))</f>
        <v>22</v>
      </c>
    </row>
    <row r="58" outlineLevel="1">
      <c r="D58" s="10"/>
      <c r="E58" s="37" t="s">
        <v>40</v>
      </c>
      <c r="F58" s="38">
        <f>sum(C55:C57)</f>
        <v>90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12</v>
      </c>
      <c r="L58" s="33">
        <f t="shared" si="4"/>
        <v>8</v>
      </c>
      <c r="O58" s="253">
        <f>SUM(O55:O57)</f>
        <v>90</v>
      </c>
    </row>
    <row r="59" outlineLevel="1">
      <c r="D59" s="10"/>
      <c r="E59" s="37" t="s">
        <v>41</v>
      </c>
      <c r="F59" s="38">
        <f>SUM(F55:F57)</f>
        <v>-2</v>
      </c>
      <c r="G59" s="10"/>
      <c r="H59" s="23" t="s">
        <v>955</v>
      </c>
      <c r="I59" s="36">
        <v>15.0</v>
      </c>
      <c r="J59" s="10"/>
      <c r="K59" s="33">
        <f>SUM(SUMIF($K$40:$K$53, "Bolivia",$L$40:$L$53), SUMIF($K$40:$K$53, "Paraguay",$L$40:$L$53))</f>
        <v>4</v>
      </c>
      <c r="L59" s="33">
        <f t="shared" si="4"/>
        <v>11</v>
      </c>
      <c r="N59" s="250" t="s">
        <v>961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90</v>
      </c>
      <c r="N60" s="23" t="s">
        <v>951</v>
      </c>
      <c r="O60" s="252">
        <f>SUM(SUMIF($H$62:$H$71, "Argentina",$I$62:$I$71), SUMIF($H$62:$H$71, "Uruguay",$I$62:$I$71))</f>
        <v>28</v>
      </c>
    </row>
    <row r="61" outlineLevel="1">
      <c r="G61" s="10"/>
      <c r="J61" s="10"/>
      <c r="K61" s="37" t="s">
        <v>41</v>
      </c>
      <c r="L61" s="38">
        <f>SUM(L55:L59)</f>
        <v>-2</v>
      </c>
      <c r="N61" s="22" t="s">
        <v>18</v>
      </c>
      <c r="O61" s="252">
        <f>SUM(SUMIF($H$62:$H$71, "Chile",$I$62:$I$71))</f>
        <v>19</v>
      </c>
    </row>
    <row r="62" outlineLevel="1">
      <c r="G62" s="10"/>
      <c r="J62" s="10"/>
      <c r="N62" s="23" t="s">
        <v>954</v>
      </c>
      <c r="O62" s="252">
        <f>SUM(SUMIF($H$62:$H$71, "Ecuador",$I$62:$I$71), SUMIF($H$62:$H$71, "Colombia",$I$62:$I$71))</f>
        <v>28</v>
      </c>
    </row>
    <row r="63" outlineLevel="1">
      <c r="G63" s="10"/>
      <c r="N63" s="22" t="s">
        <v>23</v>
      </c>
      <c r="O63" s="252">
        <f>SUM(SUMIF($H$62:$H$71, "Peru",$I$62:$I$71))</f>
        <v>11</v>
      </c>
    </row>
    <row r="64" outlineLevel="1">
      <c r="G64" s="10"/>
      <c r="N64" s="23" t="s">
        <v>955</v>
      </c>
      <c r="O64" s="252">
        <f>SUM(SUMIF($H$62:$H$71, "Bolivia",$I$62:$I$71), SUMIF($H$62:$H$71, "Paraguayy",$I$62:$I$71))</f>
        <v>4</v>
      </c>
    </row>
    <row r="65" outlineLevel="1">
      <c r="G65" s="10"/>
      <c r="O65" s="253">
        <f>SUM(O60:O64)</f>
        <v>90</v>
      </c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254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255" t="s">
        <v>26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10"/>
      <c r="D90" s="10"/>
      <c r="E90" s="30" t="s">
        <v>34</v>
      </c>
      <c r="F90" s="30" t="s">
        <v>35</v>
      </c>
      <c r="G90" s="10"/>
      <c r="H90" s="29" t="s">
        <v>33</v>
      </c>
      <c r="I90" s="10"/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50.0</v>
      </c>
      <c r="D91" s="10"/>
      <c r="E91" s="33">
        <f>SUMIF($E$76:$E$89,"Mexico",$F$76:$F$89)</f>
        <v>50</v>
      </c>
      <c r="F91" s="246">
        <f t="shared" ref="F91:F93" si="5">C91-E91</f>
        <v>0</v>
      </c>
      <c r="G91" s="10"/>
      <c r="H91" s="23" t="s">
        <v>951</v>
      </c>
      <c r="I91" s="36">
        <v>15.0</v>
      </c>
      <c r="J91" s="10"/>
      <c r="K91" s="33">
        <f>SUM(SUMIF($K$76:$K$89, "Argentina",$L$76:$L$89), SUMIF($K$76:$K$89, "Uruguay",$L$76:$L$89))</f>
        <v>17</v>
      </c>
      <c r="L91" s="33">
        <f t="shared" ref="L91:L95" si="6">I91-K91</f>
        <v>-2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40</v>
      </c>
      <c r="F92" s="246">
        <f t="shared" si="5"/>
        <v>0</v>
      </c>
      <c r="G92" s="10"/>
      <c r="H92" s="22" t="s">
        <v>18</v>
      </c>
      <c r="I92" s="36">
        <v>15.0</v>
      </c>
      <c r="J92" s="10"/>
      <c r="K92" s="33">
        <f>SUM(SUMIF($K$76:$K$89, "Chile",$L$76:$L$89))</f>
        <v>21</v>
      </c>
      <c r="L92" s="33">
        <f t="shared" si="6"/>
        <v>-6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40</v>
      </c>
      <c r="F93" s="246">
        <f t="shared" si="5"/>
        <v>0</v>
      </c>
      <c r="G93" s="10"/>
      <c r="H93" s="23" t="s">
        <v>954</v>
      </c>
      <c r="I93" s="36">
        <v>30.0</v>
      </c>
      <c r="J93" s="10"/>
      <c r="K93" s="33">
        <f>SUM(SUMIF($K$76:$K$89, "Ecuador",$L$76:$L$89), SUMIF($K$76:$K$89, "Colombia",$L$76:$L$89))</f>
        <v>31</v>
      </c>
      <c r="L93" s="33">
        <f t="shared" si="6"/>
        <v>-1</v>
      </c>
    </row>
    <row r="94" outlineLevel="1">
      <c r="D94" s="10"/>
      <c r="E94" s="37" t="s">
        <v>40</v>
      </c>
      <c r="F94" s="38">
        <f>sum(C91:C93)</f>
        <v>130</v>
      </c>
      <c r="G94" s="10"/>
      <c r="H94" s="22" t="s">
        <v>23</v>
      </c>
      <c r="I94" s="36">
        <v>10.0</v>
      </c>
      <c r="J94" s="10"/>
      <c r="K94" s="33">
        <f>SUM(SUMIF($K$76:$K$89, "Peru",$L$76:$L$89))</f>
        <v>0</v>
      </c>
      <c r="L94" s="33">
        <f t="shared" si="6"/>
        <v>10</v>
      </c>
    </row>
    <row r="95" outlineLevel="1">
      <c r="D95" s="10"/>
      <c r="E95" s="37" t="s">
        <v>41</v>
      </c>
      <c r="F95" s="38">
        <f>SUM(F91:F93)</f>
        <v>0</v>
      </c>
      <c r="G95" s="10"/>
      <c r="H95" s="23" t="s">
        <v>955</v>
      </c>
      <c r="I95" s="36">
        <v>20.0</v>
      </c>
      <c r="J95" s="10"/>
      <c r="K95" s="33">
        <f>SUM(SUMIF($K$76:$K$89, "Bolivia",$L$76:$L$89), SUMIF($K$76:$K$89, "Paraguay",$L$76:$L$89))</f>
        <v>4</v>
      </c>
      <c r="L95" s="33">
        <f t="shared" si="6"/>
        <v>16</v>
      </c>
    </row>
    <row r="96" outlineLevel="1">
      <c r="D96" s="10"/>
      <c r="G96" s="10"/>
      <c r="H96" s="10"/>
      <c r="I96" s="10"/>
      <c r="J96" s="10"/>
      <c r="K96" s="37" t="s">
        <v>40</v>
      </c>
      <c r="L96" s="247">
        <f>sum(I91:I95)</f>
        <v>90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17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245"/>
    </row>
    <row r="110" outlineLevel="1">
      <c r="A110" s="256" t="s">
        <v>42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10"/>
      <c r="D126" s="10"/>
      <c r="E126" s="30" t="s">
        <v>34</v>
      </c>
      <c r="F126" s="30" t="s">
        <v>35</v>
      </c>
      <c r="G126" s="10"/>
      <c r="H126" s="29" t="s">
        <v>33</v>
      </c>
      <c r="I126" s="10"/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59</v>
      </c>
      <c r="F127" s="246">
        <f t="shared" ref="F127:F129" si="7">C127-E127</f>
        <v>-19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30.0</v>
      </c>
      <c r="D128" s="10"/>
      <c r="E128" s="33">
        <f>SUM(SUMIF($E$112:$E$125,"Dominican Republic",$F$112:$F$125), SUMIF($E$112:$E$125,"Panama",$F$112:$F$125), SUMIF($E$112:$E$125,"Costa Rica",$F$112:$F$125))</f>
        <v>14</v>
      </c>
      <c r="F128" s="246">
        <f t="shared" si="7"/>
        <v>16</v>
      </c>
      <c r="G128" s="10"/>
      <c r="H128" s="22" t="s">
        <v>18</v>
      </c>
      <c r="I128" s="36">
        <v>20.0</v>
      </c>
      <c r="J128" s="10"/>
      <c r="K128" s="33">
        <f>SUM(SUMIF($K$112:$K$125, "Chile",$L$112:$L$125))</f>
        <v>0</v>
      </c>
      <c r="L128" s="33">
        <f t="shared" si="8"/>
        <v>20</v>
      </c>
    </row>
    <row r="129" outlineLevel="1">
      <c r="B129" s="19" t="s">
        <v>953</v>
      </c>
      <c r="C129" s="32">
        <v>30.0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21</v>
      </c>
      <c r="F129" s="246">
        <f t="shared" si="7"/>
        <v>9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100</v>
      </c>
      <c r="G130" s="10"/>
      <c r="H130" s="22" t="s">
        <v>23</v>
      </c>
      <c r="I130" s="36">
        <v>10.0</v>
      </c>
      <c r="J130" s="10"/>
      <c r="K130" s="33">
        <f>SUM(SUMIF($K$112:$K$125, "Peru",$L$112:$L$125))</f>
        <v>0</v>
      </c>
      <c r="L130" s="33">
        <f t="shared" si="8"/>
        <v>10</v>
      </c>
    </row>
    <row r="131" outlineLevel="1">
      <c r="D131" s="10"/>
      <c r="E131" s="37" t="s">
        <v>41</v>
      </c>
      <c r="F131" s="38">
        <f>SUM(F127:F129)</f>
        <v>6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110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110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</sheetData>
  <mergeCells count="17">
    <mergeCell ref="H38:L38"/>
    <mergeCell ref="N54:O54"/>
    <mergeCell ref="A74:A108"/>
    <mergeCell ref="B74:F74"/>
    <mergeCell ref="H74:L74"/>
    <mergeCell ref="A110:A144"/>
    <mergeCell ref="B110:F110"/>
    <mergeCell ref="H110:L110"/>
    <mergeCell ref="N59:O59"/>
    <mergeCell ref="A109:AE109"/>
    <mergeCell ref="A1:AE1"/>
    <mergeCell ref="A2:A36"/>
    <mergeCell ref="B2:F2"/>
    <mergeCell ref="H2:L2"/>
    <mergeCell ref="A37:AE37"/>
    <mergeCell ref="A38:A72"/>
    <mergeCell ref="B38:F38"/>
  </mergeCells>
  <drawing r:id="rId2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8" width="22.63" outlineLevel="1"/>
    <col customWidth="1" min="9" max="9" width="9.63" outlineLevel="1"/>
    <col customWidth="1" min="10" max="16" width="22.63" outlineLevel="1"/>
    <col customWidth="1" min="17" max="17" width="5.5"/>
    <col customWidth="1" min="18" max="24" width="22.63" outlineLevel="1"/>
    <col customWidth="1" min="25" max="25" width="9.63" outlineLevel="1"/>
    <col customWidth="1" min="26" max="32" width="22.63" outlineLevel="1"/>
    <col customWidth="1" min="33" max="33" width="10.75"/>
    <col customWidth="1" min="34" max="40" width="22.63" outlineLevel="1"/>
    <col customWidth="1" min="41" max="41" width="9.63" outlineLevel="1"/>
    <col customWidth="1" min="42" max="48" width="22.63" outlineLevel="1"/>
    <col customWidth="1" min="49" max="49" width="20.2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257"/>
      <c r="B1" s="48" t="s">
        <v>50</v>
      </c>
      <c r="C1" s="48" t="s">
        <v>48</v>
      </c>
      <c r="D1" s="48" t="s">
        <v>49</v>
      </c>
      <c r="E1" s="48" t="s">
        <v>5</v>
      </c>
      <c r="F1" s="48" t="s">
        <v>3</v>
      </c>
      <c r="G1" s="48" t="s">
        <v>51</v>
      </c>
      <c r="H1" s="48" t="s">
        <v>962</v>
      </c>
      <c r="I1" s="258"/>
      <c r="J1" s="48" t="s">
        <v>50</v>
      </c>
      <c r="K1" s="48" t="s">
        <v>48</v>
      </c>
      <c r="L1" s="48" t="s">
        <v>49</v>
      </c>
      <c r="M1" s="48" t="s">
        <v>5</v>
      </c>
      <c r="N1" s="48" t="s">
        <v>3</v>
      </c>
      <c r="O1" s="48" t="s">
        <v>51</v>
      </c>
      <c r="P1" s="48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263"/>
      <c r="B2" s="264">
        <v>46111.0</v>
      </c>
      <c r="C2" s="265" t="s">
        <v>963</v>
      </c>
      <c r="D2" s="265" t="s">
        <v>964</v>
      </c>
      <c r="E2" s="266" t="s">
        <v>44</v>
      </c>
      <c r="F2" s="267" t="s">
        <v>12</v>
      </c>
      <c r="G2" s="268"/>
      <c r="H2" s="269" t="b">
        <v>1</v>
      </c>
      <c r="I2" s="258"/>
      <c r="J2" s="270">
        <v>46108.0</v>
      </c>
      <c r="K2" s="109" t="s">
        <v>875</v>
      </c>
      <c r="L2" s="109" t="s">
        <v>876</v>
      </c>
      <c r="M2" s="271" t="s">
        <v>11</v>
      </c>
      <c r="N2" s="271" t="s">
        <v>20</v>
      </c>
      <c r="O2" s="61"/>
      <c r="P2" s="269" t="b">
        <v>1</v>
      </c>
      <c r="Q2" s="258"/>
      <c r="R2" s="272">
        <v>46119.0</v>
      </c>
      <c r="S2" s="273" t="s">
        <v>965</v>
      </c>
      <c r="T2" s="273" t="s">
        <v>966</v>
      </c>
      <c r="U2" s="274" t="s">
        <v>22</v>
      </c>
      <c r="V2" s="275" t="s">
        <v>9</v>
      </c>
      <c r="W2" s="230"/>
      <c r="X2" s="269" t="b">
        <v>1</v>
      </c>
      <c r="Y2" s="258"/>
      <c r="Z2" s="270">
        <v>46119.0</v>
      </c>
      <c r="AA2" s="109" t="s">
        <v>967</v>
      </c>
      <c r="AB2" s="109" t="s">
        <v>968</v>
      </c>
      <c r="AC2" s="271" t="s">
        <v>18</v>
      </c>
      <c r="AD2" s="58" t="s">
        <v>958</v>
      </c>
      <c r="AE2" s="61"/>
      <c r="AF2" s="269" t="b">
        <v>1</v>
      </c>
      <c r="AH2" s="276">
        <v>46127.0</v>
      </c>
      <c r="AI2" s="277" t="s">
        <v>969</v>
      </c>
      <c r="AJ2" s="277" t="s">
        <v>970</v>
      </c>
      <c r="AK2" s="278" t="s">
        <v>22</v>
      </c>
      <c r="AL2" s="279" t="s">
        <v>958</v>
      </c>
      <c r="AM2" s="280"/>
      <c r="AN2" s="281" t="b">
        <v>1</v>
      </c>
      <c r="AO2" s="258"/>
      <c r="AP2" s="282">
        <v>46125.0</v>
      </c>
      <c r="AQ2" s="283" t="s">
        <v>971</v>
      </c>
      <c r="AR2" s="284" t="s">
        <v>972</v>
      </c>
      <c r="AS2" s="285" t="s">
        <v>11</v>
      </c>
      <c r="AT2" s="285" t="s">
        <v>20</v>
      </c>
      <c r="AU2" s="283"/>
      <c r="AV2" s="286" t="b">
        <v>1</v>
      </c>
      <c r="AW2" s="258"/>
      <c r="AX2" s="276">
        <v>46133.0</v>
      </c>
      <c r="AY2" s="287" t="s">
        <v>973</v>
      </c>
      <c r="AZ2" s="277" t="s">
        <v>974</v>
      </c>
      <c r="BA2" s="288" t="s">
        <v>22</v>
      </c>
      <c r="BB2" s="289" t="s">
        <v>20</v>
      </c>
      <c r="BC2" s="290"/>
      <c r="BD2" s="281" t="b">
        <v>1</v>
      </c>
      <c r="BE2" s="258"/>
      <c r="BF2" s="194"/>
      <c r="BG2" s="61"/>
      <c r="BH2" s="61"/>
      <c r="BI2" s="81"/>
      <c r="BJ2" s="81"/>
      <c r="BK2" s="61"/>
      <c r="BL2" s="291"/>
    </row>
    <row r="3" ht="22.5" customHeight="1">
      <c r="A3" s="263"/>
      <c r="B3" s="292">
        <v>46111.0</v>
      </c>
      <c r="C3" s="215" t="s">
        <v>975</v>
      </c>
      <c r="D3" s="215" t="s">
        <v>976</v>
      </c>
      <c r="E3" s="293" t="s">
        <v>44</v>
      </c>
      <c r="F3" s="216" t="s">
        <v>12</v>
      </c>
      <c r="G3" s="230"/>
      <c r="H3" s="269" t="b">
        <v>1</v>
      </c>
      <c r="I3" s="258"/>
      <c r="J3" s="270">
        <v>46108.0</v>
      </c>
      <c r="K3" s="109" t="s">
        <v>883</v>
      </c>
      <c r="L3" s="109" t="s">
        <v>884</v>
      </c>
      <c r="M3" s="271" t="s">
        <v>11</v>
      </c>
      <c r="N3" s="271" t="s">
        <v>20</v>
      </c>
      <c r="O3" s="109" t="s">
        <v>977</v>
      </c>
      <c r="P3" s="269" t="b">
        <v>1</v>
      </c>
      <c r="Q3" s="258"/>
      <c r="R3" s="272">
        <v>46119.0</v>
      </c>
      <c r="S3" s="294" t="s">
        <v>978</v>
      </c>
      <c r="T3" s="294" t="s">
        <v>979</v>
      </c>
      <c r="U3" s="295" t="s">
        <v>22</v>
      </c>
      <c r="V3" s="296" t="s">
        <v>9</v>
      </c>
      <c r="W3" s="61"/>
      <c r="X3" s="269" t="b">
        <v>1</v>
      </c>
      <c r="Y3" s="258"/>
      <c r="Z3" s="270">
        <v>46119.0</v>
      </c>
      <c r="AA3" s="109" t="s">
        <v>980</v>
      </c>
      <c r="AB3" s="297" t="s">
        <v>981</v>
      </c>
      <c r="AC3" s="271"/>
      <c r="AD3" s="58" t="s">
        <v>958</v>
      </c>
      <c r="AE3" s="109" t="s">
        <v>982</v>
      </c>
      <c r="AF3" s="298"/>
      <c r="AH3" s="276">
        <v>46127.0</v>
      </c>
      <c r="AI3" s="287" t="s">
        <v>983</v>
      </c>
      <c r="AJ3" s="277" t="s">
        <v>984</v>
      </c>
      <c r="AK3" s="288" t="s">
        <v>22</v>
      </c>
      <c r="AL3" s="289" t="s">
        <v>958</v>
      </c>
      <c r="AM3" s="290"/>
      <c r="AN3" s="281" t="b">
        <v>1</v>
      </c>
      <c r="AO3" s="258"/>
      <c r="AP3" s="282">
        <v>46125.0</v>
      </c>
      <c r="AQ3" s="283" t="s">
        <v>985</v>
      </c>
      <c r="AR3" s="283" t="s">
        <v>986</v>
      </c>
      <c r="AS3" s="299" t="s">
        <v>11</v>
      </c>
      <c r="AT3" s="285" t="s">
        <v>20</v>
      </c>
      <c r="AU3" s="300"/>
      <c r="AV3" s="286" t="b">
        <v>1</v>
      </c>
      <c r="AW3" s="258"/>
      <c r="AX3" s="301">
        <v>46133.0</v>
      </c>
      <c r="AY3" s="302" t="s">
        <v>987</v>
      </c>
      <c r="AZ3" s="277" t="s">
        <v>988</v>
      </c>
      <c r="BA3" s="303" t="s">
        <v>22</v>
      </c>
      <c r="BB3" s="304" t="s">
        <v>20</v>
      </c>
      <c r="BC3" s="290"/>
      <c r="BD3" s="281" t="b">
        <v>1</v>
      </c>
      <c r="BE3" s="258"/>
      <c r="BF3" s="282"/>
      <c r="BG3" s="283"/>
      <c r="BH3" s="283"/>
      <c r="BI3" s="299"/>
      <c r="BJ3" s="285"/>
      <c r="BK3" s="300"/>
      <c r="BL3" s="286"/>
    </row>
    <row r="4" ht="22.5" customHeight="1">
      <c r="A4" s="263"/>
      <c r="B4" s="305">
        <v>46111.0</v>
      </c>
      <c r="C4" s="306" t="s">
        <v>989</v>
      </c>
      <c r="D4" s="306" t="s">
        <v>990</v>
      </c>
      <c r="E4" s="307" t="s">
        <v>22</v>
      </c>
      <c r="F4" s="308" t="s">
        <v>12</v>
      </c>
      <c r="G4" s="306" t="s">
        <v>991</v>
      </c>
      <c r="H4" s="309" t="b">
        <v>0</v>
      </c>
      <c r="I4" s="258"/>
      <c r="J4" s="270">
        <v>46108.0</v>
      </c>
      <c r="K4" s="109" t="s">
        <v>891</v>
      </c>
      <c r="L4" s="109" t="s">
        <v>892</v>
      </c>
      <c r="M4" s="271" t="s">
        <v>11</v>
      </c>
      <c r="N4" s="271" t="s">
        <v>20</v>
      </c>
      <c r="O4" s="61"/>
      <c r="P4" s="269" t="b">
        <v>1</v>
      </c>
      <c r="Q4" s="258"/>
      <c r="R4" s="292">
        <v>46119.0</v>
      </c>
      <c r="S4" s="109" t="s">
        <v>992</v>
      </c>
      <c r="T4" s="109" t="s">
        <v>993</v>
      </c>
      <c r="U4" s="58" t="s">
        <v>22</v>
      </c>
      <c r="V4" s="271" t="s">
        <v>958</v>
      </c>
      <c r="W4" s="61"/>
      <c r="X4" s="269" t="b">
        <v>1</v>
      </c>
      <c r="Y4" s="258"/>
      <c r="Z4" s="270">
        <v>46118.0</v>
      </c>
      <c r="AA4" s="109" t="s">
        <v>994</v>
      </c>
      <c r="AB4" s="109" t="s">
        <v>995</v>
      </c>
      <c r="AC4" s="271" t="s">
        <v>11</v>
      </c>
      <c r="AD4" s="58" t="s">
        <v>958</v>
      </c>
      <c r="AE4" s="61"/>
      <c r="AF4" s="269" t="b">
        <v>1</v>
      </c>
      <c r="AH4" s="301">
        <v>46127.0</v>
      </c>
      <c r="AI4" s="302" t="s">
        <v>996</v>
      </c>
      <c r="AJ4" s="277" t="s">
        <v>997</v>
      </c>
      <c r="AK4" s="303" t="s">
        <v>22</v>
      </c>
      <c r="AL4" s="304" t="s">
        <v>958</v>
      </c>
      <c r="AM4" s="290"/>
      <c r="AN4" s="281" t="b">
        <v>1</v>
      </c>
      <c r="AO4" s="258"/>
      <c r="AP4" s="282">
        <v>46125.0</v>
      </c>
      <c r="AQ4" s="283" t="s">
        <v>998</v>
      </c>
      <c r="AR4" s="283" t="s">
        <v>999</v>
      </c>
      <c r="AS4" s="285" t="s">
        <v>11</v>
      </c>
      <c r="AT4" s="285" t="s">
        <v>20</v>
      </c>
      <c r="AU4" s="283"/>
      <c r="AV4" s="286" t="b">
        <v>1</v>
      </c>
      <c r="AW4" s="258"/>
      <c r="AX4" s="301">
        <v>46133.0</v>
      </c>
      <c r="AY4" s="302" t="s">
        <v>1000</v>
      </c>
      <c r="AZ4" s="277" t="s">
        <v>1001</v>
      </c>
      <c r="BA4" s="303" t="s">
        <v>22</v>
      </c>
      <c r="BB4" s="304" t="s">
        <v>20</v>
      </c>
      <c r="BC4" s="290"/>
      <c r="BD4" s="281" t="b">
        <v>1</v>
      </c>
      <c r="BE4" s="258"/>
      <c r="BF4" s="282"/>
      <c r="BG4" s="283"/>
      <c r="BH4" s="283"/>
      <c r="BI4" s="285"/>
      <c r="BJ4" s="285"/>
      <c r="BK4" s="283"/>
      <c r="BL4" s="286"/>
    </row>
    <row r="5" ht="22.5" customHeight="1">
      <c r="A5" s="263"/>
      <c r="B5" s="292">
        <v>46111.0</v>
      </c>
      <c r="C5" s="61" t="s">
        <v>1002</v>
      </c>
      <c r="D5" s="61" t="s">
        <v>1003</v>
      </c>
      <c r="E5" s="81" t="s">
        <v>44</v>
      </c>
      <c r="F5" s="310" t="s">
        <v>9</v>
      </c>
      <c r="G5" s="61"/>
      <c r="H5" s="269" t="b">
        <v>1</v>
      </c>
      <c r="I5" s="258"/>
      <c r="J5" s="270">
        <v>46108.0</v>
      </c>
      <c r="K5" s="109" t="s">
        <v>899</v>
      </c>
      <c r="L5" s="109" t="s">
        <v>900</v>
      </c>
      <c r="M5" s="271" t="s">
        <v>11</v>
      </c>
      <c r="N5" s="271" t="s">
        <v>20</v>
      </c>
      <c r="O5" s="61"/>
      <c r="P5" s="269" t="b">
        <v>1</v>
      </c>
      <c r="Q5" s="258"/>
      <c r="R5" s="292">
        <v>46119.0</v>
      </c>
      <c r="S5" s="109" t="s">
        <v>1004</v>
      </c>
      <c r="T5" s="297" t="s">
        <v>1005</v>
      </c>
      <c r="U5" s="58" t="s">
        <v>22</v>
      </c>
      <c r="V5" s="271" t="s">
        <v>958</v>
      </c>
      <c r="W5" s="61"/>
      <c r="X5" s="269" t="b">
        <v>1</v>
      </c>
      <c r="Y5" s="258"/>
      <c r="Z5" s="270">
        <v>46118.0</v>
      </c>
      <c r="AA5" s="109" t="s">
        <v>1006</v>
      </c>
      <c r="AB5" s="109" t="s">
        <v>1007</v>
      </c>
      <c r="AC5" s="271"/>
      <c r="AD5" s="58" t="s">
        <v>958</v>
      </c>
      <c r="AE5" s="109" t="s">
        <v>982</v>
      </c>
      <c r="AF5" s="298"/>
      <c r="AH5" s="301">
        <v>46127.0</v>
      </c>
      <c r="AI5" s="302" t="s">
        <v>1008</v>
      </c>
      <c r="AJ5" s="277" t="s">
        <v>1009</v>
      </c>
      <c r="AK5" s="303" t="s">
        <v>24</v>
      </c>
      <c r="AL5" s="304" t="s">
        <v>12</v>
      </c>
      <c r="AM5" s="290"/>
      <c r="AN5" s="281" t="b">
        <v>1</v>
      </c>
      <c r="AO5" s="258"/>
      <c r="AP5" s="282">
        <v>46125.0</v>
      </c>
      <c r="AQ5" s="311" t="s">
        <v>1010</v>
      </c>
      <c r="AR5" s="283" t="s">
        <v>1011</v>
      </c>
      <c r="AS5" s="285" t="s">
        <v>11</v>
      </c>
      <c r="AT5" s="285" t="s">
        <v>20</v>
      </c>
      <c r="AU5" s="300"/>
      <c r="AV5" s="286" t="b">
        <v>1</v>
      </c>
      <c r="AW5" s="258"/>
      <c r="AX5" s="301">
        <v>46133.0</v>
      </c>
      <c r="AY5" s="302" t="s">
        <v>1012</v>
      </c>
      <c r="AZ5" s="277" t="s">
        <v>1013</v>
      </c>
      <c r="BA5" s="303" t="s">
        <v>22</v>
      </c>
      <c r="BB5" s="304" t="s">
        <v>20</v>
      </c>
      <c r="BC5" s="290"/>
      <c r="BD5" s="281" t="b">
        <v>1</v>
      </c>
      <c r="BE5" s="258"/>
      <c r="BF5" s="282"/>
      <c r="BG5" s="311"/>
      <c r="BH5" s="283"/>
      <c r="BI5" s="285"/>
      <c r="BJ5" s="285"/>
      <c r="BK5" s="300"/>
      <c r="BL5" s="286"/>
    </row>
    <row r="6" ht="22.5" customHeight="1">
      <c r="A6" s="263"/>
      <c r="B6" s="292">
        <v>46111.0</v>
      </c>
      <c r="C6" s="61" t="s">
        <v>1014</v>
      </c>
      <c r="D6" s="61" t="s">
        <v>1015</v>
      </c>
      <c r="E6" s="81" t="s">
        <v>22</v>
      </c>
      <c r="F6" s="310" t="s">
        <v>12</v>
      </c>
      <c r="G6" s="61"/>
      <c r="H6" s="269" t="b">
        <v>1</v>
      </c>
      <c r="I6" s="258"/>
      <c r="J6" s="270">
        <v>46108.0</v>
      </c>
      <c r="K6" s="109" t="s">
        <v>907</v>
      </c>
      <c r="L6" s="109" t="s">
        <v>908</v>
      </c>
      <c r="M6" s="271" t="s">
        <v>11</v>
      </c>
      <c r="N6" s="271" t="s">
        <v>20</v>
      </c>
      <c r="O6" s="61"/>
      <c r="P6" s="269" t="b">
        <v>1</v>
      </c>
      <c r="Q6" s="258"/>
      <c r="R6" s="292">
        <v>46119.0</v>
      </c>
      <c r="S6" s="109" t="s">
        <v>1016</v>
      </c>
      <c r="T6" s="109" t="s">
        <v>1017</v>
      </c>
      <c r="U6" s="58" t="s">
        <v>10</v>
      </c>
      <c r="V6" s="271" t="s">
        <v>12</v>
      </c>
      <c r="W6" s="61"/>
      <c r="X6" s="269" t="b">
        <v>1</v>
      </c>
      <c r="Y6" s="258"/>
      <c r="Z6" s="270">
        <v>46119.0</v>
      </c>
      <c r="AA6" s="312" t="s">
        <v>1018</v>
      </c>
      <c r="AB6" s="109" t="s">
        <v>1019</v>
      </c>
      <c r="AC6" s="58" t="s">
        <v>11</v>
      </c>
      <c r="AD6" s="58" t="s">
        <v>958</v>
      </c>
      <c r="AE6" s="61"/>
      <c r="AF6" s="269" t="b">
        <v>1</v>
      </c>
      <c r="AH6" s="301">
        <v>46127.0</v>
      </c>
      <c r="AI6" s="302" t="s">
        <v>1020</v>
      </c>
      <c r="AJ6" s="277" t="s">
        <v>1021</v>
      </c>
      <c r="AK6" s="303" t="s">
        <v>22</v>
      </c>
      <c r="AL6" s="304" t="s">
        <v>958</v>
      </c>
      <c r="AM6" s="290"/>
      <c r="AN6" s="281" t="b">
        <v>1</v>
      </c>
      <c r="AO6" s="258"/>
      <c r="AP6" s="282">
        <v>46125.0</v>
      </c>
      <c r="AQ6" s="311" t="s">
        <v>1022</v>
      </c>
      <c r="AR6" s="283" t="s">
        <v>1023</v>
      </c>
      <c r="AS6" s="285" t="s">
        <v>11</v>
      </c>
      <c r="AT6" s="285" t="s">
        <v>20</v>
      </c>
      <c r="AU6" s="283"/>
      <c r="AV6" s="286" t="b">
        <v>1</v>
      </c>
      <c r="AW6" s="258"/>
      <c r="AX6" s="301">
        <v>46133.0</v>
      </c>
      <c r="AY6" s="302" t="s">
        <v>1024</v>
      </c>
      <c r="AZ6" s="277" t="s">
        <v>1025</v>
      </c>
      <c r="BA6" s="303" t="s">
        <v>22</v>
      </c>
      <c r="BB6" s="304" t="s">
        <v>20</v>
      </c>
      <c r="BC6" s="290"/>
      <c r="BD6" s="281" t="b">
        <v>1</v>
      </c>
      <c r="BE6" s="258"/>
      <c r="BF6" s="282"/>
      <c r="BG6" s="311"/>
      <c r="BH6" s="283"/>
      <c r="BI6" s="285"/>
      <c r="BJ6" s="285"/>
      <c r="BK6" s="283"/>
      <c r="BL6" s="286"/>
    </row>
    <row r="7" ht="22.5" customHeight="1">
      <c r="A7" s="263"/>
      <c r="B7" s="292">
        <v>46111.0</v>
      </c>
      <c r="C7" s="61" t="s">
        <v>1026</v>
      </c>
      <c r="D7" s="61" t="s">
        <v>1027</v>
      </c>
      <c r="E7" s="81" t="s">
        <v>22</v>
      </c>
      <c r="F7" s="310" t="s">
        <v>12</v>
      </c>
      <c r="G7" s="61"/>
      <c r="H7" s="269" t="b">
        <v>1</v>
      </c>
      <c r="I7" s="258"/>
      <c r="J7" s="270">
        <v>46108.0</v>
      </c>
      <c r="K7" s="109" t="s">
        <v>913</v>
      </c>
      <c r="L7" s="109" t="s">
        <v>914</v>
      </c>
      <c r="M7" s="271" t="s">
        <v>11</v>
      </c>
      <c r="N7" s="271" t="s">
        <v>20</v>
      </c>
      <c r="O7" s="61"/>
      <c r="P7" s="269" t="b">
        <v>1</v>
      </c>
      <c r="Q7" s="258"/>
      <c r="R7" s="292">
        <v>46119.0</v>
      </c>
      <c r="S7" s="109" t="s">
        <v>1028</v>
      </c>
      <c r="T7" s="109" t="s">
        <v>1029</v>
      </c>
      <c r="U7" s="58" t="s">
        <v>24</v>
      </c>
      <c r="V7" s="271" t="s">
        <v>12</v>
      </c>
      <c r="W7" s="61"/>
      <c r="X7" s="269" t="b">
        <v>1</v>
      </c>
      <c r="Y7" s="258"/>
      <c r="Z7" s="270">
        <v>46119.0</v>
      </c>
      <c r="AA7" s="312" t="s">
        <v>1030</v>
      </c>
      <c r="AB7" s="109" t="s">
        <v>1031</v>
      </c>
      <c r="AC7" s="58"/>
      <c r="AD7" s="58" t="s">
        <v>958</v>
      </c>
      <c r="AE7" s="109" t="s">
        <v>982</v>
      </c>
      <c r="AF7" s="298"/>
      <c r="AH7" s="301">
        <v>46127.0</v>
      </c>
      <c r="AI7" s="302" t="s">
        <v>1032</v>
      </c>
      <c r="AJ7" s="277" t="s">
        <v>1033</v>
      </c>
      <c r="AK7" s="303" t="s">
        <v>24</v>
      </c>
      <c r="AL7" s="304" t="s">
        <v>12</v>
      </c>
      <c r="AM7" s="290"/>
      <c r="AN7" s="281" t="b">
        <v>1</v>
      </c>
      <c r="AO7" s="258"/>
      <c r="AP7" s="282">
        <v>46125.0</v>
      </c>
      <c r="AQ7" s="283" t="s">
        <v>1034</v>
      </c>
      <c r="AR7" s="283" t="s">
        <v>1035</v>
      </c>
      <c r="AS7" s="285" t="s">
        <v>11</v>
      </c>
      <c r="AT7" s="285" t="s">
        <v>20</v>
      </c>
      <c r="AU7" s="283" t="s">
        <v>1036</v>
      </c>
      <c r="AV7" s="313"/>
      <c r="AW7" s="258"/>
      <c r="AX7" s="301">
        <v>46133.0</v>
      </c>
      <c r="AY7" s="302" t="s">
        <v>1037</v>
      </c>
      <c r="AZ7" s="277" t="s">
        <v>1038</v>
      </c>
      <c r="BA7" s="303" t="s">
        <v>22</v>
      </c>
      <c r="BB7" s="304" t="s">
        <v>20</v>
      </c>
      <c r="BC7" s="290"/>
      <c r="BD7" s="281" t="b">
        <v>1</v>
      </c>
      <c r="BE7" s="258"/>
      <c r="BF7" s="282"/>
      <c r="BG7" s="283"/>
      <c r="BH7" s="283"/>
      <c r="BI7" s="285"/>
      <c r="BJ7" s="285"/>
      <c r="BK7" s="283"/>
      <c r="BL7" s="313"/>
    </row>
    <row r="8" ht="22.5" customHeight="1">
      <c r="A8" s="263"/>
      <c r="B8" s="292">
        <v>46111.0</v>
      </c>
      <c r="C8" s="61" t="s">
        <v>1039</v>
      </c>
      <c r="D8" s="61" t="s">
        <v>1040</v>
      </c>
      <c r="E8" s="81" t="s">
        <v>22</v>
      </c>
      <c r="F8" s="310" t="s">
        <v>12</v>
      </c>
      <c r="G8" s="61"/>
      <c r="H8" s="269" t="b">
        <v>1</v>
      </c>
      <c r="I8" s="258"/>
      <c r="J8" s="270">
        <v>46108.0</v>
      </c>
      <c r="K8" s="109" t="s">
        <v>921</v>
      </c>
      <c r="L8" s="109" t="s">
        <v>922</v>
      </c>
      <c r="M8" s="271" t="s">
        <v>11</v>
      </c>
      <c r="N8" s="271" t="s">
        <v>20</v>
      </c>
      <c r="O8" s="61"/>
      <c r="P8" s="269" t="b">
        <v>1</v>
      </c>
      <c r="Q8" s="258"/>
      <c r="R8" s="292">
        <v>46119.0</v>
      </c>
      <c r="S8" s="109" t="s">
        <v>1041</v>
      </c>
      <c r="T8" s="109" t="s">
        <v>1042</v>
      </c>
      <c r="U8" s="58" t="s">
        <v>24</v>
      </c>
      <c r="V8" s="271" t="s">
        <v>12</v>
      </c>
      <c r="W8" s="61"/>
      <c r="X8" s="269" t="b">
        <v>1</v>
      </c>
      <c r="Y8" s="258"/>
      <c r="Z8" s="270">
        <v>46119.0</v>
      </c>
      <c r="AA8" s="109" t="s">
        <v>1043</v>
      </c>
      <c r="AB8" s="109" t="s">
        <v>1044</v>
      </c>
      <c r="AC8" s="58" t="s">
        <v>11</v>
      </c>
      <c r="AD8" s="58" t="s">
        <v>17</v>
      </c>
      <c r="AE8" s="61"/>
      <c r="AF8" s="269" t="b">
        <v>1</v>
      </c>
      <c r="AH8" s="301">
        <v>46127.0</v>
      </c>
      <c r="AI8" s="302" t="s">
        <v>1045</v>
      </c>
      <c r="AJ8" s="277" t="s">
        <v>1046</v>
      </c>
      <c r="AK8" s="303" t="s">
        <v>22</v>
      </c>
      <c r="AL8" s="304" t="s">
        <v>958</v>
      </c>
      <c r="AM8" s="290"/>
      <c r="AN8" s="281" t="b">
        <v>1</v>
      </c>
      <c r="AO8" s="258"/>
      <c r="AP8" s="282">
        <v>46125.0</v>
      </c>
      <c r="AQ8" s="283" t="s">
        <v>1047</v>
      </c>
      <c r="AR8" s="283" t="s">
        <v>1048</v>
      </c>
      <c r="AS8" s="285" t="s">
        <v>11</v>
      </c>
      <c r="AT8" s="285" t="s">
        <v>20</v>
      </c>
      <c r="AU8" s="300"/>
      <c r="AV8" s="286" t="b">
        <v>1</v>
      </c>
      <c r="AW8" s="258"/>
      <c r="AX8" s="301">
        <v>46133.0</v>
      </c>
      <c r="AY8" s="302" t="s">
        <v>1049</v>
      </c>
      <c r="AZ8" s="277" t="s">
        <v>1050</v>
      </c>
      <c r="BA8" s="303" t="s">
        <v>22</v>
      </c>
      <c r="BB8" s="304" t="s">
        <v>20</v>
      </c>
      <c r="BC8" s="290"/>
      <c r="BD8" s="281" t="b">
        <v>1</v>
      </c>
      <c r="BE8" s="258"/>
      <c r="BF8" s="282"/>
      <c r="BG8" s="283"/>
      <c r="BH8" s="283"/>
      <c r="BI8" s="285"/>
      <c r="BJ8" s="285"/>
      <c r="BK8" s="300"/>
      <c r="BL8" s="286"/>
    </row>
    <row r="9" ht="22.5" customHeight="1">
      <c r="A9" s="263"/>
      <c r="B9" s="292">
        <v>46111.0</v>
      </c>
      <c r="C9" s="61" t="s">
        <v>1051</v>
      </c>
      <c r="D9" s="61" t="s">
        <v>1052</v>
      </c>
      <c r="E9" s="81" t="s">
        <v>22</v>
      </c>
      <c r="F9" s="310" t="s">
        <v>12</v>
      </c>
      <c r="G9" s="61"/>
      <c r="H9" s="269" t="b">
        <v>1</v>
      </c>
      <c r="I9" s="258"/>
      <c r="J9" s="270">
        <v>46111.0</v>
      </c>
      <c r="K9" s="109" t="s">
        <v>1053</v>
      </c>
      <c r="L9" s="109" t="s">
        <v>1054</v>
      </c>
      <c r="M9" s="58" t="s">
        <v>23</v>
      </c>
      <c r="N9" s="58" t="s">
        <v>28</v>
      </c>
      <c r="O9" s="61"/>
      <c r="P9" s="269" t="b">
        <v>1</v>
      </c>
      <c r="Q9" s="258"/>
      <c r="R9" s="292">
        <v>46119.0</v>
      </c>
      <c r="S9" s="109" t="s">
        <v>1055</v>
      </c>
      <c r="T9" s="109" t="s">
        <v>1056</v>
      </c>
      <c r="U9" s="58" t="s">
        <v>24</v>
      </c>
      <c r="V9" s="271" t="s">
        <v>12</v>
      </c>
      <c r="W9" s="61"/>
      <c r="X9" s="269" t="b">
        <v>1</v>
      </c>
      <c r="Y9" s="258"/>
      <c r="Z9" s="270">
        <v>46119.0</v>
      </c>
      <c r="AA9" s="109" t="s">
        <v>1057</v>
      </c>
      <c r="AB9" s="109" t="s">
        <v>1058</v>
      </c>
      <c r="AC9" s="58" t="s">
        <v>11</v>
      </c>
      <c r="AD9" s="58" t="s">
        <v>958</v>
      </c>
      <c r="AE9" s="61"/>
      <c r="AF9" s="269" t="b">
        <v>1</v>
      </c>
      <c r="AH9" s="301">
        <v>46127.0</v>
      </c>
      <c r="AI9" s="302" t="s">
        <v>1059</v>
      </c>
      <c r="AJ9" s="277" t="s">
        <v>1060</v>
      </c>
      <c r="AK9" s="303" t="s">
        <v>22</v>
      </c>
      <c r="AL9" s="304" t="s">
        <v>958</v>
      </c>
      <c r="AM9" s="290"/>
      <c r="AN9" s="281" t="b">
        <v>1</v>
      </c>
      <c r="AO9" s="258"/>
      <c r="AP9" s="282">
        <v>46125.0</v>
      </c>
      <c r="AQ9" s="283" t="s">
        <v>1061</v>
      </c>
      <c r="AR9" s="283" t="s">
        <v>1062</v>
      </c>
      <c r="AS9" s="285" t="s">
        <v>11</v>
      </c>
      <c r="AT9" s="285" t="s">
        <v>20</v>
      </c>
      <c r="AU9" s="300"/>
      <c r="AV9" s="286" t="b">
        <v>1</v>
      </c>
      <c r="AW9" s="258"/>
      <c r="AX9" s="301">
        <v>46133.0</v>
      </c>
      <c r="AY9" s="302" t="s">
        <v>1063</v>
      </c>
      <c r="AZ9" s="277" t="s">
        <v>1064</v>
      </c>
      <c r="BA9" s="303" t="s">
        <v>22</v>
      </c>
      <c r="BB9" s="304" t="s">
        <v>20</v>
      </c>
      <c r="BC9" s="290"/>
      <c r="BD9" s="281" t="b">
        <v>1</v>
      </c>
      <c r="BE9" s="258"/>
      <c r="BF9" s="282"/>
      <c r="BG9" s="283"/>
      <c r="BH9" s="283"/>
      <c r="BI9" s="285"/>
      <c r="BJ9" s="285"/>
      <c r="BK9" s="300"/>
      <c r="BL9" s="286"/>
    </row>
    <row r="10" ht="22.5" customHeight="1">
      <c r="A10" s="263"/>
      <c r="B10" s="292">
        <v>46111.0</v>
      </c>
      <c r="C10" s="61" t="s">
        <v>1065</v>
      </c>
      <c r="D10" s="61" t="s">
        <v>1066</v>
      </c>
      <c r="E10" s="81" t="s">
        <v>22</v>
      </c>
      <c r="F10" s="310" t="s">
        <v>12</v>
      </c>
      <c r="G10" s="61"/>
      <c r="H10" s="269" t="b">
        <v>1</v>
      </c>
      <c r="I10" s="258"/>
      <c r="J10" s="270">
        <v>46111.0</v>
      </c>
      <c r="K10" s="109" t="s">
        <v>1067</v>
      </c>
      <c r="L10" s="109" t="s">
        <v>1068</v>
      </c>
      <c r="M10" s="58" t="s">
        <v>11</v>
      </c>
      <c r="N10" s="58" t="s">
        <v>20</v>
      </c>
      <c r="O10" s="61"/>
      <c r="P10" s="269" t="b">
        <v>1</v>
      </c>
      <c r="Q10" s="258"/>
      <c r="R10" s="292">
        <v>46119.0</v>
      </c>
      <c r="S10" s="109" t="s">
        <v>1069</v>
      </c>
      <c r="T10" s="109" t="s">
        <v>1070</v>
      </c>
      <c r="U10" s="58" t="s">
        <v>16</v>
      </c>
      <c r="V10" s="271" t="s">
        <v>12</v>
      </c>
      <c r="W10" s="61"/>
      <c r="X10" s="269" t="b">
        <v>1</v>
      </c>
      <c r="Y10" s="258"/>
      <c r="Z10" s="270">
        <v>46119.0</v>
      </c>
      <c r="AA10" s="109" t="s">
        <v>1071</v>
      </c>
      <c r="AB10" s="109" t="s">
        <v>1072</v>
      </c>
      <c r="AC10" s="58" t="s">
        <v>23</v>
      </c>
      <c r="AD10" s="58" t="s">
        <v>14</v>
      </c>
      <c r="AE10" s="61"/>
      <c r="AF10" s="269" t="b">
        <v>1</v>
      </c>
      <c r="AH10" s="301">
        <v>46127.0</v>
      </c>
      <c r="AI10" s="302" t="s">
        <v>1073</v>
      </c>
      <c r="AJ10" s="277" t="s">
        <v>1074</v>
      </c>
      <c r="AK10" s="303" t="s">
        <v>22</v>
      </c>
      <c r="AL10" s="304" t="s">
        <v>958</v>
      </c>
      <c r="AM10" s="290"/>
      <c r="AN10" s="281" t="b">
        <v>1</v>
      </c>
      <c r="AO10" s="258"/>
      <c r="AP10" s="282">
        <v>46125.0</v>
      </c>
      <c r="AQ10" s="283" t="s">
        <v>1075</v>
      </c>
      <c r="AR10" s="283" t="s">
        <v>1076</v>
      </c>
      <c r="AS10" s="285" t="s">
        <v>11</v>
      </c>
      <c r="AT10" s="285" t="s">
        <v>20</v>
      </c>
      <c r="AU10" s="300"/>
      <c r="AV10" s="286" t="b">
        <v>1</v>
      </c>
      <c r="AW10" s="258"/>
      <c r="AX10" s="301">
        <v>46133.0</v>
      </c>
      <c r="AY10" s="302" t="s">
        <v>1077</v>
      </c>
      <c r="AZ10" s="277" t="s">
        <v>1078</v>
      </c>
      <c r="BA10" s="303" t="s">
        <v>22</v>
      </c>
      <c r="BB10" s="303" t="s">
        <v>20</v>
      </c>
      <c r="BC10" s="290"/>
      <c r="BD10" s="281" t="b">
        <v>1</v>
      </c>
      <c r="BE10" s="258"/>
      <c r="BF10" s="282"/>
      <c r="BG10" s="283"/>
      <c r="BH10" s="283"/>
      <c r="BI10" s="285"/>
      <c r="BJ10" s="285"/>
      <c r="BK10" s="300"/>
      <c r="BL10" s="286"/>
    </row>
    <row r="11" ht="22.5" customHeight="1">
      <c r="A11" s="263"/>
      <c r="B11" s="292">
        <v>46111.0</v>
      </c>
      <c r="C11" s="61" t="s">
        <v>1079</v>
      </c>
      <c r="D11" s="61" t="s">
        <v>1080</v>
      </c>
      <c r="E11" s="81" t="s">
        <v>22</v>
      </c>
      <c r="F11" s="310" t="s">
        <v>12</v>
      </c>
      <c r="G11" s="61"/>
      <c r="H11" s="269" t="b">
        <v>1</v>
      </c>
      <c r="I11" s="258"/>
      <c r="J11" s="270">
        <v>46111.0</v>
      </c>
      <c r="K11" s="109" t="s">
        <v>1081</v>
      </c>
      <c r="L11" s="109" t="s">
        <v>1082</v>
      </c>
      <c r="M11" s="58" t="s">
        <v>11</v>
      </c>
      <c r="N11" s="58" t="s">
        <v>20</v>
      </c>
      <c r="O11" s="61"/>
      <c r="P11" s="269" t="b">
        <v>1</v>
      </c>
      <c r="Q11" s="258"/>
      <c r="R11" s="292">
        <v>46119.0</v>
      </c>
      <c r="S11" s="109" t="s">
        <v>1083</v>
      </c>
      <c r="T11" s="109" t="s">
        <v>1084</v>
      </c>
      <c r="U11" s="58" t="s">
        <v>19</v>
      </c>
      <c r="V11" s="58" t="s">
        <v>12</v>
      </c>
      <c r="W11" s="61"/>
      <c r="X11" s="269" t="b">
        <v>1</v>
      </c>
      <c r="Y11" s="258"/>
      <c r="Z11" s="270">
        <v>46119.0</v>
      </c>
      <c r="AA11" s="109" t="s">
        <v>1085</v>
      </c>
      <c r="AB11" s="109" t="s">
        <v>1086</v>
      </c>
      <c r="AC11" s="58" t="s">
        <v>11</v>
      </c>
      <c r="AD11" s="58" t="s">
        <v>20</v>
      </c>
      <c r="AE11" s="61"/>
      <c r="AF11" s="269" t="b">
        <v>1</v>
      </c>
      <c r="AH11" s="301">
        <v>46127.0</v>
      </c>
      <c r="AI11" s="302" t="s">
        <v>1087</v>
      </c>
      <c r="AJ11" s="277" t="s">
        <v>1088</v>
      </c>
      <c r="AK11" s="303" t="s">
        <v>22</v>
      </c>
      <c r="AL11" s="303" t="s">
        <v>958</v>
      </c>
      <c r="AM11" s="290"/>
      <c r="AN11" s="281" t="b">
        <v>1</v>
      </c>
      <c r="AO11" s="258"/>
      <c r="AP11" s="282">
        <v>46125.0</v>
      </c>
      <c r="AQ11" s="283" t="s">
        <v>1089</v>
      </c>
      <c r="AR11" s="283" t="s">
        <v>1090</v>
      </c>
      <c r="AS11" s="285" t="s">
        <v>11</v>
      </c>
      <c r="AT11" s="285" t="s">
        <v>17</v>
      </c>
      <c r="AU11" s="283"/>
      <c r="AV11" s="286" t="b">
        <v>1</v>
      </c>
      <c r="AW11" s="258"/>
      <c r="AX11" s="314">
        <v>46133.0</v>
      </c>
      <c r="AY11" s="302" t="s">
        <v>1091</v>
      </c>
      <c r="AZ11" s="277" t="s">
        <v>1092</v>
      </c>
      <c r="BA11" s="303" t="s">
        <v>22</v>
      </c>
      <c r="BB11" s="303" t="s">
        <v>20</v>
      </c>
      <c r="BC11" s="290"/>
      <c r="BD11" s="281" t="b">
        <v>1</v>
      </c>
      <c r="BE11" s="258"/>
      <c r="BF11" s="282"/>
      <c r="BG11" s="283"/>
      <c r="BH11" s="283"/>
      <c r="BI11" s="285"/>
      <c r="BJ11" s="285"/>
      <c r="BK11" s="283"/>
      <c r="BL11" s="286"/>
    </row>
    <row r="12" ht="22.5" customHeight="1">
      <c r="A12" s="263"/>
      <c r="B12" s="292">
        <v>46111.0</v>
      </c>
      <c r="C12" s="109" t="s">
        <v>1093</v>
      </c>
      <c r="D12" s="109" t="s">
        <v>1094</v>
      </c>
      <c r="E12" s="58" t="s">
        <v>22</v>
      </c>
      <c r="F12" s="271" t="s">
        <v>12</v>
      </c>
      <c r="G12" s="61"/>
      <c r="H12" s="269" t="b">
        <v>1</v>
      </c>
      <c r="I12" s="258"/>
      <c r="J12" s="270">
        <v>46111.0</v>
      </c>
      <c r="K12" s="109" t="s">
        <v>1095</v>
      </c>
      <c r="L12" s="109" t="s">
        <v>1096</v>
      </c>
      <c r="M12" s="58" t="s">
        <v>11</v>
      </c>
      <c r="N12" s="58" t="s">
        <v>20</v>
      </c>
      <c r="O12" s="61"/>
      <c r="P12" s="269" t="b">
        <v>1</v>
      </c>
      <c r="Q12" s="258"/>
      <c r="R12" s="270">
        <v>46119.0</v>
      </c>
      <c r="S12" s="109" t="s">
        <v>1097</v>
      </c>
      <c r="T12" s="109" t="s">
        <v>1098</v>
      </c>
      <c r="U12" s="58" t="s">
        <v>16</v>
      </c>
      <c r="V12" s="58" t="s">
        <v>12</v>
      </c>
      <c r="W12" s="61"/>
      <c r="X12" s="269" t="b">
        <v>1</v>
      </c>
      <c r="Y12" s="258"/>
      <c r="Z12" s="270">
        <v>46119.0</v>
      </c>
      <c r="AA12" s="109" t="s">
        <v>1099</v>
      </c>
      <c r="AB12" s="109" t="s">
        <v>1100</v>
      </c>
      <c r="AC12" s="58" t="s">
        <v>11</v>
      </c>
      <c r="AD12" s="58" t="s">
        <v>20</v>
      </c>
      <c r="AE12" s="61"/>
      <c r="AF12" s="269" t="b">
        <v>1</v>
      </c>
      <c r="AH12" s="314">
        <v>46127.0</v>
      </c>
      <c r="AI12" s="302" t="s">
        <v>1101</v>
      </c>
      <c r="AJ12" s="277" t="s">
        <v>1102</v>
      </c>
      <c r="AK12" s="303" t="s">
        <v>22</v>
      </c>
      <c r="AL12" s="303" t="s">
        <v>958</v>
      </c>
      <c r="AM12" s="290"/>
      <c r="AN12" s="281" t="b">
        <v>1</v>
      </c>
      <c r="AO12" s="258"/>
      <c r="AP12" s="282">
        <v>46125.0</v>
      </c>
      <c r="AQ12" s="283" t="s">
        <v>1103</v>
      </c>
      <c r="AR12" s="283" t="s">
        <v>1104</v>
      </c>
      <c r="AS12" s="285" t="s">
        <v>11</v>
      </c>
      <c r="AT12" s="285" t="s">
        <v>17</v>
      </c>
      <c r="AU12" s="300"/>
      <c r="AV12" s="286" t="b">
        <v>1</v>
      </c>
      <c r="AW12" s="258"/>
      <c r="AX12" s="314">
        <v>46133.0</v>
      </c>
      <c r="AY12" s="302" t="s">
        <v>1105</v>
      </c>
      <c r="AZ12" s="277" t="s">
        <v>1106</v>
      </c>
      <c r="BA12" s="303" t="s">
        <v>22</v>
      </c>
      <c r="BB12" s="303" t="s">
        <v>20</v>
      </c>
      <c r="BC12" s="302" t="s">
        <v>1107</v>
      </c>
      <c r="BD12" s="315"/>
      <c r="BE12" s="258"/>
      <c r="BF12" s="282"/>
      <c r="BG12" s="283"/>
      <c r="BH12" s="283"/>
      <c r="BI12" s="285"/>
      <c r="BJ12" s="285"/>
      <c r="BK12" s="300"/>
      <c r="BL12" s="286"/>
    </row>
    <row r="13" ht="22.5" customHeight="1">
      <c r="A13" s="263"/>
      <c r="B13" s="292">
        <v>46111.0</v>
      </c>
      <c r="C13" s="109" t="s">
        <v>1108</v>
      </c>
      <c r="D13" s="109" t="s">
        <v>1109</v>
      </c>
      <c r="E13" s="58" t="s">
        <v>24</v>
      </c>
      <c r="F13" s="58" t="s">
        <v>28</v>
      </c>
      <c r="G13" s="61"/>
      <c r="H13" s="269" t="b">
        <v>1</v>
      </c>
      <c r="I13" s="258"/>
      <c r="J13" s="270">
        <v>46111.0</v>
      </c>
      <c r="K13" s="109" t="s">
        <v>1110</v>
      </c>
      <c r="L13" s="109" t="s">
        <v>1111</v>
      </c>
      <c r="M13" s="58" t="s">
        <v>11</v>
      </c>
      <c r="N13" s="58" t="s">
        <v>20</v>
      </c>
      <c r="O13" s="61"/>
      <c r="P13" s="269" t="b">
        <v>1</v>
      </c>
      <c r="Q13" s="258"/>
      <c r="R13" s="270">
        <v>46119.0</v>
      </c>
      <c r="S13" s="109" t="s">
        <v>1112</v>
      </c>
      <c r="T13" s="109" t="s">
        <v>1113</v>
      </c>
      <c r="U13" s="58" t="s">
        <v>16</v>
      </c>
      <c r="V13" s="58" t="s">
        <v>12</v>
      </c>
      <c r="W13" s="61"/>
      <c r="X13" s="269" t="b">
        <v>1</v>
      </c>
      <c r="Y13" s="258"/>
      <c r="Z13" s="270">
        <v>46119.0</v>
      </c>
      <c r="AA13" s="109" t="s">
        <v>1114</v>
      </c>
      <c r="AB13" s="109" t="s">
        <v>1115</v>
      </c>
      <c r="AC13" s="58"/>
      <c r="AD13" s="58" t="s">
        <v>20</v>
      </c>
      <c r="AE13" s="109" t="s">
        <v>1116</v>
      </c>
      <c r="AF13" s="298"/>
      <c r="AH13" s="314">
        <v>46127.0</v>
      </c>
      <c r="AI13" s="302" t="s">
        <v>1117</v>
      </c>
      <c r="AJ13" s="277" t="s">
        <v>1118</v>
      </c>
      <c r="AK13" s="303" t="s">
        <v>22</v>
      </c>
      <c r="AL13" s="303" t="s">
        <v>958</v>
      </c>
      <c r="AM13" s="290"/>
      <c r="AN13" s="281" t="b">
        <v>1</v>
      </c>
      <c r="AO13" s="258"/>
      <c r="AP13" s="282">
        <v>46126.0</v>
      </c>
      <c r="AQ13" s="283" t="s">
        <v>1119</v>
      </c>
      <c r="AR13" s="283" t="s">
        <v>1120</v>
      </c>
      <c r="AS13" s="285" t="s">
        <v>27</v>
      </c>
      <c r="AT13" s="285" t="s">
        <v>20</v>
      </c>
      <c r="AU13" s="300"/>
      <c r="AV13" s="286" t="b">
        <v>1</v>
      </c>
      <c r="AW13" s="258"/>
      <c r="AX13" s="314">
        <v>46133.0</v>
      </c>
      <c r="AY13" s="302" t="s">
        <v>1121</v>
      </c>
      <c r="AZ13" s="277" t="s">
        <v>1122</v>
      </c>
      <c r="BA13" s="303" t="s">
        <v>22</v>
      </c>
      <c r="BB13" s="303" t="s">
        <v>20</v>
      </c>
      <c r="BC13" s="290"/>
      <c r="BD13" s="281" t="b">
        <v>1</v>
      </c>
      <c r="BE13" s="258"/>
      <c r="BF13" s="282"/>
      <c r="BG13" s="283"/>
      <c r="BH13" s="283"/>
      <c r="BI13" s="285"/>
      <c r="BJ13" s="285"/>
      <c r="BK13" s="300"/>
      <c r="BL13" s="286"/>
    </row>
    <row r="14" ht="22.5" customHeight="1">
      <c r="A14" s="263"/>
      <c r="B14" s="270">
        <v>46111.0</v>
      </c>
      <c r="C14" s="109" t="s">
        <v>1123</v>
      </c>
      <c r="D14" s="109" t="s">
        <v>1124</v>
      </c>
      <c r="E14" s="58" t="s">
        <v>22</v>
      </c>
      <c r="F14" s="58" t="s">
        <v>12</v>
      </c>
      <c r="G14" s="61"/>
      <c r="H14" s="269" t="b">
        <v>1</v>
      </c>
      <c r="I14" s="258"/>
      <c r="J14" s="270">
        <v>46111.0</v>
      </c>
      <c r="K14" s="109" t="s">
        <v>1125</v>
      </c>
      <c r="L14" s="109" t="s">
        <v>1126</v>
      </c>
      <c r="M14" s="58" t="s">
        <v>11</v>
      </c>
      <c r="N14" s="58" t="s">
        <v>20</v>
      </c>
      <c r="O14" s="61"/>
      <c r="P14" s="269" t="b">
        <v>1</v>
      </c>
      <c r="Q14" s="258"/>
      <c r="R14" s="270">
        <v>46119.0</v>
      </c>
      <c r="S14" s="109" t="s">
        <v>1127</v>
      </c>
      <c r="T14" s="109" t="s">
        <v>1128</v>
      </c>
      <c r="U14" s="58" t="s">
        <v>16</v>
      </c>
      <c r="V14" s="58" t="s">
        <v>12</v>
      </c>
      <c r="W14" s="61"/>
      <c r="X14" s="269" t="b">
        <v>1</v>
      </c>
      <c r="Y14" s="258"/>
      <c r="Z14" s="270">
        <v>46119.0</v>
      </c>
      <c r="AA14" s="109" t="s">
        <v>1129</v>
      </c>
      <c r="AB14" s="109" t="s">
        <v>1130</v>
      </c>
      <c r="AC14" s="58" t="s">
        <v>11</v>
      </c>
      <c r="AD14" s="58" t="s">
        <v>20</v>
      </c>
      <c r="AE14" s="61"/>
      <c r="AF14" s="269" t="b">
        <v>1</v>
      </c>
      <c r="AH14" s="314">
        <v>46127.0</v>
      </c>
      <c r="AI14" s="302" t="s">
        <v>1131</v>
      </c>
      <c r="AJ14" s="277" t="s">
        <v>1132</v>
      </c>
      <c r="AK14" s="303" t="s">
        <v>24</v>
      </c>
      <c r="AL14" s="303" t="s">
        <v>12</v>
      </c>
      <c r="AM14" s="290"/>
      <c r="AN14" s="281" t="b">
        <v>1</v>
      </c>
      <c r="AO14" s="258"/>
      <c r="AP14" s="282">
        <v>46126.0</v>
      </c>
      <c r="AQ14" s="283" t="s">
        <v>1133</v>
      </c>
      <c r="AR14" s="283" t="s">
        <v>1134</v>
      </c>
      <c r="AS14" s="285" t="s">
        <v>27</v>
      </c>
      <c r="AT14" s="285" t="s">
        <v>20</v>
      </c>
      <c r="AU14" s="300"/>
      <c r="AV14" s="286" t="b">
        <v>1</v>
      </c>
      <c r="AW14" s="258"/>
      <c r="AX14" s="314">
        <v>46133.0</v>
      </c>
      <c r="AY14" s="302" t="s">
        <v>1135</v>
      </c>
      <c r="AZ14" s="277" t="s">
        <v>1136</v>
      </c>
      <c r="BA14" s="303" t="s">
        <v>22</v>
      </c>
      <c r="BB14" s="303" t="s">
        <v>20</v>
      </c>
      <c r="BC14" s="290"/>
      <c r="BD14" s="281" t="b">
        <v>1</v>
      </c>
      <c r="BE14" s="258"/>
      <c r="BF14" s="282"/>
      <c r="BG14" s="283"/>
      <c r="BH14" s="283"/>
      <c r="BI14" s="285"/>
      <c r="BJ14" s="285"/>
      <c r="BK14" s="300"/>
      <c r="BL14" s="286"/>
    </row>
    <row r="15" ht="22.5" customHeight="1">
      <c r="A15" s="263"/>
      <c r="B15" s="270">
        <v>46111.0</v>
      </c>
      <c r="C15" s="109" t="s">
        <v>1137</v>
      </c>
      <c r="D15" s="109" t="s">
        <v>1138</v>
      </c>
      <c r="E15" s="58" t="s">
        <v>22</v>
      </c>
      <c r="F15" s="58" t="s">
        <v>12</v>
      </c>
      <c r="G15" s="61"/>
      <c r="H15" s="269" t="b">
        <v>1</v>
      </c>
      <c r="I15" s="258"/>
      <c r="J15" s="270">
        <v>46111.0</v>
      </c>
      <c r="K15" s="109" t="s">
        <v>1139</v>
      </c>
      <c r="L15" s="109" t="s">
        <v>1140</v>
      </c>
      <c r="M15" s="58" t="s">
        <v>11</v>
      </c>
      <c r="N15" s="58" t="s">
        <v>20</v>
      </c>
      <c r="O15" s="61"/>
      <c r="P15" s="269" t="b">
        <v>1</v>
      </c>
      <c r="Q15" s="258"/>
      <c r="R15" s="270">
        <v>46119.0</v>
      </c>
      <c r="S15" s="109" t="s">
        <v>1141</v>
      </c>
      <c r="T15" s="109" t="s">
        <v>1142</v>
      </c>
      <c r="U15" s="58" t="s">
        <v>19</v>
      </c>
      <c r="V15" s="58" t="s">
        <v>12</v>
      </c>
      <c r="W15" s="61"/>
      <c r="X15" s="269" t="b">
        <v>1</v>
      </c>
      <c r="Y15" s="258"/>
      <c r="Z15" s="270">
        <v>46119.0</v>
      </c>
      <c r="AA15" s="109" t="s">
        <v>1143</v>
      </c>
      <c r="AB15" s="109" t="s">
        <v>1144</v>
      </c>
      <c r="AC15" s="58" t="s">
        <v>11</v>
      </c>
      <c r="AD15" s="58" t="s">
        <v>20</v>
      </c>
      <c r="AE15" s="61"/>
      <c r="AF15" s="269" t="b">
        <v>1</v>
      </c>
      <c r="AH15" s="314">
        <v>46127.0</v>
      </c>
      <c r="AI15" s="302" t="s">
        <v>1145</v>
      </c>
      <c r="AJ15" s="277" t="s">
        <v>1146</v>
      </c>
      <c r="AK15" s="303" t="s">
        <v>16</v>
      </c>
      <c r="AL15" s="303" t="s">
        <v>12</v>
      </c>
      <c r="AM15" s="290"/>
      <c r="AN15" s="281" t="b">
        <v>1</v>
      </c>
      <c r="AO15" s="258"/>
      <c r="AP15" s="282">
        <v>46126.0</v>
      </c>
      <c r="AQ15" s="283" t="s">
        <v>1147</v>
      </c>
      <c r="AR15" s="283" t="s">
        <v>1148</v>
      </c>
      <c r="AS15" s="285" t="s">
        <v>27</v>
      </c>
      <c r="AT15" s="285" t="s">
        <v>20</v>
      </c>
      <c r="AU15" s="300"/>
      <c r="AV15" s="286" t="b">
        <v>1</v>
      </c>
      <c r="AW15" s="258"/>
      <c r="AX15" s="314">
        <v>46133.0</v>
      </c>
      <c r="AY15" s="302" t="s">
        <v>1149</v>
      </c>
      <c r="AZ15" s="277" t="s">
        <v>1150</v>
      </c>
      <c r="BA15" s="303" t="s">
        <v>22</v>
      </c>
      <c r="BB15" s="303" t="s">
        <v>20</v>
      </c>
      <c r="BC15" s="302"/>
      <c r="BD15" s="281" t="b">
        <v>1</v>
      </c>
      <c r="BE15" s="258"/>
      <c r="BF15" s="282"/>
      <c r="BG15" s="283"/>
      <c r="BH15" s="283"/>
      <c r="BI15" s="285"/>
      <c r="BJ15" s="285"/>
      <c r="BK15" s="300"/>
      <c r="BL15" s="286"/>
    </row>
    <row r="16" ht="22.5" customHeight="1">
      <c r="A16" s="263"/>
      <c r="B16" s="270">
        <v>46111.0</v>
      </c>
      <c r="C16" s="109" t="s">
        <v>1151</v>
      </c>
      <c r="D16" s="109" t="s">
        <v>1152</v>
      </c>
      <c r="E16" s="58" t="s">
        <v>22</v>
      </c>
      <c r="F16" s="58" t="s">
        <v>12</v>
      </c>
      <c r="G16" s="61"/>
      <c r="H16" s="269" t="b">
        <v>1</v>
      </c>
      <c r="I16" s="258"/>
      <c r="J16" s="270">
        <v>46111.0</v>
      </c>
      <c r="K16" s="109" t="s">
        <v>1153</v>
      </c>
      <c r="L16" s="109" t="s">
        <v>1154</v>
      </c>
      <c r="M16" s="58" t="s">
        <v>11</v>
      </c>
      <c r="N16" s="58" t="s">
        <v>20</v>
      </c>
      <c r="O16" s="61"/>
      <c r="P16" s="269" t="b">
        <v>1</v>
      </c>
      <c r="Q16" s="258"/>
      <c r="R16" s="270">
        <v>46120.0</v>
      </c>
      <c r="S16" s="109" t="s">
        <v>1155</v>
      </c>
      <c r="T16" s="109" t="s">
        <v>1156</v>
      </c>
      <c r="U16" s="58"/>
      <c r="V16" s="58" t="s">
        <v>958</v>
      </c>
      <c r="W16" s="109" t="s">
        <v>1157</v>
      </c>
      <c r="X16" s="298"/>
      <c r="Y16" s="258"/>
      <c r="Z16" s="270">
        <v>46119.0</v>
      </c>
      <c r="AA16" s="109" t="s">
        <v>1158</v>
      </c>
      <c r="AB16" s="109" t="s">
        <v>1159</v>
      </c>
      <c r="AC16" s="58" t="s">
        <v>11</v>
      </c>
      <c r="AD16" s="58" t="s">
        <v>20</v>
      </c>
      <c r="AE16" s="61"/>
      <c r="AF16" s="269" t="b">
        <v>1</v>
      </c>
      <c r="AH16" s="314">
        <v>46127.0</v>
      </c>
      <c r="AI16" s="302" t="s">
        <v>1160</v>
      </c>
      <c r="AJ16" s="277" t="s">
        <v>1161</v>
      </c>
      <c r="AK16" s="316" t="s">
        <v>16</v>
      </c>
      <c r="AL16" s="316" t="s">
        <v>12</v>
      </c>
      <c r="AM16" s="302"/>
      <c r="AN16" s="315"/>
      <c r="AO16" s="258"/>
      <c r="AP16" s="282">
        <v>46126.0</v>
      </c>
      <c r="AQ16" s="283" t="s">
        <v>1162</v>
      </c>
      <c r="AR16" s="283" t="s">
        <v>1163</v>
      </c>
      <c r="AS16" s="285" t="s">
        <v>27</v>
      </c>
      <c r="AT16" s="285" t="s">
        <v>20</v>
      </c>
      <c r="AU16" s="300"/>
      <c r="AV16" s="286" t="b">
        <v>1</v>
      </c>
      <c r="AW16" s="258"/>
      <c r="AX16" s="314">
        <v>46133.0</v>
      </c>
      <c r="AY16" s="302" t="s">
        <v>1164</v>
      </c>
      <c r="AZ16" s="277" t="s">
        <v>1165</v>
      </c>
      <c r="BA16" s="303" t="s">
        <v>22</v>
      </c>
      <c r="BB16" s="303" t="s">
        <v>20</v>
      </c>
      <c r="BC16" s="290"/>
      <c r="BD16" s="281" t="b">
        <v>1</v>
      </c>
      <c r="BE16" s="258"/>
      <c r="BF16" s="282"/>
      <c r="BG16" s="283"/>
      <c r="BH16" s="283"/>
      <c r="BI16" s="285"/>
      <c r="BJ16" s="285"/>
      <c r="BK16" s="300"/>
      <c r="BL16" s="286"/>
    </row>
    <row r="17" ht="22.5" customHeight="1">
      <c r="A17" s="263"/>
      <c r="B17" s="270">
        <v>46111.0</v>
      </c>
      <c r="C17" s="109" t="s">
        <v>1166</v>
      </c>
      <c r="D17" s="109" t="s">
        <v>1167</v>
      </c>
      <c r="E17" s="58" t="s">
        <v>22</v>
      </c>
      <c r="F17" s="58" t="s">
        <v>12</v>
      </c>
      <c r="G17" s="61"/>
      <c r="H17" s="269" t="b">
        <v>1</v>
      </c>
      <c r="I17" s="258"/>
      <c r="J17" s="270">
        <v>46111.0</v>
      </c>
      <c r="K17" s="109" t="s">
        <v>1168</v>
      </c>
      <c r="L17" s="109" t="s">
        <v>1169</v>
      </c>
      <c r="M17" s="58" t="s">
        <v>11</v>
      </c>
      <c r="N17" s="58" t="s">
        <v>20</v>
      </c>
      <c r="O17" s="61"/>
      <c r="P17" s="269" t="b">
        <v>1</v>
      </c>
      <c r="Q17" s="258"/>
      <c r="R17" s="270">
        <v>46120.0</v>
      </c>
      <c r="S17" s="109" t="s">
        <v>1170</v>
      </c>
      <c r="T17" s="109" t="s">
        <v>1171</v>
      </c>
      <c r="U17" s="58" t="s">
        <v>22</v>
      </c>
      <c r="V17" s="58" t="s">
        <v>958</v>
      </c>
      <c r="W17" s="61"/>
      <c r="X17" s="269" t="b">
        <v>1</v>
      </c>
      <c r="Y17" s="258"/>
      <c r="Z17" s="270">
        <v>46119.0</v>
      </c>
      <c r="AA17" s="109" t="s">
        <v>1172</v>
      </c>
      <c r="AB17" s="109" t="s">
        <v>1173</v>
      </c>
      <c r="AC17" s="58" t="s">
        <v>15</v>
      </c>
      <c r="AD17" s="58" t="s">
        <v>20</v>
      </c>
      <c r="AE17" s="61"/>
      <c r="AF17" s="269" t="b">
        <v>1</v>
      </c>
      <c r="AH17" s="314">
        <v>46127.0</v>
      </c>
      <c r="AI17" s="302" t="s">
        <v>1174</v>
      </c>
      <c r="AJ17" s="277" t="s">
        <v>1175</v>
      </c>
      <c r="AK17" s="303" t="s">
        <v>13</v>
      </c>
      <c r="AL17" s="303" t="s">
        <v>12</v>
      </c>
      <c r="AM17" s="290"/>
      <c r="AN17" s="281" t="b">
        <v>1</v>
      </c>
      <c r="AO17" s="258"/>
      <c r="AP17" s="282">
        <v>46126.0</v>
      </c>
      <c r="AQ17" s="283" t="s">
        <v>1176</v>
      </c>
      <c r="AR17" s="283" t="s">
        <v>1177</v>
      </c>
      <c r="AS17" s="285" t="s">
        <v>27</v>
      </c>
      <c r="AT17" s="285" t="s">
        <v>20</v>
      </c>
      <c r="AU17" s="300"/>
      <c r="AV17" s="286" t="b">
        <v>1</v>
      </c>
      <c r="AW17" s="258"/>
      <c r="AX17" s="314">
        <v>46133.0</v>
      </c>
      <c r="AY17" s="302" t="s">
        <v>1178</v>
      </c>
      <c r="AZ17" s="277" t="s">
        <v>1179</v>
      </c>
      <c r="BA17" s="303" t="s">
        <v>22</v>
      </c>
      <c r="BB17" s="303" t="s">
        <v>20</v>
      </c>
      <c r="BC17" s="290"/>
      <c r="BD17" s="281" t="b">
        <v>1</v>
      </c>
      <c r="BE17" s="258"/>
      <c r="BF17" s="282"/>
      <c r="BG17" s="283"/>
      <c r="BH17" s="283"/>
      <c r="BI17" s="285"/>
      <c r="BJ17" s="285"/>
      <c r="BK17" s="300"/>
      <c r="BL17" s="286"/>
    </row>
    <row r="18" ht="22.5" customHeight="1">
      <c r="A18" s="263"/>
      <c r="B18" s="270">
        <v>46111.0</v>
      </c>
      <c r="C18" s="109" t="s">
        <v>1180</v>
      </c>
      <c r="D18" s="109" t="s">
        <v>1181</v>
      </c>
      <c r="E18" s="58" t="s">
        <v>10</v>
      </c>
      <c r="F18" s="58" t="s">
        <v>28</v>
      </c>
      <c r="G18" s="61"/>
      <c r="H18" s="269" t="b">
        <v>1</v>
      </c>
      <c r="I18" s="258"/>
      <c r="J18" s="270">
        <v>46111.0</v>
      </c>
      <c r="K18" s="109" t="s">
        <v>1182</v>
      </c>
      <c r="L18" s="109" t="s">
        <v>1183</v>
      </c>
      <c r="M18" s="58" t="s">
        <v>11</v>
      </c>
      <c r="N18" s="58" t="s">
        <v>20</v>
      </c>
      <c r="O18" s="61"/>
      <c r="P18" s="269" t="b">
        <v>1</v>
      </c>
      <c r="Q18" s="258"/>
      <c r="R18" s="270">
        <v>46120.0</v>
      </c>
      <c r="S18" s="109" t="s">
        <v>1184</v>
      </c>
      <c r="T18" s="317" t="s">
        <v>1185</v>
      </c>
      <c r="U18" s="58"/>
      <c r="V18" s="58" t="s">
        <v>958</v>
      </c>
      <c r="W18" s="109" t="s">
        <v>1186</v>
      </c>
      <c r="X18" s="298"/>
      <c r="Y18" s="258"/>
      <c r="Z18" s="270">
        <v>46119.0</v>
      </c>
      <c r="AA18" s="109" t="s">
        <v>1187</v>
      </c>
      <c r="AB18" s="109" t="s">
        <v>1188</v>
      </c>
      <c r="AC18" s="58" t="s">
        <v>15</v>
      </c>
      <c r="AD18" s="58" t="s">
        <v>20</v>
      </c>
      <c r="AE18" s="61"/>
      <c r="AF18" s="269" t="b">
        <v>1</v>
      </c>
      <c r="AH18" s="314">
        <v>46127.0</v>
      </c>
      <c r="AI18" s="302" t="s">
        <v>1189</v>
      </c>
      <c r="AJ18" s="277" t="s">
        <v>1190</v>
      </c>
      <c r="AK18" s="303" t="s">
        <v>19</v>
      </c>
      <c r="AL18" s="303" t="s">
        <v>12</v>
      </c>
      <c r="AM18" s="290"/>
      <c r="AN18" s="281" t="b">
        <v>1</v>
      </c>
      <c r="AO18" s="258"/>
      <c r="AP18" s="282">
        <v>46126.0</v>
      </c>
      <c r="AQ18" s="283" t="s">
        <v>1191</v>
      </c>
      <c r="AR18" s="283" t="s">
        <v>1192</v>
      </c>
      <c r="AS18" s="285" t="s">
        <v>27</v>
      </c>
      <c r="AT18" s="285" t="s">
        <v>20</v>
      </c>
      <c r="AU18" s="283"/>
      <c r="AV18" s="286" t="b">
        <v>1</v>
      </c>
      <c r="AW18" s="258"/>
      <c r="AX18" s="314">
        <v>46133.0</v>
      </c>
      <c r="AY18" s="302" t="s">
        <v>1193</v>
      </c>
      <c r="AZ18" s="277" t="s">
        <v>1194</v>
      </c>
      <c r="BA18" s="303" t="s">
        <v>22</v>
      </c>
      <c r="BB18" s="303" t="s">
        <v>20</v>
      </c>
      <c r="BC18" s="290"/>
      <c r="BD18" s="281" t="b">
        <v>1</v>
      </c>
      <c r="BE18" s="258"/>
      <c r="BF18" s="282"/>
      <c r="BG18" s="283"/>
      <c r="BH18" s="283"/>
      <c r="BI18" s="285"/>
      <c r="BJ18" s="285"/>
      <c r="BK18" s="283"/>
      <c r="BL18" s="286"/>
    </row>
    <row r="19" ht="22.5" customHeight="1">
      <c r="A19" s="263"/>
      <c r="B19" s="270">
        <v>46111.0</v>
      </c>
      <c r="C19" s="109" t="s">
        <v>1195</v>
      </c>
      <c r="D19" s="109" t="s">
        <v>1196</v>
      </c>
      <c r="E19" s="58" t="s">
        <v>22</v>
      </c>
      <c r="F19" s="58" t="s">
        <v>12</v>
      </c>
      <c r="G19" s="61"/>
      <c r="H19" s="269" t="b">
        <v>1</v>
      </c>
      <c r="I19" s="258"/>
      <c r="J19" s="270">
        <v>46111.0</v>
      </c>
      <c r="K19" s="109" t="s">
        <v>1197</v>
      </c>
      <c r="L19" s="109" t="s">
        <v>1198</v>
      </c>
      <c r="M19" s="58" t="s">
        <v>11</v>
      </c>
      <c r="N19" s="58" t="s">
        <v>20</v>
      </c>
      <c r="O19" s="61"/>
      <c r="P19" s="269" t="b">
        <v>1</v>
      </c>
      <c r="Q19" s="258"/>
      <c r="R19" s="270">
        <v>46121.0</v>
      </c>
      <c r="S19" s="109" t="s">
        <v>1199</v>
      </c>
      <c r="T19" s="109" t="s">
        <v>1200</v>
      </c>
      <c r="U19" s="58" t="s">
        <v>32</v>
      </c>
      <c r="V19" s="58" t="s">
        <v>12</v>
      </c>
      <c r="W19" s="61"/>
      <c r="X19" s="269" t="b">
        <v>1</v>
      </c>
      <c r="Y19" s="258"/>
      <c r="Z19" s="270">
        <v>46119.0</v>
      </c>
      <c r="AA19" s="109" t="s">
        <v>1201</v>
      </c>
      <c r="AB19" s="109" t="s">
        <v>1202</v>
      </c>
      <c r="AC19" s="58" t="s">
        <v>23</v>
      </c>
      <c r="AD19" s="58" t="s">
        <v>14</v>
      </c>
      <c r="AE19" s="61"/>
      <c r="AF19" s="269" t="b">
        <v>1</v>
      </c>
      <c r="AH19" s="314">
        <v>46127.0</v>
      </c>
      <c r="AI19" s="302" t="s">
        <v>1203</v>
      </c>
      <c r="AJ19" s="277" t="s">
        <v>1204</v>
      </c>
      <c r="AK19" s="303" t="s">
        <v>10</v>
      </c>
      <c r="AL19" s="303" t="s">
        <v>12</v>
      </c>
      <c r="AM19" s="290"/>
      <c r="AN19" s="281" t="b">
        <v>1</v>
      </c>
      <c r="AO19" s="258"/>
      <c r="AP19" s="282">
        <v>46126.0</v>
      </c>
      <c r="AQ19" s="283" t="s">
        <v>1205</v>
      </c>
      <c r="AR19" s="283" t="s">
        <v>1206</v>
      </c>
      <c r="AS19" s="285" t="s">
        <v>27</v>
      </c>
      <c r="AT19" s="285" t="s">
        <v>20</v>
      </c>
      <c r="AU19" s="300"/>
      <c r="AV19" s="286" t="b">
        <v>1</v>
      </c>
      <c r="AW19" s="258"/>
      <c r="AX19" s="314">
        <v>46133.0</v>
      </c>
      <c r="AY19" s="302" t="s">
        <v>1207</v>
      </c>
      <c r="AZ19" s="277" t="s">
        <v>1208</v>
      </c>
      <c r="BA19" s="303" t="s">
        <v>22</v>
      </c>
      <c r="BB19" s="303" t="s">
        <v>20</v>
      </c>
      <c r="BC19" s="290"/>
      <c r="BD19" s="281" t="b">
        <v>1</v>
      </c>
      <c r="BE19" s="258"/>
      <c r="BF19" s="282"/>
      <c r="BG19" s="283"/>
      <c r="BH19" s="283"/>
      <c r="BI19" s="285"/>
      <c r="BJ19" s="285"/>
      <c r="BK19" s="300"/>
      <c r="BL19" s="286"/>
    </row>
    <row r="20" ht="22.5" customHeight="1">
      <c r="A20" s="263"/>
      <c r="B20" s="270">
        <v>46111.0</v>
      </c>
      <c r="C20" s="109" t="s">
        <v>1209</v>
      </c>
      <c r="D20" s="109" t="s">
        <v>1210</v>
      </c>
      <c r="E20" s="58" t="s">
        <v>22</v>
      </c>
      <c r="F20" s="58" t="s">
        <v>9</v>
      </c>
      <c r="G20" s="61"/>
      <c r="H20" s="269" t="b">
        <v>1</v>
      </c>
      <c r="I20" s="258"/>
      <c r="J20" s="270">
        <v>46111.0</v>
      </c>
      <c r="K20" s="109" t="s">
        <v>1211</v>
      </c>
      <c r="L20" s="109" t="s">
        <v>1212</v>
      </c>
      <c r="M20" s="58" t="s">
        <v>11</v>
      </c>
      <c r="N20" s="58" t="s">
        <v>20</v>
      </c>
      <c r="O20" s="61"/>
      <c r="P20" s="269" t="b">
        <v>1</v>
      </c>
      <c r="Q20" s="258"/>
      <c r="R20" s="270">
        <v>46121.0</v>
      </c>
      <c r="S20" s="109" t="s">
        <v>1213</v>
      </c>
      <c r="T20" s="109" t="s">
        <v>1214</v>
      </c>
      <c r="U20" s="58" t="s">
        <v>32</v>
      </c>
      <c r="V20" s="58" t="s">
        <v>12</v>
      </c>
      <c r="W20" s="61"/>
      <c r="X20" s="269" t="b">
        <v>1</v>
      </c>
      <c r="Y20" s="258"/>
      <c r="Z20" s="270">
        <v>46119.0</v>
      </c>
      <c r="AA20" s="109" t="s">
        <v>1215</v>
      </c>
      <c r="AB20" s="109" t="s">
        <v>1216</v>
      </c>
      <c r="AC20" s="58" t="s">
        <v>18</v>
      </c>
      <c r="AD20" s="58" t="s">
        <v>17</v>
      </c>
      <c r="AE20" s="109" t="s">
        <v>1217</v>
      </c>
      <c r="AF20" s="298"/>
      <c r="AH20" s="314">
        <v>46128.0</v>
      </c>
      <c r="AI20" s="302" t="s">
        <v>1218</v>
      </c>
      <c r="AJ20" s="277" t="s">
        <v>1219</v>
      </c>
      <c r="AK20" s="303" t="s">
        <v>16</v>
      </c>
      <c r="AL20" s="303" t="s">
        <v>12</v>
      </c>
      <c r="AM20" s="290"/>
      <c r="AN20" s="281" t="b">
        <v>1</v>
      </c>
      <c r="AO20" s="258"/>
      <c r="AP20" s="282">
        <v>46126.0</v>
      </c>
      <c r="AQ20" s="283" t="s">
        <v>1220</v>
      </c>
      <c r="AR20" s="283" t="s">
        <v>1221</v>
      </c>
      <c r="AS20" s="285" t="s">
        <v>27</v>
      </c>
      <c r="AT20" s="285" t="s">
        <v>20</v>
      </c>
      <c r="AU20" s="300"/>
      <c r="AV20" s="286" t="b">
        <v>1</v>
      </c>
      <c r="AW20" s="258"/>
      <c r="AX20" s="314">
        <v>46133.0</v>
      </c>
      <c r="AY20" s="302" t="s">
        <v>1222</v>
      </c>
      <c r="AZ20" s="277" t="s">
        <v>1223</v>
      </c>
      <c r="BA20" s="303" t="s">
        <v>22</v>
      </c>
      <c r="BB20" s="303" t="s">
        <v>20</v>
      </c>
      <c r="BC20" s="290"/>
      <c r="BD20" s="281" t="b">
        <v>1</v>
      </c>
      <c r="BE20" s="258"/>
      <c r="BF20" s="282"/>
      <c r="BG20" s="283"/>
      <c r="BH20" s="283"/>
      <c r="BI20" s="285"/>
      <c r="BJ20" s="285"/>
      <c r="BK20" s="300"/>
      <c r="BL20" s="286"/>
    </row>
    <row r="21" ht="22.5" customHeight="1">
      <c r="A21" s="263"/>
      <c r="B21" s="270">
        <v>46111.0</v>
      </c>
      <c r="C21" s="109" t="s">
        <v>1224</v>
      </c>
      <c r="D21" s="109" t="s">
        <v>1225</v>
      </c>
      <c r="E21" s="58" t="s">
        <v>19</v>
      </c>
      <c r="F21" s="58" t="s">
        <v>9</v>
      </c>
      <c r="G21" s="61"/>
      <c r="H21" s="269" t="b">
        <v>1</v>
      </c>
      <c r="I21" s="258"/>
      <c r="J21" s="270">
        <v>46111.0</v>
      </c>
      <c r="K21" s="109" t="s">
        <v>1226</v>
      </c>
      <c r="L21" s="109" t="s">
        <v>1227</v>
      </c>
      <c r="M21" s="58" t="s">
        <v>11</v>
      </c>
      <c r="N21" s="58" t="s">
        <v>20</v>
      </c>
      <c r="O21" s="109" t="s">
        <v>1228</v>
      </c>
      <c r="P21" s="269" t="b">
        <v>1</v>
      </c>
      <c r="Q21" s="258"/>
      <c r="R21" s="270">
        <v>46121.0</v>
      </c>
      <c r="S21" s="109" t="s">
        <v>1229</v>
      </c>
      <c r="T21" s="109" t="s">
        <v>1230</v>
      </c>
      <c r="U21" s="58" t="s">
        <v>32</v>
      </c>
      <c r="V21" s="58" t="s">
        <v>12</v>
      </c>
      <c r="W21" s="61"/>
      <c r="X21" s="269" t="b">
        <v>1</v>
      </c>
      <c r="Y21" s="258"/>
      <c r="Z21" s="270">
        <v>46119.0</v>
      </c>
      <c r="AA21" s="109" t="s">
        <v>1231</v>
      </c>
      <c r="AB21" s="109" t="s">
        <v>1232</v>
      </c>
      <c r="AC21" s="58" t="s">
        <v>18</v>
      </c>
      <c r="AD21" s="58" t="s">
        <v>17</v>
      </c>
      <c r="AE21" s="61"/>
      <c r="AF21" s="269" t="b">
        <v>1</v>
      </c>
      <c r="AH21" s="314">
        <v>46128.0</v>
      </c>
      <c r="AI21" s="302" t="s">
        <v>1233</v>
      </c>
      <c r="AJ21" s="277" t="s">
        <v>1234</v>
      </c>
      <c r="AK21" s="303" t="s">
        <v>13</v>
      </c>
      <c r="AL21" s="303" t="s">
        <v>12</v>
      </c>
      <c r="AM21" s="290"/>
      <c r="AN21" s="281" t="b">
        <v>1</v>
      </c>
      <c r="AO21" s="258"/>
      <c r="AP21" s="282">
        <v>46126.0</v>
      </c>
      <c r="AQ21" s="283" t="s">
        <v>1235</v>
      </c>
      <c r="AR21" s="283" t="s">
        <v>1236</v>
      </c>
      <c r="AS21" s="285" t="s">
        <v>27</v>
      </c>
      <c r="AT21" s="285" t="s">
        <v>20</v>
      </c>
      <c r="AU21" s="300"/>
      <c r="AV21" s="286" t="b">
        <v>1</v>
      </c>
      <c r="AW21" s="258"/>
      <c r="AX21" s="314">
        <v>46134.0</v>
      </c>
      <c r="AY21" s="302" t="s">
        <v>1237</v>
      </c>
      <c r="AZ21" s="277" t="s">
        <v>1238</v>
      </c>
      <c r="BA21" s="303" t="s">
        <v>13</v>
      </c>
      <c r="BB21" s="303" t="s">
        <v>12</v>
      </c>
      <c r="BC21" s="290"/>
      <c r="BD21" s="281" t="b">
        <v>1</v>
      </c>
      <c r="BE21" s="258"/>
      <c r="BF21" s="282"/>
      <c r="BG21" s="283"/>
      <c r="BH21" s="283"/>
      <c r="BI21" s="285"/>
      <c r="BJ21" s="285"/>
      <c r="BK21" s="300"/>
      <c r="BL21" s="286"/>
    </row>
    <row r="22" ht="22.5" customHeight="1">
      <c r="A22" s="263"/>
      <c r="B22" s="270">
        <v>46111.0</v>
      </c>
      <c r="C22" s="109" t="s">
        <v>1239</v>
      </c>
      <c r="D22" s="109" t="s">
        <v>1240</v>
      </c>
      <c r="E22" s="58" t="s">
        <v>22</v>
      </c>
      <c r="F22" s="58" t="s">
        <v>9</v>
      </c>
      <c r="G22" s="61"/>
      <c r="H22" s="269" t="b">
        <v>1</v>
      </c>
      <c r="I22" s="258"/>
      <c r="J22" s="270">
        <v>46111.0</v>
      </c>
      <c r="K22" s="109" t="s">
        <v>1241</v>
      </c>
      <c r="L22" s="109" t="s">
        <v>1242</v>
      </c>
      <c r="M22" s="58" t="s">
        <v>11</v>
      </c>
      <c r="N22" s="58" t="s">
        <v>20</v>
      </c>
      <c r="O22" s="61"/>
      <c r="P22" s="269" t="b">
        <v>1</v>
      </c>
      <c r="Q22" s="258"/>
      <c r="R22" s="270">
        <v>46121.0</v>
      </c>
      <c r="S22" s="109" t="s">
        <v>1243</v>
      </c>
      <c r="T22" s="109" t="s">
        <v>1244</v>
      </c>
      <c r="U22" s="58" t="s">
        <v>10</v>
      </c>
      <c r="V22" s="58" t="s">
        <v>12</v>
      </c>
      <c r="W22" s="61"/>
      <c r="X22" s="269" t="b">
        <v>1</v>
      </c>
      <c r="Y22" s="258"/>
      <c r="Z22" s="270">
        <v>46119.0</v>
      </c>
      <c r="AA22" s="109" t="s">
        <v>1245</v>
      </c>
      <c r="AB22" s="109" t="s">
        <v>1246</v>
      </c>
      <c r="AC22" s="58" t="s">
        <v>27</v>
      </c>
      <c r="AD22" s="58" t="s">
        <v>14</v>
      </c>
      <c r="AE22" s="61"/>
      <c r="AF22" s="269" t="b">
        <v>1</v>
      </c>
      <c r="AH22" s="314">
        <v>46128.0</v>
      </c>
      <c r="AI22" s="302" t="s">
        <v>1247</v>
      </c>
      <c r="AJ22" s="277" t="s">
        <v>1248</v>
      </c>
      <c r="AK22" s="303" t="s">
        <v>24</v>
      </c>
      <c r="AL22" s="303" t="s">
        <v>12</v>
      </c>
      <c r="AM22" s="290"/>
      <c r="AN22" s="281" t="b">
        <v>1</v>
      </c>
      <c r="AO22" s="258"/>
      <c r="AP22" s="282">
        <v>46126.0</v>
      </c>
      <c r="AQ22" s="283" t="s">
        <v>1249</v>
      </c>
      <c r="AR22" s="283" t="s">
        <v>1250</v>
      </c>
      <c r="AS22" s="285" t="s">
        <v>27</v>
      </c>
      <c r="AT22" s="285" t="s">
        <v>20</v>
      </c>
      <c r="AU22" s="300"/>
      <c r="AV22" s="286" t="b">
        <v>1</v>
      </c>
      <c r="AW22" s="258"/>
      <c r="AX22" s="314">
        <v>46134.0</v>
      </c>
      <c r="AY22" s="318" t="s">
        <v>1251</v>
      </c>
      <c r="AZ22" s="277" t="s">
        <v>1252</v>
      </c>
      <c r="BA22" s="303" t="s">
        <v>32</v>
      </c>
      <c r="BB22" s="303" t="s">
        <v>12</v>
      </c>
      <c r="BC22" s="290"/>
      <c r="BD22" s="281" t="b">
        <v>1</v>
      </c>
      <c r="BE22" s="258"/>
      <c r="BF22" s="282"/>
      <c r="BG22" s="283"/>
      <c r="BH22" s="283"/>
      <c r="BI22" s="285"/>
      <c r="BJ22" s="285"/>
      <c r="BK22" s="300"/>
      <c r="BL22" s="286"/>
    </row>
    <row r="23" ht="22.5" customHeight="1">
      <c r="A23" s="263"/>
      <c r="B23" s="270">
        <v>46111.0</v>
      </c>
      <c r="C23" s="109" t="s">
        <v>1253</v>
      </c>
      <c r="D23" s="109" t="s">
        <v>1254</v>
      </c>
      <c r="E23" s="58" t="s">
        <v>10</v>
      </c>
      <c r="F23" s="58" t="s">
        <v>28</v>
      </c>
      <c r="G23" s="61"/>
      <c r="H23" s="269" t="b">
        <v>1</v>
      </c>
      <c r="I23" s="258"/>
      <c r="J23" s="270">
        <v>46111.0</v>
      </c>
      <c r="K23" s="109" t="s">
        <v>1255</v>
      </c>
      <c r="L23" s="109" t="s">
        <v>1256</v>
      </c>
      <c r="M23" s="58" t="s">
        <v>11</v>
      </c>
      <c r="N23" s="58" t="s">
        <v>20</v>
      </c>
      <c r="O23" s="61"/>
      <c r="P23" s="269" t="b">
        <v>1</v>
      </c>
      <c r="Q23" s="258"/>
      <c r="R23" s="270">
        <v>46121.0</v>
      </c>
      <c r="S23" s="109" t="s">
        <v>1257</v>
      </c>
      <c r="T23" s="109" t="s">
        <v>1258</v>
      </c>
      <c r="U23" s="58" t="s">
        <v>32</v>
      </c>
      <c r="V23" s="58" t="s">
        <v>12</v>
      </c>
      <c r="W23" s="61"/>
      <c r="X23" s="269" t="b">
        <v>1</v>
      </c>
      <c r="Y23" s="258"/>
      <c r="Z23" s="270">
        <v>46120.0</v>
      </c>
      <c r="AA23" s="109" t="s">
        <v>1259</v>
      </c>
      <c r="AB23" s="109" t="s">
        <v>1260</v>
      </c>
      <c r="AC23" s="58" t="s">
        <v>27</v>
      </c>
      <c r="AD23" s="58" t="s">
        <v>14</v>
      </c>
      <c r="AE23" s="61"/>
      <c r="AF23" s="269" t="b">
        <v>1</v>
      </c>
      <c r="AH23" s="314">
        <v>46128.0</v>
      </c>
      <c r="AI23" s="302" t="s">
        <v>1261</v>
      </c>
      <c r="AJ23" s="277" t="s">
        <v>1262</v>
      </c>
      <c r="AK23" s="303" t="s">
        <v>16</v>
      </c>
      <c r="AL23" s="303" t="s">
        <v>12</v>
      </c>
      <c r="AM23" s="290"/>
      <c r="AN23" s="281" t="b">
        <v>1</v>
      </c>
      <c r="AO23" s="258"/>
      <c r="AP23" s="282">
        <v>46126.0</v>
      </c>
      <c r="AQ23" s="283" t="s">
        <v>1263</v>
      </c>
      <c r="AR23" s="283" t="s">
        <v>1264</v>
      </c>
      <c r="AS23" s="285" t="s">
        <v>11</v>
      </c>
      <c r="AT23" s="285" t="s">
        <v>17</v>
      </c>
      <c r="AU23" s="300"/>
      <c r="AV23" s="286" t="b">
        <v>1</v>
      </c>
      <c r="AW23" s="258"/>
      <c r="AX23" s="314">
        <v>46134.0</v>
      </c>
      <c r="AY23" s="302" t="s">
        <v>1265</v>
      </c>
      <c r="AZ23" s="277" t="s">
        <v>1266</v>
      </c>
      <c r="BA23" s="303" t="s">
        <v>13</v>
      </c>
      <c r="BB23" s="303" t="s">
        <v>12</v>
      </c>
      <c r="BC23" s="290"/>
      <c r="BD23" s="281" t="b">
        <v>1</v>
      </c>
      <c r="BE23" s="258"/>
      <c r="BF23" s="282"/>
      <c r="BG23" s="283"/>
      <c r="BH23" s="283"/>
      <c r="BI23" s="285"/>
      <c r="BJ23" s="285"/>
      <c r="BK23" s="300"/>
      <c r="BL23" s="313"/>
    </row>
    <row r="24" ht="22.5" customHeight="1">
      <c r="A24" s="263"/>
      <c r="B24" s="270">
        <v>46111.0</v>
      </c>
      <c r="C24" s="109" t="s">
        <v>1267</v>
      </c>
      <c r="D24" s="109" t="s">
        <v>1268</v>
      </c>
      <c r="E24" s="58" t="s">
        <v>10</v>
      </c>
      <c r="F24" s="58" t="s">
        <v>28</v>
      </c>
      <c r="G24" s="61"/>
      <c r="H24" s="269" t="b">
        <v>1</v>
      </c>
      <c r="I24" s="258"/>
      <c r="J24" s="270">
        <v>46111.0</v>
      </c>
      <c r="K24" s="109" t="s">
        <v>1269</v>
      </c>
      <c r="L24" s="109" t="s">
        <v>1270</v>
      </c>
      <c r="M24" s="58" t="s">
        <v>11</v>
      </c>
      <c r="N24" s="58" t="s">
        <v>20</v>
      </c>
      <c r="O24" s="61"/>
      <c r="P24" s="269" t="b">
        <v>1</v>
      </c>
      <c r="Q24" s="258"/>
      <c r="R24" s="270">
        <v>46121.0</v>
      </c>
      <c r="S24" s="109" t="s">
        <v>1271</v>
      </c>
      <c r="T24" s="109" t="s">
        <v>1272</v>
      </c>
      <c r="U24" s="58" t="s">
        <v>32</v>
      </c>
      <c r="V24" s="58" t="s">
        <v>12</v>
      </c>
      <c r="W24" s="61"/>
      <c r="X24" s="269" t="b">
        <v>1</v>
      </c>
      <c r="Y24" s="258"/>
      <c r="Z24" s="270">
        <v>46120.0</v>
      </c>
      <c r="AA24" s="109" t="s">
        <v>1273</v>
      </c>
      <c r="AB24" s="109" t="s">
        <v>1274</v>
      </c>
      <c r="AC24" s="58" t="s">
        <v>11</v>
      </c>
      <c r="AD24" s="58" t="s">
        <v>14</v>
      </c>
      <c r="AE24" s="61"/>
      <c r="AF24" s="269" t="b">
        <v>1</v>
      </c>
      <c r="AH24" s="314">
        <v>46128.0</v>
      </c>
      <c r="AI24" s="302" t="s">
        <v>1275</v>
      </c>
      <c r="AJ24" s="277" t="s">
        <v>1276</v>
      </c>
      <c r="AK24" s="303" t="s">
        <v>24</v>
      </c>
      <c r="AL24" s="303" t="s">
        <v>12</v>
      </c>
      <c r="AM24" s="290"/>
      <c r="AN24" s="281" t="b">
        <v>1</v>
      </c>
      <c r="AO24" s="258"/>
      <c r="AP24" s="282">
        <v>46126.0</v>
      </c>
      <c r="AQ24" s="283" t="s">
        <v>1277</v>
      </c>
      <c r="AR24" s="283" t="s">
        <v>1278</v>
      </c>
      <c r="AS24" s="285" t="s">
        <v>18</v>
      </c>
      <c r="AT24" s="285" t="s">
        <v>17</v>
      </c>
      <c r="AU24" s="300"/>
      <c r="AV24" s="286" t="b">
        <v>1</v>
      </c>
      <c r="AW24" s="258"/>
      <c r="AX24" s="314">
        <v>46134.0</v>
      </c>
      <c r="AY24" s="302" t="s">
        <v>1279</v>
      </c>
      <c r="AZ24" s="277" t="s">
        <v>1280</v>
      </c>
      <c r="BA24" s="303" t="s">
        <v>24</v>
      </c>
      <c r="BB24" s="303" t="s">
        <v>12</v>
      </c>
      <c r="BC24" s="290"/>
      <c r="BD24" s="281" t="b">
        <v>1</v>
      </c>
      <c r="BE24" s="258"/>
      <c r="BF24" s="282"/>
      <c r="BG24" s="283"/>
      <c r="BH24" s="283"/>
      <c r="BI24" s="285"/>
      <c r="BJ24" s="285"/>
      <c r="BK24" s="300"/>
      <c r="BL24" s="313"/>
    </row>
    <row r="25" ht="22.5" customHeight="1">
      <c r="A25" s="263"/>
      <c r="B25" s="270">
        <v>46111.0</v>
      </c>
      <c r="C25" s="109" t="s">
        <v>1281</v>
      </c>
      <c r="D25" s="109" t="s">
        <v>1282</v>
      </c>
      <c r="E25" s="58" t="s">
        <v>22</v>
      </c>
      <c r="F25" s="58" t="s">
        <v>12</v>
      </c>
      <c r="G25" s="61"/>
      <c r="H25" s="269" t="b">
        <v>1</v>
      </c>
      <c r="I25" s="258"/>
      <c r="J25" s="270">
        <v>46111.0</v>
      </c>
      <c r="K25" s="109" t="s">
        <v>1283</v>
      </c>
      <c r="L25" s="109" t="s">
        <v>1284</v>
      </c>
      <c r="M25" s="58" t="s">
        <v>27</v>
      </c>
      <c r="N25" s="58" t="s">
        <v>20</v>
      </c>
      <c r="O25" s="109" t="s">
        <v>107</v>
      </c>
      <c r="P25" s="269" t="b">
        <v>0</v>
      </c>
      <c r="Q25" s="258"/>
      <c r="R25" s="270">
        <v>46121.0</v>
      </c>
      <c r="S25" s="109" t="s">
        <v>1285</v>
      </c>
      <c r="T25" s="109" t="s">
        <v>1286</v>
      </c>
      <c r="U25" s="58"/>
      <c r="V25" s="58" t="s">
        <v>958</v>
      </c>
      <c r="W25" s="109" t="s">
        <v>1287</v>
      </c>
      <c r="X25" s="298"/>
      <c r="Y25" s="258"/>
      <c r="Z25" s="270">
        <v>46120.0</v>
      </c>
      <c r="AA25" s="109" t="s">
        <v>1288</v>
      </c>
      <c r="AB25" s="109" t="s">
        <v>1289</v>
      </c>
      <c r="AC25" s="58" t="s">
        <v>11</v>
      </c>
      <c r="AD25" s="58" t="s">
        <v>14</v>
      </c>
      <c r="AE25" s="61"/>
      <c r="AF25" s="269" t="b">
        <v>1</v>
      </c>
      <c r="AH25" s="314">
        <v>46128.0</v>
      </c>
      <c r="AI25" s="302" t="s">
        <v>1290</v>
      </c>
      <c r="AJ25" s="277" t="s">
        <v>1291</v>
      </c>
      <c r="AK25" s="303" t="s">
        <v>13</v>
      </c>
      <c r="AL25" s="303" t="s">
        <v>12</v>
      </c>
      <c r="AM25" s="290"/>
      <c r="AN25" s="281" t="b">
        <v>1</v>
      </c>
      <c r="AO25" s="258"/>
      <c r="AP25" s="282">
        <v>46126.0</v>
      </c>
      <c r="AQ25" s="283" t="s">
        <v>1292</v>
      </c>
      <c r="AR25" s="283" t="s">
        <v>1293</v>
      </c>
      <c r="AS25" s="285" t="s">
        <v>18</v>
      </c>
      <c r="AT25" s="285" t="s">
        <v>17</v>
      </c>
      <c r="AU25" s="300"/>
      <c r="AV25" s="286" t="b">
        <v>1</v>
      </c>
      <c r="AW25" s="258"/>
      <c r="AX25" s="314">
        <v>46134.0</v>
      </c>
      <c r="AY25" s="302" t="s">
        <v>1294</v>
      </c>
      <c r="AZ25" s="277" t="s">
        <v>1295</v>
      </c>
      <c r="BA25" s="303" t="s">
        <v>13</v>
      </c>
      <c r="BB25" s="303" t="s">
        <v>12</v>
      </c>
      <c r="BC25" s="290"/>
      <c r="BD25" s="281" t="b">
        <v>1</v>
      </c>
      <c r="BE25" s="258"/>
      <c r="BF25" s="282"/>
      <c r="BG25" s="283"/>
      <c r="BH25" s="283"/>
      <c r="BI25" s="285"/>
      <c r="BJ25" s="285"/>
      <c r="BK25" s="300"/>
      <c r="BL25" s="313"/>
    </row>
    <row r="26" ht="22.5" customHeight="1">
      <c r="A26" s="263"/>
      <c r="B26" s="270">
        <v>46111.0</v>
      </c>
      <c r="C26" s="109" t="s">
        <v>1296</v>
      </c>
      <c r="D26" s="109" t="s">
        <v>1297</v>
      </c>
      <c r="E26" s="58" t="s">
        <v>22</v>
      </c>
      <c r="F26" s="58" t="s">
        <v>12</v>
      </c>
      <c r="G26" s="61"/>
      <c r="H26" s="269" t="b">
        <v>1</v>
      </c>
      <c r="I26" s="258"/>
      <c r="J26" s="270">
        <v>46111.0</v>
      </c>
      <c r="K26" s="109" t="s">
        <v>1298</v>
      </c>
      <c r="L26" s="109" t="s">
        <v>1299</v>
      </c>
      <c r="M26" s="58" t="s">
        <v>27</v>
      </c>
      <c r="N26" s="58" t="s">
        <v>20</v>
      </c>
      <c r="O26" s="61"/>
      <c r="P26" s="269" t="b">
        <v>1</v>
      </c>
      <c r="Q26" s="258"/>
      <c r="R26" s="270">
        <v>46121.0</v>
      </c>
      <c r="S26" s="109" t="s">
        <v>1300</v>
      </c>
      <c r="T26" s="109" t="s">
        <v>1301</v>
      </c>
      <c r="U26" s="58" t="s">
        <v>32</v>
      </c>
      <c r="V26" s="58" t="s">
        <v>12</v>
      </c>
      <c r="W26" s="61"/>
      <c r="X26" s="269" t="b">
        <v>1</v>
      </c>
      <c r="Y26" s="258"/>
      <c r="Z26" s="270">
        <v>46120.0</v>
      </c>
      <c r="AA26" s="109" t="s">
        <v>1302</v>
      </c>
      <c r="AB26" s="109" t="s">
        <v>1303</v>
      </c>
      <c r="AC26" s="58" t="s">
        <v>27</v>
      </c>
      <c r="AD26" s="58" t="s">
        <v>14</v>
      </c>
      <c r="AE26" s="61"/>
      <c r="AF26" s="269" t="b">
        <v>1</v>
      </c>
      <c r="AH26" s="314">
        <v>46128.0</v>
      </c>
      <c r="AI26" s="318" t="s">
        <v>1304</v>
      </c>
      <c r="AJ26" s="277" t="s">
        <v>1305</v>
      </c>
      <c r="AK26" s="303" t="s">
        <v>22</v>
      </c>
      <c r="AL26" s="303" t="s">
        <v>958</v>
      </c>
      <c r="AM26" s="290"/>
      <c r="AN26" s="281" t="b">
        <v>1</v>
      </c>
      <c r="AO26" s="258"/>
      <c r="AP26" s="282">
        <v>46126.0</v>
      </c>
      <c r="AQ26" s="283" t="s">
        <v>1306</v>
      </c>
      <c r="AR26" s="283" t="s">
        <v>1307</v>
      </c>
      <c r="AS26" s="285" t="s">
        <v>18</v>
      </c>
      <c r="AT26" s="285" t="s">
        <v>17</v>
      </c>
      <c r="AU26" s="300"/>
      <c r="AV26" s="286" t="b">
        <v>1</v>
      </c>
      <c r="AW26" s="258"/>
      <c r="AX26" s="314">
        <v>46134.0</v>
      </c>
      <c r="AY26" s="302" t="s">
        <v>1308</v>
      </c>
      <c r="AZ26" s="277" t="s">
        <v>1309</v>
      </c>
      <c r="BA26" s="319" t="s">
        <v>44</v>
      </c>
      <c r="BB26" s="303" t="s">
        <v>12</v>
      </c>
      <c r="BC26" s="290"/>
      <c r="BD26" s="281" t="b">
        <v>1</v>
      </c>
      <c r="BE26" s="258"/>
      <c r="BF26" s="282"/>
      <c r="BG26" s="283"/>
      <c r="BH26" s="283"/>
      <c r="BI26" s="285"/>
      <c r="BJ26" s="285"/>
      <c r="BK26" s="300"/>
      <c r="BL26" s="313"/>
    </row>
    <row r="27" ht="22.5" customHeight="1">
      <c r="A27" s="263"/>
      <c r="B27" s="270">
        <v>46111.0</v>
      </c>
      <c r="C27" s="109" t="s">
        <v>1310</v>
      </c>
      <c r="D27" s="109" t="s">
        <v>1311</v>
      </c>
      <c r="E27" s="58" t="s">
        <v>10</v>
      </c>
      <c r="F27" s="58" t="s">
        <v>28</v>
      </c>
      <c r="G27" s="61"/>
      <c r="H27" s="269" t="b">
        <v>1</v>
      </c>
      <c r="I27" s="258"/>
      <c r="J27" s="270">
        <v>46111.0</v>
      </c>
      <c r="K27" s="109" t="s">
        <v>1312</v>
      </c>
      <c r="L27" s="109" t="s">
        <v>1313</v>
      </c>
      <c r="M27" s="58" t="s">
        <v>27</v>
      </c>
      <c r="N27" s="58" t="s">
        <v>20</v>
      </c>
      <c r="O27" s="61"/>
      <c r="P27" s="269" t="b">
        <v>1</v>
      </c>
      <c r="Q27" s="258"/>
      <c r="R27" s="270">
        <v>46121.0</v>
      </c>
      <c r="S27" s="47" t="s">
        <v>1314</v>
      </c>
      <c r="T27" s="109" t="s">
        <v>1315</v>
      </c>
      <c r="U27" s="58" t="s">
        <v>22</v>
      </c>
      <c r="V27" s="58" t="s">
        <v>958</v>
      </c>
      <c r="W27" s="61"/>
      <c r="X27" s="269" t="b">
        <v>1</v>
      </c>
      <c r="Y27" s="258"/>
      <c r="Z27" s="270">
        <v>46120.0</v>
      </c>
      <c r="AA27" s="109" t="s">
        <v>1316</v>
      </c>
      <c r="AB27" s="109" t="s">
        <v>1317</v>
      </c>
      <c r="AC27" s="58" t="s">
        <v>18</v>
      </c>
      <c r="AD27" s="58" t="s">
        <v>17</v>
      </c>
      <c r="AE27" s="61"/>
      <c r="AF27" s="269" t="b">
        <v>1</v>
      </c>
      <c r="AH27" s="314">
        <v>46128.0</v>
      </c>
      <c r="AI27" s="302" t="s">
        <v>1318</v>
      </c>
      <c r="AJ27" s="277" t="s">
        <v>1319</v>
      </c>
      <c r="AK27" s="303" t="s">
        <v>22</v>
      </c>
      <c r="AL27" s="303" t="s">
        <v>958</v>
      </c>
      <c r="AM27" s="290"/>
      <c r="AN27" s="281" t="b">
        <v>1</v>
      </c>
      <c r="AO27" s="258"/>
      <c r="AP27" s="282">
        <v>46126.0</v>
      </c>
      <c r="AQ27" s="283" t="s">
        <v>1320</v>
      </c>
      <c r="AR27" s="283" t="s">
        <v>1321</v>
      </c>
      <c r="AS27" s="285" t="s">
        <v>15</v>
      </c>
      <c r="AT27" s="285" t="s">
        <v>14</v>
      </c>
      <c r="AU27" s="300"/>
      <c r="AV27" s="286" t="b">
        <v>1</v>
      </c>
      <c r="AW27" s="258"/>
      <c r="AX27" s="314">
        <v>46134.0</v>
      </c>
      <c r="AY27" s="320" t="s">
        <v>1322</v>
      </c>
      <c r="AZ27" s="277" t="s">
        <v>1323</v>
      </c>
      <c r="BA27" s="303" t="s">
        <v>44</v>
      </c>
      <c r="BB27" s="319" t="s">
        <v>17</v>
      </c>
      <c r="BC27" s="290"/>
      <c r="BD27" s="281" t="b">
        <v>1</v>
      </c>
      <c r="BE27" s="258"/>
      <c r="BF27" s="282"/>
      <c r="BG27" s="283"/>
      <c r="BH27" s="283"/>
      <c r="BI27" s="285"/>
      <c r="BJ27" s="285"/>
      <c r="BK27" s="300"/>
      <c r="BL27" s="313"/>
    </row>
    <row r="28" ht="22.5" customHeight="1">
      <c r="A28" s="263"/>
      <c r="B28" s="270">
        <v>46111.0</v>
      </c>
      <c r="C28" s="109" t="s">
        <v>1324</v>
      </c>
      <c r="D28" s="109" t="s">
        <v>1325</v>
      </c>
      <c r="E28" s="58" t="s">
        <v>10</v>
      </c>
      <c r="F28" s="58" t="s">
        <v>28</v>
      </c>
      <c r="G28" s="61"/>
      <c r="H28" s="269" t="b">
        <v>1</v>
      </c>
      <c r="I28" s="258"/>
      <c r="J28" s="270">
        <v>46111.0</v>
      </c>
      <c r="K28" s="109" t="s">
        <v>1326</v>
      </c>
      <c r="L28" s="109" t="s">
        <v>1327</v>
      </c>
      <c r="M28" s="58" t="s">
        <v>27</v>
      </c>
      <c r="N28" s="58" t="s">
        <v>20</v>
      </c>
      <c r="O28" s="61"/>
      <c r="P28" s="269" t="b">
        <v>1</v>
      </c>
      <c r="Q28" s="258"/>
      <c r="R28" s="270">
        <v>46121.0</v>
      </c>
      <c r="S28" s="109" t="s">
        <v>1328</v>
      </c>
      <c r="T28" s="109" t="s">
        <v>1329</v>
      </c>
      <c r="U28" s="58" t="s">
        <v>22</v>
      </c>
      <c r="V28" s="58" t="s">
        <v>9</v>
      </c>
      <c r="W28" s="61"/>
      <c r="X28" s="269" t="b">
        <v>1</v>
      </c>
      <c r="Y28" s="258"/>
      <c r="Z28" s="270">
        <v>46120.0</v>
      </c>
      <c r="AA28" s="109" t="s">
        <v>1330</v>
      </c>
      <c r="AB28" s="109" t="s">
        <v>1331</v>
      </c>
      <c r="AC28" s="58" t="s">
        <v>15</v>
      </c>
      <c r="AD28" s="58" t="s">
        <v>20</v>
      </c>
      <c r="AE28" s="61"/>
      <c r="AF28" s="269" t="b">
        <v>1</v>
      </c>
      <c r="AH28" s="314">
        <v>46128.0</v>
      </c>
      <c r="AI28" s="302" t="s">
        <v>1332</v>
      </c>
      <c r="AJ28" s="277" t="s">
        <v>1333</v>
      </c>
      <c r="AK28" s="303" t="s">
        <v>22</v>
      </c>
      <c r="AL28" s="303" t="s">
        <v>958</v>
      </c>
      <c r="AM28" s="290"/>
      <c r="AN28" s="281" t="b">
        <v>1</v>
      </c>
      <c r="AO28" s="258"/>
      <c r="AP28" s="282">
        <v>46126.0</v>
      </c>
      <c r="AQ28" s="283" t="s">
        <v>1334</v>
      </c>
      <c r="AR28" s="283" t="s">
        <v>1335</v>
      </c>
      <c r="AS28" s="285" t="s">
        <v>11</v>
      </c>
      <c r="AT28" s="285" t="s">
        <v>14</v>
      </c>
      <c r="AU28" s="300"/>
      <c r="AV28" s="286" t="b">
        <v>1</v>
      </c>
      <c r="AW28" s="258"/>
      <c r="AX28" s="314">
        <v>46134.0</v>
      </c>
      <c r="AY28" s="321" t="s">
        <v>1336</v>
      </c>
      <c r="AZ28" s="277" t="s">
        <v>1337</v>
      </c>
      <c r="BA28" s="303" t="s">
        <v>22</v>
      </c>
      <c r="BB28" s="303" t="s">
        <v>20</v>
      </c>
      <c r="BC28" s="290"/>
      <c r="BD28" s="281" t="b">
        <v>1</v>
      </c>
      <c r="BE28" s="258"/>
      <c r="BF28" s="282"/>
      <c r="BG28" s="283"/>
      <c r="BH28" s="283"/>
      <c r="BI28" s="285"/>
      <c r="BJ28" s="285"/>
      <c r="BK28" s="300"/>
      <c r="BL28" s="313"/>
    </row>
    <row r="29" ht="22.5" customHeight="1">
      <c r="A29" s="263"/>
      <c r="B29" s="270">
        <v>46111.0</v>
      </c>
      <c r="C29" s="109" t="s">
        <v>1338</v>
      </c>
      <c r="D29" s="109" t="s">
        <v>1339</v>
      </c>
      <c r="E29" s="58" t="s">
        <v>44</v>
      </c>
      <c r="F29" s="58" t="s">
        <v>9</v>
      </c>
      <c r="G29" s="61"/>
      <c r="H29" s="269" t="b">
        <v>1</v>
      </c>
      <c r="I29" s="258"/>
      <c r="J29" s="270">
        <v>46111.0</v>
      </c>
      <c r="K29" s="109" t="s">
        <v>1340</v>
      </c>
      <c r="L29" s="109" t="s">
        <v>1341</v>
      </c>
      <c r="M29" s="58" t="s">
        <v>27</v>
      </c>
      <c r="N29" s="58" t="s">
        <v>20</v>
      </c>
      <c r="O29" s="61"/>
      <c r="P29" s="269" t="b">
        <v>1</v>
      </c>
      <c r="Q29" s="258"/>
      <c r="R29" s="270">
        <v>46121.0</v>
      </c>
      <c r="S29" s="109" t="s">
        <v>1342</v>
      </c>
      <c r="T29" s="109" t="s">
        <v>1343</v>
      </c>
      <c r="U29" s="58" t="s">
        <v>22</v>
      </c>
      <c r="V29" s="58" t="s">
        <v>9</v>
      </c>
      <c r="W29" s="61"/>
      <c r="X29" s="269" t="b">
        <v>1</v>
      </c>
      <c r="Y29" s="258"/>
      <c r="Z29" s="270">
        <v>46120.0</v>
      </c>
      <c r="AA29" s="109" t="s">
        <v>1344</v>
      </c>
      <c r="AB29" s="109" t="s">
        <v>1345</v>
      </c>
      <c r="AC29" s="58" t="s">
        <v>23</v>
      </c>
      <c r="AD29" s="58" t="s">
        <v>20</v>
      </c>
      <c r="AE29" s="61"/>
      <c r="AF29" s="269" t="b">
        <v>1</v>
      </c>
      <c r="AH29" s="314">
        <v>46128.0</v>
      </c>
      <c r="AI29" s="302" t="s">
        <v>1346</v>
      </c>
      <c r="AJ29" s="277" t="s">
        <v>1347</v>
      </c>
      <c r="AK29" s="303" t="s">
        <v>22</v>
      </c>
      <c r="AL29" s="303" t="s">
        <v>958</v>
      </c>
      <c r="AM29" s="290"/>
      <c r="AN29" s="281" t="b">
        <v>1</v>
      </c>
      <c r="AO29" s="258"/>
      <c r="AP29" s="282">
        <v>46126.0</v>
      </c>
      <c r="AQ29" s="283" t="s">
        <v>1348</v>
      </c>
      <c r="AR29" s="283" t="s">
        <v>1349</v>
      </c>
      <c r="AS29" s="285" t="s">
        <v>11</v>
      </c>
      <c r="AT29" s="285" t="s">
        <v>14</v>
      </c>
      <c r="AU29" s="300"/>
      <c r="AV29" s="286" t="b">
        <v>1</v>
      </c>
      <c r="AW29" s="258"/>
      <c r="AX29" s="314">
        <v>46134.0</v>
      </c>
      <c r="AY29" s="302" t="s">
        <v>1350</v>
      </c>
      <c r="AZ29" s="277" t="s">
        <v>1351</v>
      </c>
      <c r="BA29" s="303" t="s">
        <v>22</v>
      </c>
      <c r="BB29" s="303" t="s">
        <v>20</v>
      </c>
      <c r="BC29" s="290"/>
      <c r="BD29" s="281" t="b">
        <v>1</v>
      </c>
      <c r="BE29" s="258"/>
      <c r="BF29" s="282"/>
      <c r="BG29" s="283"/>
      <c r="BH29" s="283"/>
      <c r="BI29" s="285"/>
      <c r="BJ29" s="285"/>
      <c r="BK29" s="300"/>
      <c r="BL29" s="313"/>
    </row>
    <row r="30" ht="22.5" customHeight="1">
      <c r="A30" s="263"/>
      <c r="B30" s="270">
        <v>46112.0</v>
      </c>
      <c r="C30" s="109" t="s">
        <v>1352</v>
      </c>
      <c r="D30" s="109" t="s">
        <v>1353</v>
      </c>
      <c r="E30" s="58" t="s">
        <v>10</v>
      </c>
      <c r="F30" s="58" t="s">
        <v>28</v>
      </c>
      <c r="G30" s="61"/>
      <c r="H30" s="269" t="b">
        <v>1</v>
      </c>
      <c r="I30" s="258"/>
      <c r="J30" s="270">
        <v>46111.0</v>
      </c>
      <c r="K30" s="109" t="s">
        <v>1354</v>
      </c>
      <c r="L30" s="109" t="s">
        <v>1355</v>
      </c>
      <c r="M30" s="58" t="s">
        <v>27</v>
      </c>
      <c r="N30" s="58" t="s">
        <v>20</v>
      </c>
      <c r="O30" s="61"/>
      <c r="P30" s="269" t="b">
        <v>1</v>
      </c>
      <c r="Q30" s="258"/>
      <c r="R30" s="270">
        <v>46121.0</v>
      </c>
      <c r="S30" s="109" t="s">
        <v>1356</v>
      </c>
      <c r="T30" s="109" t="s">
        <v>1357</v>
      </c>
      <c r="U30" s="58" t="s">
        <v>22</v>
      </c>
      <c r="V30" s="58" t="s">
        <v>9</v>
      </c>
      <c r="W30" s="61"/>
      <c r="X30" s="269" t="b">
        <v>1</v>
      </c>
      <c r="Y30" s="258"/>
      <c r="Z30" s="270">
        <v>46120.0</v>
      </c>
      <c r="AA30" s="109" t="s">
        <v>1358</v>
      </c>
      <c r="AB30" s="109" t="s">
        <v>1359</v>
      </c>
      <c r="AC30" s="58" t="s">
        <v>27</v>
      </c>
      <c r="AD30" s="58" t="s">
        <v>20</v>
      </c>
      <c r="AE30" s="61"/>
      <c r="AF30" s="269" t="b">
        <v>1</v>
      </c>
      <c r="AH30" s="314">
        <v>46128.0</v>
      </c>
      <c r="AI30" s="302" t="s">
        <v>1360</v>
      </c>
      <c r="AJ30" s="277" t="s">
        <v>1361</v>
      </c>
      <c r="AK30" s="319" t="s">
        <v>22</v>
      </c>
      <c r="AL30" s="303" t="s">
        <v>958</v>
      </c>
      <c r="AM30" s="290"/>
      <c r="AN30" s="281" t="b">
        <v>1</v>
      </c>
      <c r="AO30" s="258"/>
      <c r="AP30" s="282">
        <v>46126.0</v>
      </c>
      <c r="AQ30" s="283" t="s">
        <v>1362</v>
      </c>
      <c r="AR30" s="283" t="s">
        <v>1363</v>
      </c>
      <c r="AS30" s="285" t="s">
        <v>11</v>
      </c>
      <c r="AT30" s="285" t="s">
        <v>14</v>
      </c>
      <c r="AU30" s="300"/>
      <c r="AV30" s="286" t="b">
        <v>1</v>
      </c>
      <c r="AW30" s="258"/>
      <c r="AX30" s="314">
        <v>46134.0</v>
      </c>
      <c r="AY30" s="302" t="s">
        <v>1364</v>
      </c>
      <c r="AZ30" s="277" t="s">
        <v>1365</v>
      </c>
      <c r="BA30" s="303" t="s">
        <v>22</v>
      </c>
      <c r="BB30" s="303" t="s">
        <v>20</v>
      </c>
      <c r="BC30" s="290"/>
      <c r="BD30" s="281" t="b">
        <v>1</v>
      </c>
      <c r="BE30" s="258"/>
      <c r="BF30" s="282"/>
      <c r="BG30" s="283"/>
      <c r="BH30" s="283"/>
      <c r="BI30" s="285"/>
      <c r="BJ30" s="285"/>
      <c r="BK30" s="300"/>
      <c r="BL30" s="313"/>
    </row>
    <row r="31" ht="22.5" customHeight="1">
      <c r="A31" s="263"/>
      <c r="B31" s="270">
        <v>46112.0</v>
      </c>
      <c r="C31" s="109" t="s">
        <v>1366</v>
      </c>
      <c r="D31" s="109" t="s">
        <v>1367</v>
      </c>
      <c r="E31" s="58" t="s">
        <v>22</v>
      </c>
      <c r="F31" s="58" t="s">
        <v>9</v>
      </c>
      <c r="G31" s="61"/>
      <c r="H31" s="269" t="b">
        <v>1</v>
      </c>
      <c r="I31" s="258"/>
      <c r="J31" s="270">
        <v>46111.0</v>
      </c>
      <c r="K31" s="109" t="s">
        <v>1368</v>
      </c>
      <c r="L31" s="109" t="s">
        <v>1369</v>
      </c>
      <c r="M31" s="58" t="s">
        <v>27</v>
      </c>
      <c r="N31" s="58" t="s">
        <v>20</v>
      </c>
      <c r="O31" s="61"/>
      <c r="P31" s="269" t="b">
        <v>1</v>
      </c>
      <c r="Q31" s="258"/>
      <c r="R31" s="270">
        <v>46121.0</v>
      </c>
      <c r="S31" s="109" t="s">
        <v>1370</v>
      </c>
      <c r="T31" s="109" t="s">
        <v>1371</v>
      </c>
      <c r="U31" s="322"/>
      <c r="V31" s="58" t="s">
        <v>958</v>
      </c>
      <c r="W31" s="109" t="s">
        <v>1372</v>
      </c>
      <c r="X31" s="298"/>
      <c r="Y31" s="258"/>
      <c r="Z31" s="270">
        <v>46120.0</v>
      </c>
      <c r="AA31" s="109" t="s">
        <v>1373</v>
      </c>
      <c r="AB31" s="109" t="s">
        <v>1374</v>
      </c>
      <c r="AC31" s="58" t="s">
        <v>27</v>
      </c>
      <c r="AD31" s="58" t="s">
        <v>20</v>
      </c>
      <c r="AE31" s="61"/>
      <c r="AF31" s="269" t="b">
        <v>1</v>
      </c>
      <c r="AH31" s="314">
        <v>46128.0</v>
      </c>
      <c r="AI31" s="320" t="s">
        <v>1375</v>
      </c>
      <c r="AJ31" s="277" t="s">
        <v>1376</v>
      </c>
      <c r="AK31" s="303" t="s">
        <v>22</v>
      </c>
      <c r="AL31" s="319" t="s">
        <v>958</v>
      </c>
      <c r="AM31" s="290"/>
      <c r="AN31" s="281" t="b">
        <v>1</v>
      </c>
      <c r="AO31" s="258"/>
      <c r="AP31" s="282">
        <v>46127.0</v>
      </c>
      <c r="AQ31" s="283" t="s">
        <v>1377</v>
      </c>
      <c r="AR31" s="283" t="s">
        <v>1378</v>
      </c>
      <c r="AS31" s="285" t="s">
        <v>18</v>
      </c>
      <c r="AT31" s="285" t="s">
        <v>17</v>
      </c>
      <c r="AU31" s="300"/>
      <c r="AV31" s="286" t="b">
        <v>1</v>
      </c>
      <c r="AW31" s="258"/>
      <c r="AX31" s="314">
        <v>46134.0</v>
      </c>
      <c r="AY31" s="302" t="s">
        <v>1379</v>
      </c>
      <c r="AZ31" s="277" t="s">
        <v>1380</v>
      </c>
      <c r="BA31" s="303" t="s">
        <v>22</v>
      </c>
      <c r="BB31" s="303" t="s">
        <v>20</v>
      </c>
      <c r="BC31" s="290"/>
      <c r="BD31" s="281" t="b">
        <v>1</v>
      </c>
      <c r="BE31" s="258"/>
      <c r="BF31" s="282"/>
      <c r="BG31" s="283"/>
      <c r="BH31" s="283"/>
      <c r="BI31" s="285"/>
      <c r="BJ31" s="285"/>
      <c r="BK31" s="300"/>
      <c r="BL31" s="313"/>
    </row>
    <row r="32" ht="22.5" customHeight="1">
      <c r="A32" s="263"/>
      <c r="B32" s="270">
        <v>46112.0</v>
      </c>
      <c r="C32" s="109" t="s">
        <v>1381</v>
      </c>
      <c r="D32" s="109" t="s">
        <v>1382</v>
      </c>
      <c r="E32" s="58" t="s">
        <v>22</v>
      </c>
      <c r="F32" s="58" t="s">
        <v>9</v>
      </c>
      <c r="G32" s="61"/>
      <c r="H32" s="269" t="b">
        <v>1</v>
      </c>
      <c r="I32" s="258"/>
      <c r="J32" s="270">
        <v>46111.0</v>
      </c>
      <c r="K32" s="109" t="s">
        <v>1383</v>
      </c>
      <c r="L32" s="109" t="s">
        <v>1384</v>
      </c>
      <c r="M32" s="58" t="s">
        <v>27</v>
      </c>
      <c r="N32" s="58" t="s">
        <v>20</v>
      </c>
      <c r="O32" s="61"/>
      <c r="P32" s="269" t="b">
        <v>1</v>
      </c>
      <c r="Q32" s="258"/>
      <c r="R32" s="270">
        <v>46121.0</v>
      </c>
      <c r="S32" s="323" t="s">
        <v>1385</v>
      </c>
      <c r="T32" s="324" t="s">
        <v>1386</v>
      </c>
      <c r="U32" s="58" t="s">
        <v>22</v>
      </c>
      <c r="V32" s="322" t="s">
        <v>958</v>
      </c>
      <c r="W32" s="61"/>
      <c r="X32" s="269" t="b">
        <v>1</v>
      </c>
      <c r="Y32" s="258"/>
      <c r="Z32" s="270">
        <v>46120.0</v>
      </c>
      <c r="AA32" s="109" t="s">
        <v>1387</v>
      </c>
      <c r="AB32" s="109" t="s">
        <v>1388</v>
      </c>
      <c r="AC32" s="58" t="s">
        <v>27</v>
      </c>
      <c r="AD32" s="58" t="s">
        <v>20</v>
      </c>
      <c r="AE32" s="61"/>
      <c r="AF32" s="269" t="b">
        <v>1</v>
      </c>
      <c r="AH32" s="314">
        <v>46128.0</v>
      </c>
      <c r="AI32" s="321" t="s">
        <v>1389</v>
      </c>
      <c r="AJ32" s="277" t="s">
        <v>1390</v>
      </c>
      <c r="AK32" s="303" t="s">
        <v>13</v>
      </c>
      <c r="AL32" s="303" t="s">
        <v>12</v>
      </c>
      <c r="AM32" s="290"/>
      <c r="AN32" s="281" t="b">
        <v>1</v>
      </c>
      <c r="AO32" s="258"/>
      <c r="AP32" s="282">
        <v>46127.0</v>
      </c>
      <c r="AQ32" s="283" t="s">
        <v>1391</v>
      </c>
      <c r="AR32" s="283" t="s">
        <v>1392</v>
      </c>
      <c r="AS32" s="285" t="s">
        <v>18</v>
      </c>
      <c r="AT32" s="285" t="s">
        <v>17</v>
      </c>
      <c r="AU32" s="300"/>
      <c r="AV32" s="286" t="b">
        <v>1</v>
      </c>
      <c r="AW32" s="258"/>
      <c r="AX32" s="314">
        <v>46134.0</v>
      </c>
      <c r="AY32" s="302" t="s">
        <v>1393</v>
      </c>
      <c r="AZ32" s="277" t="s">
        <v>1394</v>
      </c>
      <c r="BA32" s="303" t="s">
        <v>22</v>
      </c>
      <c r="BB32" s="303" t="s">
        <v>20</v>
      </c>
      <c r="BC32" s="290"/>
      <c r="BD32" s="281" t="b">
        <v>1</v>
      </c>
      <c r="BE32" s="258"/>
      <c r="BF32" s="282"/>
      <c r="BG32" s="283"/>
      <c r="BH32" s="283"/>
      <c r="BI32" s="285"/>
      <c r="BJ32" s="285"/>
      <c r="BK32" s="300"/>
      <c r="BL32" s="313"/>
    </row>
    <row r="33" ht="22.5" customHeight="1">
      <c r="A33" s="263"/>
      <c r="B33" s="270">
        <v>46112.0</v>
      </c>
      <c r="C33" s="109" t="s">
        <v>1395</v>
      </c>
      <c r="D33" s="109" t="s">
        <v>1396</v>
      </c>
      <c r="E33" s="322" t="s">
        <v>24</v>
      </c>
      <c r="F33" s="58" t="s">
        <v>9</v>
      </c>
      <c r="G33" s="61"/>
      <c r="H33" s="269" t="b">
        <v>1</v>
      </c>
      <c r="I33" s="258"/>
      <c r="J33" s="270">
        <v>46111.0</v>
      </c>
      <c r="K33" s="109" t="s">
        <v>1397</v>
      </c>
      <c r="L33" s="109" t="s">
        <v>1398</v>
      </c>
      <c r="M33" s="58" t="s">
        <v>27</v>
      </c>
      <c r="N33" s="58" t="s">
        <v>20</v>
      </c>
      <c r="O33" s="61"/>
      <c r="P33" s="269" t="b">
        <v>1</v>
      </c>
      <c r="Q33" s="258"/>
      <c r="R33" s="270">
        <v>46121.0</v>
      </c>
      <c r="S33" s="325" t="s">
        <v>1399</v>
      </c>
      <c r="T33" s="326" t="s">
        <v>1400</v>
      </c>
      <c r="U33" s="58" t="s">
        <v>10</v>
      </c>
      <c r="V33" s="58" t="s">
        <v>12</v>
      </c>
      <c r="W33" s="61"/>
      <c r="X33" s="269" t="b">
        <v>1</v>
      </c>
      <c r="Y33" s="258"/>
      <c r="Z33" s="270">
        <v>46120.0</v>
      </c>
      <c r="AA33" s="109" t="s">
        <v>1401</v>
      </c>
      <c r="AB33" s="109" t="s">
        <v>1402</v>
      </c>
      <c r="AC33" s="58" t="s">
        <v>27</v>
      </c>
      <c r="AD33" s="58" t="s">
        <v>20</v>
      </c>
      <c r="AE33" s="61"/>
      <c r="AF33" s="269" t="b">
        <v>1</v>
      </c>
      <c r="AH33" s="314">
        <v>46128.0</v>
      </c>
      <c r="AI33" s="302" t="s">
        <v>1403</v>
      </c>
      <c r="AJ33" s="277" t="s">
        <v>1404</v>
      </c>
      <c r="AK33" s="303" t="s">
        <v>22</v>
      </c>
      <c r="AL33" s="303" t="s">
        <v>958</v>
      </c>
      <c r="AM33" s="290"/>
      <c r="AN33" s="281" t="b">
        <v>1</v>
      </c>
      <c r="AO33" s="258"/>
      <c r="AP33" s="282">
        <v>46127.0</v>
      </c>
      <c r="AQ33" s="283" t="s">
        <v>1405</v>
      </c>
      <c r="AR33" s="283" t="s">
        <v>1406</v>
      </c>
      <c r="AS33" s="285"/>
      <c r="AT33" s="285" t="s">
        <v>20</v>
      </c>
      <c r="AU33" s="283" t="s">
        <v>170</v>
      </c>
      <c r="AV33" s="313"/>
      <c r="AW33" s="258"/>
      <c r="AX33" s="314">
        <v>46134.0</v>
      </c>
      <c r="AY33" s="302" t="s">
        <v>1407</v>
      </c>
      <c r="AZ33" s="277" t="s">
        <v>1408</v>
      </c>
      <c r="BA33" s="303" t="s">
        <v>22</v>
      </c>
      <c r="BB33" s="303" t="s">
        <v>20</v>
      </c>
      <c r="BC33" s="290"/>
      <c r="BD33" s="281" t="b">
        <v>1</v>
      </c>
      <c r="BE33" s="258"/>
      <c r="BF33" s="282"/>
      <c r="BG33" s="283"/>
      <c r="BH33" s="283"/>
      <c r="BI33" s="285"/>
      <c r="BJ33" s="285"/>
      <c r="BK33" s="300"/>
      <c r="BL33" s="313"/>
    </row>
    <row r="34" ht="22.5" customHeight="1">
      <c r="A34" s="263"/>
      <c r="B34" s="270">
        <v>46112.0</v>
      </c>
      <c r="C34" s="323" t="s">
        <v>1409</v>
      </c>
      <c r="D34" s="327" t="s">
        <v>1410</v>
      </c>
      <c r="E34" s="58" t="s">
        <v>950</v>
      </c>
      <c r="F34" s="322" t="s">
        <v>9</v>
      </c>
      <c r="G34" s="61"/>
      <c r="H34" s="269" t="b">
        <v>1</v>
      </c>
      <c r="I34" s="258"/>
      <c r="J34" s="270">
        <v>46111.0</v>
      </c>
      <c r="K34" s="109" t="s">
        <v>1411</v>
      </c>
      <c r="L34" s="109" t="s">
        <v>1412</v>
      </c>
      <c r="M34" s="58" t="s">
        <v>27</v>
      </c>
      <c r="N34" s="58" t="s">
        <v>20</v>
      </c>
      <c r="O34" s="61"/>
      <c r="P34" s="269" t="b">
        <v>1</v>
      </c>
      <c r="Q34" s="258"/>
      <c r="R34" s="270">
        <v>46121.0</v>
      </c>
      <c r="S34" s="109" t="s">
        <v>1413</v>
      </c>
      <c r="T34" s="109" t="s">
        <v>1414</v>
      </c>
      <c r="U34" s="58" t="s">
        <v>22</v>
      </c>
      <c r="V34" s="58" t="s">
        <v>958</v>
      </c>
      <c r="W34" s="61"/>
      <c r="X34" s="269" t="b">
        <v>1</v>
      </c>
      <c r="Y34" s="258"/>
      <c r="Z34" s="270">
        <v>46120.0</v>
      </c>
      <c r="AA34" s="109" t="s">
        <v>1415</v>
      </c>
      <c r="AB34" s="109" t="s">
        <v>1416</v>
      </c>
      <c r="AC34" s="58" t="s">
        <v>27</v>
      </c>
      <c r="AD34" s="58" t="s">
        <v>20</v>
      </c>
      <c r="AE34" s="61"/>
      <c r="AF34" s="269" t="b">
        <v>1</v>
      </c>
      <c r="AH34" s="314">
        <v>46128.0</v>
      </c>
      <c r="AI34" s="302" t="s">
        <v>1417</v>
      </c>
      <c r="AJ34" s="277" t="s">
        <v>1418</v>
      </c>
      <c r="AK34" s="303" t="s">
        <v>22</v>
      </c>
      <c r="AL34" s="303" t="s">
        <v>958</v>
      </c>
      <c r="AM34" s="290"/>
      <c r="AN34" s="281" t="b">
        <v>1</v>
      </c>
      <c r="AO34" s="258"/>
      <c r="AP34" s="282">
        <v>46127.0</v>
      </c>
      <c r="AQ34" s="283" t="s">
        <v>1419</v>
      </c>
      <c r="AR34" s="283" t="s">
        <v>1420</v>
      </c>
      <c r="AS34" s="285" t="s">
        <v>27</v>
      </c>
      <c r="AT34" s="285" t="s">
        <v>20</v>
      </c>
      <c r="AU34" s="300"/>
      <c r="AV34" s="286" t="b">
        <v>1</v>
      </c>
      <c r="AW34" s="258"/>
      <c r="AX34" s="314">
        <v>46134.0</v>
      </c>
      <c r="AY34" s="302" t="s">
        <v>1421</v>
      </c>
      <c r="AZ34" s="277" t="s">
        <v>1422</v>
      </c>
      <c r="BA34" s="303" t="s">
        <v>22</v>
      </c>
      <c r="BB34" s="303" t="s">
        <v>20</v>
      </c>
      <c r="BC34" s="290"/>
      <c r="BD34" s="281" t="b">
        <v>1</v>
      </c>
      <c r="BE34" s="258"/>
      <c r="BF34" s="282"/>
      <c r="BG34" s="283"/>
      <c r="BH34" s="283"/>
      <c r="BI34" s="285"/>
      <c r="BJ34" s="285"/>
      <c r="BK34" s="300"/>
      <c r="BL34" s="313"/>
    </row>
    <row r="35" ht="22.5" customHeight="1">
      <c r="A35" s="263"/>
      <c r="B35" s="270">
        <v>46112.0</v>
      </c>
      <c r="C35" s="325" t="s">
        <v>1423</v>
      </c>
      <c r="D35" s="326" t="s">
        <v>1424</v>
      </c>
      <c r="E35" s="58" t="s">
        <v>16</v>
      </c>
      <c r="F35" s="58" t="s">
        <v>9</v>
      </c>
      <c r="G35" s="61"/>
      <c r="H35" s="269" t="b">
        <v>1</v>
      </c>
      <c r="I35" s="258"/>
      <c r="J35" s="270">
        <v>46111.0</v>
      </c>
      <c r="K35" s="109" t="s">
        <v>1425</v>
      </c>
      <c r="L35" s="109" t="s">
        <v>1426</v>
      </c>
      <c r="M35" s="58" t="s">
        <v>27</v>
      </c>
      <c r="N35" s="58" t="s">
        <v>20</v>
      </c>
      <c r="O35" s="61"/>
      <c r="P35" s="269" t="b">
        <v>1</v>
      </c>
      <c r="Q35" s="258"/>
      <c r="R35" s="270">
        <v>46121.0</v>
      </c>
      <c r="S35" s="109" t="s">
        <v>1427</v>
      </c>
      <c r="T35" s="109" t="s">
        <v>1428</v>
      </c>
      <c r="U35" s="58" t="s">
        <v>22</v>
      </c>
      <c r="V35" s="58" t="s">
        <v>958</v>
      </c>
      <c r="W35" s="61"/>
      <c r="X35" s="269" t="b">
        <v>1</v>
      </c>
      <c r="Y35" s="258"/>
      <c r="Z35" s="270">
        <v>46120.0</v>
      </c>
      <c r="AA35" s="109" t="s">
        <v>1429</v>
      </c>
      <c r="AB35" s="109" t="s">
        <v>1430</v>
      </c>
      <c r="AC35" s="58" t="s">
        <v>27</v>
      </c>
      <c r="AD35" s="58" t="s">
        <v>20</v>
      </c>
      <c r="AE35" s="61"/>
      <c r="AF35" s="269" t="b">
        <v>1</v>
      </c>
      <c r="AH35" s="314">
        <v>46128.0</v>
      </c>
      <c r="AI35" s="302" t="s">
        <v>1431</v>
      </c>
      <c r="AJ35" s="277" t="s">
        <v>1432</v>
      </c>
      <c r="AK35" s="303" t="s">
        <v>22</v>
      </c>
      <c r="AL35" s="303" t="s">
        <v>958</v>
      </c>
      <c r="AM35" s="290"/>
      <c r="AN35" s="281" t="b">
        <v>1</v>
      </c>
      <c r="AO35" s="258"/>
      <c r="AP35" s="282">
        <v>46127.0</v>
      </c>
      <c r="AQ35" s="283" t="s">
        <v>1433</v>
      </c>
      <c r="AR35" s="328" t="s">
        <v>1434</v>
      </c>
      <c r="AS35" s="285" t="s">
        <v>27</v>
      </c>
      <c r="AT35" s="285" t="s">
        <v>20</v>
      </c>
      <c r="AU35" s="300"/>
      <c r="AV35" s="286" t="b">
        <v>1</v>
      </c>
      <c r="AW35" s="258"/>
      <c r="AX35" s="314">
        <v>46134.0</v>
      </c>
      <c r="AY35" s="302" t="s">
        <v>1435</v>
      </c>
      <c r="AZ35" s="277" t="s">
        <v>1436</v>
      </c>
      <c r="BA35" s="303" t="s">
        <v>22</v>
      </c>
      <c r="BB35" s="303" t="s">
        <v>20</v>
      </c>
      <c r="BC35" s="290"/>
      <c r="BD35" s="281" t="b">
        <v>1</v>
      </c>
      <c r="BE35" s="258"/>
      <c r="BF35" s="282"/>
      <c r="BG35" s="283"/>
      <c r="BH35" s="283"/>
      <c r="BI35" s="285"/>
      <c r="BJ35" s="285"/>
      <c r="BK35" s="300"/>
      <c r="BL35" s="313"/>
    </row>
    <row r="36" ht="22.5" customHeight="1">
      <c r="A36" s="263"/>
      <c r="B36" s="270">
        <v>46113.0</v>
      </c>
      <c r="C36" s="109" t="s">
        <v>1437</v>
      </c>
      <c r="D36" s="109" t="s">
        <v>1438</v>
      </c>
      <c r="E36" s="58" t="s">
        <v>24</v>
      </c>
      <c r="F36" s="58" t="s">
        <v>28</v>
      </c>
      <c r="G36" s="61"/>
      <c r="H36" s="269" t="b">
        <v>1</v>
      </c>
      <c r="I36" s="258"/>
      <c r="J36" s="270">
        <v>46111.0</v>
      </c>
      <c r="K36" s="109" t="s">
        <v>1439</v>
      </c>
      <c r="L36" s="109" t="s">
        <v>1440</v>
      </c>
      <c r="M36" s="58" t="s">
        <v>27</v>
      </c>
      <c r="N36" s="58" t="s">
        <v>20</v>
      </c>
      <c r="O36" s="61"/>
      <c r="P36" s="269" t="b">
        <v>1</v>
      </c>
      <c r="Q36" s="258"/>
      <c r="R36" s="270">
        <v>46121.0</v>
      </c>
      <c r="S36" s="109" t="s">
        <v>1441</v>
      </c>
      <c r="T36" s="109" t="s">
        <v>1442</v>
      </c>
      <c r="U36" s="58" t="s">
        <v>22</v>
      </c>
      <c r="V36" s="58" t="s">
        <v>958</v>
      </c>
      <c r="W36" s="61"/>
      <c r="X36" s="269" t="b">
        <v>1</v>
      </c>
      <c r="Y36" s="258"/>
      <c r="Z36" s="270">
        <v>46120.0</v>
      </c>
      <c r="AA36" s="109" t="s">
        <v>1443</v>
      </c>
      <c r="AB36" s="109" t="s">
        <v>1444</v>
      </c>
      <c r="AC36" s="58" t="s">
        <v>27</v>
      </c>
      <c r="AD36" s="58" t="s">
        <v>20</v>
      </c>
      <c r="AE36" s="61"/>
      <c r="AF36" s="269" t="b">
        <v>1</v>
      </c>
      <c r="AH36" s="314">
        <v>46128.0</v>
      </c>
      <c r="AI36" s="302" t="s">
        <v>1445</v>
      </c>
      <c r="AJ36" s="277" t="s">
        <v>1446</v>
      </c>
      <c r="AK36" s="303"/>
      <c r="AL36" s="303" t="s">
        <v>958</v>
      </c>
      <c r="AM36" s="302" t="s">
        <v>1447</v>
      </c>
      <c r="AN36" s="315"/>
      <c r="AO36" s="258"/>
      <c r="AP36" s="282">
        <v>46127.0</v>
      </c>
      <c r="AQ36" s="283" t="s">
        <v>1448</v>
      </c>
      <c r="AR36" s="283" t="s">
        <v>1449</v>
      </c>
      <c r="AS36" s="285" t="s">
        <v>27</v>
      </c>
      <c r="AT36" s="285" t="s">
        <v>20</v>
      </c>
      <c r="AU36" s="300"/>
      <c r="AV36" s="286" t="b">
        <v>1</v>
      </c>
      <c r="AW36" s="258"/>
      <c r="AX36" s="314">
        <v>46134.0</v>
      </c>
      <c r="AY36" s="302" t="s">
        <v>1450</v>
      </c>
      <c r="AZ36" s="277" t="s">
        <v>1451</v>
      </c>
      <c r="BA36" s="303" t="s">
        <v>22</v>
      </c>
      <c r="BB36" s="303" t="s">
        <v>20</v>
      </c>
      <c r="BC36" s="290"/>
      <c r="BD36" s="281" t="b">
        <v>1</v>
      </c>
      <c r="BE36" s="258"/>
      <c r="BF36" s="282"/>
      <c r="BG36" s="283"/>
      <c r="BH36" s="283"/>
      <c r="BI36" s="285"/>
      <c r="BJ36" s="285"/>
      <c r="BK36" s="300"/>
      <c r="BL36" s="313"/>
    </row>
    <row r="37" ht="22.5" customHeight="1">
      <c r="A37" s="263"/>
      <c r="B37" s="270">
        <v>46113.0</v>
      </c>
      <c r="C37" s="109" t="s">
        <v>1452</v>
      </c>
      <c r="D37" s="109" t="s">
        <v>1453</v>
      </c>
      <c r="E37" s="58" t="s">
        <v>22</v>
      </c>
      <c r="F37" s="58" t="s">
        <v>28</v>
      </c>
      <c r="G37" s="61"/>
      <c r="H37" s="269" t="b">
        <v>1</v>
      </c>
      <c r="I37" s="258"/>
      <c r="J37" s="270">
        <v>46111.0</v>
      </c>
      <c r="K37" s="109" t="s">
        <v>1454</v>
      </c>
      <c r="L37" s="109" t="s">
        <v>1455</v>
      </c>
      <c r="M37" s="58" t="s">
        <v>27</v>
      </c>
      <c r="N37" s="58" t="s">
        <v>20</v>
      </c>
      <c r="O37" s="61"/>
      <c r="P37" s="269" t="b">
        <v>1</v>
      </c>
      <c r="Q37" s="258"/>
      <c r="R37" s="270">
        <v>46121.0</v>
      </c>
      <c r="S37" s="109" t="s">
        <v>1456</v>
      </c>
      <c r="T37" s="109" t="s">
        <v>1457</v>
      </c>
      <c r="U37" s="58" t="s">
        <v>16</v>
      </c>
      <c r="V37" s="58" t="s">
        <v>12</v>
      </c>
      <c r="W37" s="61"/>
      <c r="X37" s="269" t="b">
        <v>1</v>
      </c>
      <c r="Y37" s="258"/>
      <c r="Z37" s="270">
        <v>46120.0</v>
      </c>
      <c r="AA37" s="109" t="s">
        <v>1458</v>
      </c>
      <c r="AB37" s="109" t="s">
        <v>1459</v>
      </c>
      <c r="AC37" s="58" t="s">
        <v>27</v>
      </c>
      <c r="AD37" s="58" t="s">
        <v>20</v>
      </c>
      <c r="AE37" s="61"/>
      <c r="AF37" s="269" t="b">
        <v>1</v>
      </c>
      <c r="AH37" s="314">
        <v>46128.0</v>
      </c>
      <c r="AI37" s="302" t="s">
        <v>1460</v>
      </c>
      <c r="AJ37" s="277" t="s">
        <v>1461</v>
      </c>
      <c r="AK37" s="303" t="s">
        <v>16</v>
      </c>
      <c r="AL37" s="303" t="s">
        <v>28</v>
      </c>
      <c r="AM37" s="290"/>
      <c r="AN37" s="281" t="b">
        <v>1</v>
      </c>
      <c r="AO37" s="258"/>
      <c r="AP37" s="282">
        <v>46127.0</v>
      </c>
      <c r="AQ37" s="283" t="s">
        <v>1462</v>
      </c>
      <c r="AR37" s="283" t="s">
        <v>1463</v>
      </c>
      <c r="AS37" s="285" t="s">
        <v>30</v>
      </c>
      <c r="AT37" s="285" t="s">
        <v>20</v>
      </c>
      <c r="AU37" s="300"/>
      <c r="AV37" s="286" t="b">
        <v>1</v>
      </c>
      <c r="AW37" s="258"/>
      <c r="AX37" s="314">
        <v>46134.0</v>
      </c>
      <c r="AY37" s="302" t="s">
        <v>1464</v>
      </c>
      <c r="AZ37" s="277" t="s">
        <v>1465</v>
      </c>
      <c r="BA37" s="303" t="s">
        <v>22</v>
      </c>
      <c r="BB37" s="303" t="s">
        <v>20</v>
      </c>
      <c r="BC37" s="290"/>
      <c r="BD37" s="281" t="b">
        <v>1</v>
      </c>
      <c r="BE37" s="258"/>
      <c r="BF37" s="282"/>
      <c r="BG37" s="283"/>
      <c r="BH37" s="283"/>
      <c r="BI37" s="285"/>
      <c r="BJ37" s="285"/>
      <c r="BK37" s="300"/>
      <c r="BL37" s="313"/>
    </row>
    <row r="38" ht="22.5" customHeight="1">
      <c r="A38" s="263"/>
      <c r="B38" s="270">
        <v>46113.0</v>
      </c>
      <c r="C38" s="109" t="s">
        <v>1466</v>
      </c>
      <c r="D38" s="109" t="s">
        <v>1467</v>
      </c>
      <c r="E38" s="58" t="s">
        <v>22</v>
      </c>
      <c r="F38" s="58" t="s">
        <v>28</v>
      </c>
      <c r="G38" s="61"/>
      <c r="H38" s="269" t="b">
        <v>1</v>
      </c>
      <c r="I38" s="258"/>
      <c r="J38" s="270">
        <v>46111.0</v>
      </c>
      <c r="K38" s="109" t="s">
        <v>1468</v>
      </c>
      <c r="L38" s="109" t="s">
        <v>1469</v>
      </c>
      <c r="M38" s="58" t="s">
        <v>27</v>
      </c>
      <c r="N38" s="58" t="s">
        <v>20</v>
      </c>
      <c r="O38" s="61"/>
      <c r="P38" s="269" t="b">
        <v>1</v>
      </c>
      <c r="Q38" s="258"/>
      <c r="R38" s="270">
        <v>46121.0</v>
      </c>
      <c r="S38" s="109" t="s">
        <v>1470</v>
      </c>
      <c r="T38" s="109" t="s">
        <v>1471</v>
      </c>
      <c r="U38" s="58" t="s">
        <v>16</v>
      </c>
      <c r="V38" s="58" t="s">
        <v>12</v>
      </c>
      <c r="W38" s="61"/>
      <c r="X38" s="269" t="b">
        <v>1</v>
      </c>
      <c r="Y38" s="258"/>
      <c r="Z38" s="270">
        <v>46120.0</v>
      </c>
      <c r="AA38" s="109" t="s">
        <v>1472</v>
      </c>
      <c r="AB38" s="109" t="s">
        <v>1473</v>
      </c>
      <c r="AC38" s="58" t="s">
        <v>23</v>
      </c>
      <c r="AD38" s="58" t="s">
        <v>14</v>
      </c>
      <c r="AE38" s="61"/>
      <c r="AF38" s="269" t="b">
        <v>1</v>
      </c>
      <c r="AH38" s="314">
        <v>46129.0</v>
      </c>
      <c r="AI38" s="302" t="s">
        <v>1474</v>
      </c>
      <c r="AJ38" s="277" t="s">
        <v>1475</v>
      </c>
      <c r="AK38" s="303" t="s">
        <v>22</v>
      </c>
      <c r="AL38" s="303" t="s">
        <v>958</v>
      </c>
      <c r="AM38" s="290"/>
      <c r="AN38" s="281" t="b">
        <v>1</v>
      </c>
      <c r="AO38" s="258"/>
      <c r="AP38" s="282">
        <v>46127.0</v>
      </c>
      <c r="AQ38" s="283" t="s">
        <v>1476</v>
      </c>
      <c r="AR38" s="283" t="s">
        <v>1477</v>
      </c>
      <c r="AS38" s="285" t="s">
        <v>30</v>
      </c>
      <c r="AT38" s="285" t="s">
        <v>20</v>
      </c>
      <c r="AU38" s="300"/>
      <c r="AV38" s="286" t="b">
        <v>1</v>
      </c>
      <c r="AW38" s="258"/>
      <c r="AX38" s="314">
        <v>46134.0</v>
      </c>
      <c r="AY38" s="302" t="s">
        <v>1478</v>
      </c>
      <c r="AZ38" s="277" t="s">
        <v>1479</v>
      </c>
      <c r="BA38" s="303" t="s">
        <v>22</v>
      </c>
      <c r="BB38" s="303" t="s">
        <v>17</v>
      </c>
      <c r="BC38" s="290"/>
      <c r="BD38" s="281" t="b">
        <v>1</v>
      </c>
      <c r="BE38" s="258"/>
      <c r="BF38" s="282"/>
      <c r="BG38" s="283"/>
      <c r="BH38" s="283"/>
      <c r="BI38" s="285"/>
      <c r="BJ38" s="285"/>
      <c r="BK38" s="300"/>
      <c r="BL38" s="313"/>
    </row>
    <row r="39" ht="22.5" customHeight="1">
      <c r="A39" s="263"/>
      <c r="B39" s="270">
        <v>46113.0</v>
      </c>
      <c r="C39" s="109" t="s">
        <v>1480</v>
      </c>
      <c r="D39" s="109" t="s">
        <v>1481</v>
      </c>
      <c r="E39" s="58" t="s">
        <v>22</v>
      </c>
      <c r="F39" s="58" t="s">
        <v>28</v>
      </c>
      <c r="G39" s="61"/>
      <c r="H39" s="269" t="b">
        <v>1</v>
      </c>
      <c r="I39" s="258"/>
      <c r="J39" s="270">
        <v>46111.0</v>
      </c>
      <c r="K39" s="109" t="s">
        <v>1482</v>
      </c>
      <c r="L39" s="109" t="s">
        <v>1483</v>
      </c>
      <c r="M39" s="58" t="s">
        <v>27</v>
      </c>
      <c r="N39" s="58" t="s">
        <v>20</v>
      </c>
      <c r="O39" s="61"/>
      <c r="P39" s="269" t="b">
        <v>1</v>
      </c>
      <c r="Q39" s="258"/>
      <c r="R39" s="270">
        <v>46121.0</v>
      </c>
      <c r="S39" s="109" t="s">
        <v>1484</v>
      </c>
      <c r="T39" s="109" t="s">
        <v>1485</v>
      </c>
      <c r="U39" s="58" t="s">
        <v>13</v>
      </c>
      <c r="V39" s="58" t="s">
        <v>12</v>
      </c>
      <c r="W39" s="61"/>
      <c r="X39" s="269" t="b">
        <v>1</v>
      </c>
      <c r="Y39" s="258"/>
      <c r="Z39" s="270">
        <v>46120.0</v>
      </c>
      <c r="AA39" s="109" t="s">
        <v>1486</v>
      </c>
      <c r="AB39" s="109" t="s">
        <v>1487</v>
      </c>
      <c r="AC39" s="58" t="s">
        <v>27</v>
      </c>
      <c r="AD39" s="58" t="s">
        <v>20</v>
      </c>
      <c r="AE39" s="61"/>
      <c r="AF39" s="269" t="b">
        <v>1</v>
      </c>
      <c r="AH39" s="314">
        <v>46129.0</v>
      </c>
      <c r="AI39" s="302" t="s">
        <v>1488</v>
      </c>
      <c r="AJ39" s="277" t="s">
        <v>1489</v>
      </c>
      <c r="AK39" s="303" t="s">
        <v>22</v>
      </c>
      <c r="AL39" s="303" t="s">
        <v>958</v>
      </c>
      <c r="AM39" s="290"/>
      <c r="AN39" s="281" t="b">
        <v>1</v>
      </c>
      <c r="AO39" s="258"/>
      <c r="AP39" s="282">
        <v>46127.0</v>
      </c>
      <c r="AQ39" s="283" t="s">
        <v>1490</v>
      </c>
      <c r="AR39" s="283" t="s">
        <v>1491</v>
      </c>
      <c r="AS39" s="285" t="s">
        <v>30</v>
      </c>
      <c r="AT39" s="285" t="s">
        <v>20</v>
      </c>
      <c r="AU39" s="300"/>
      <c r="AV39" s="286" t="b">
        <v>1</v>
      </c>
      <c r="AW39" s="258"/>
      <c r="AX39" s="314">
        <v>46134.0</v>
      </c>
      <c r="AY39" s="302" t="s">
        <v>1492</v>
      </c>
      <c r="AZ39" s="277" t="s">
        <v>1493</v>
      </c>
      <c r="BA39" s="303" t="s">
        <v>22</v>
      </c>
      <c r="BB39" s="303" t="s">
        <v>17</v>
      </c>
      <c r="BC39" s="290"/>
      <c r="BD39" s="281" t="b">
        <v>1</v>
      </c>
      <c r="BE39" s="258"/>
      <c r="BF39" s="282"/>
      <c r="BG39" s="283"/>
      <c r="BH39" s="283"/>
      <c r="BI39" s="285"/>
      <c r="BJ39" s="285"/>
      <c r="BK39" s="300"/>
      <c r="BL39" s="313"/>
    </row>
    <row r="40" ht="22.5" customHeight="1">
      <c r="A40" s="263"/>
      <c r="B40" s="270">
        <v>46113.0</v>
      </c>
      <c r="C40" s="109" t="s">
        <v>1494</v>
      </c>
      <c r="D40" s="109" t="s">
        <v>1495</v>
      </c>
      <c r="E40" s="58" t="s">
        <v>22</v>
      </c>
      <c r="F40" s="58" t="s">
        <v>28</v>
      </c>
      <c r="G40" s="61"/>
      <c r="H40" s="269" t="b">
        <v>1</v>
      </c>
      <c r="I40" s="258"/>
      <c r="J40" s="270">
        <v>46111.0</v>
      </c>
      <c r="K40" s="109" t="s">
        <v>1496</v>
      </c>
      <c r="L40" s="109" t="s">
        <v>1497</v>
      </c>
      <c r="M40" s="58" t="s">
        <v>30</v>
      </c>
      <c r="N40" s="58" t="s">
        <v>20</v>
      </c>
      <c r="O40" s="61"/>
      <c r="P40" s="269" t="b">
        <v>1</v>
      </c>
      <c r="Q40" s="258"/>
      <c r="R40" s="270">
        <v>46121.0</v>
      </c>
      <c r="S40" s="109" t="s">
        <v>1498</v>
      </c>
      <c r="T40" s="109" t="s">
        <v>1499</v>
      </c>
      <c r="U40" s="58" t="s">
        <v>10</v>
      </c>
      <c r="V40" s="58" t="s">
        <v>12</v>
      </c>
      <c r="W40" s="61"/>
      <c r="X40" s="269" t="b">
        <v>1</v>
      </c>
      <c r="Y40" s="258"/>
      <c r="Z40" s="270">
        <v>46120.0</v>
      </c>
      <c r="AA40" s="109" t="s">
        <v>1500</v>
      </c>
      <c r="AB40" s="109" t="s">
        <v>1501</v>
      </c>
      <c r="AC40" s="58" t="s">
        <v>27</v>
      </c>
      <c r="AD40" s="58" t="s">
        <v>20</v>
      </c>
      <c r="AE40" s="61"/>
      <c r="AF40" s="269" t="b">
        <v>1</v>
      </c>
      <c r="AH40" s="314">
        <v>46129.0</v>
      </c>
      <c r="AI40" s="302" t="s">
        <v>1502</v>
      </c>
      <c r="AJ40" s="277" t="s">
        <v>1503</v>
      </c>
      <c r="AK40" s="303" t="s">
        <v>22</v>
      </c>
      <c r="AL40" s="303" t="s">
        <v>958</v>
      </c>
      <c r="AM40" s="290"/>
      <c r="AN40" s="281" t="b">
        <v>1</v>
      </c>
      <c r="AO40" s="258"/>
      <c r="AP40" s="282">
        <v>46127.0</v>
      </c>
      <c r="AQ40" s="283" t="s">
        <v>1504</v>
      </c>
      <c r="AR40" s="283" t="s">
        <v>1505</v>
      </c>
      <c r="AS40" s="285" t="s">
        <v>30</v>
      </c>
      <c r="AT40" s="285" t="s">
        <v>20</v>
      </c>
      <c r="AU40" s="300"/>
      <c r="AV40" s="286" t="b">
        <v>1</v>
      </c>
      <c r="AW40" s="258"/>
      <c r="AX40" s="314">
        <v>46134.0</v>
      </c>
      <c r="AY40" s="302" t="s">
        <v>1506</v>
      </c>
      <c r="AZ40" s="277" t="s">
        <v>1507</v>
      </c>
      <c r="BA40" s="303" t="s">
        <v>22</v>
      </c>
      <c r="BB40" s="303" t="s">
        <v>17</v>
      </c>
      <c r="BC40" s="290"/>
      <c r="BD40" s="281" t="b">
        <v>1</v>
      </c>
      <c r="BE40" s="258"/>
      <c r="BF40" s="282"/>
      <c r="BG40" s="283"/>
      <c r="BH40" s="283"/>
      <c r="BI40" s="285"/>
      <c r="BJ40" s="285"/>
      <c r="BK40" s="300"/>
      <c r="BL40" s="313"/>
    </row>
    <row r="41" ht="22.5" customHeight="1">
      <c r="A41" s="263"/>
      <c r="B41" s="270">
        <v>46113.0</v>
      </c>
      <c r="C41" s="109" t="s">
        <v>1508</v>
      </c>
      <c r="D41" s="109" t="s">
        <v>1509</v>
      </c>
      <c r="E41" s="58" t="s">
        <v>22</v>
      </c>
      <c r="F41" s="58" t="s">
        <v>28</v>
      </c>
      <c r="G41" s="61"/>
      <c r="H41" s="269" t="b">
        <v>1</v>
      </c>
      <c r="I41" s="258"/>
      <c r="J41" s="270">
        <v>46111.0</v>
      </c>
      <c r="K41" s="109" t="s">
        <v>1510</v>
      </c>
      <c r="L41" s="109" t="s">
        <v>1511</v>
      </c>
      <c r="M41" s="58" t="s">
        <v>30</v>
      </c>
      <c r="N41" s="58" t="s">
        <v>20</v>
      </c>
      <c r="O41" s="61"/>
      <c r="P41" s="269" t="b">
        <v>1</v>
      </c>
      <c r="Q41" s="258"/>
      <c r="R41" s="270">
        <v>46121.0</v>
      </c>
      <c r="S41" s="109" t="s">
        <v>1512</v>
      </c>
      <c r="T41" s="109" t="s">
        <v>1513</v>
      </c>
      <c r="U41" s="58" t="s">
        <v>10</v>
      </c>
      <c r="V41" s="58" t="s">
        <v>12</v>
      </c>
      <c r="W41" s="61"/>
      <c r="X41" s="269" t="b">
        <v>1</v>
      </c>
      <c r="Y41" s="258"/>
      <c r="Z41" s="270">
        <v>46121.0</v>
      </c>
      <c r="AA41" s="109" t="s">
        <v>1514</v>
      </c>
      <c r="AB41" s="109" t="s">
        <v>1515</v>
      </c>
      <c r="AC41" s="58" t="s">
        <v>18</v>
      </c>
      <c r="AD41" s="58" t="s">
        <v>17</v>
      </c>
      <c r="AE41" s="61"/>
      <c r="AF41" s="269" t="b">
        <v>1</v>
      </c>
      <c r="AH41" s="314">
        <v>46129.0</v>
      </c>
      <c r="AI41" s="302" t="s">
        <v>1516</v>
      </c>
      <c r="AJ41" s="277" t="s">
        <v>1517</v>
      </c>
      <c r="AK41" s="303" t="s">
        <v>22</v>
      </c>
      <c r="AL41" s="303" t="s">
        <v>958</v>
      </c>
      <c r="AM41" s="290"/>
      <c r="AN41" s="281" t="b">
        <v>1</v>
      </c>
      <c r="AO41" s="258"/>
      <c r="AP41" s="282">
        <v>46127.0</v>
      </c>
      <c r="AQ41" s="283" t="s">
        <v>1518</v>
      </c>
      <c r="AR41" s="283" t="s">
        <v>1519</v>
      </c>
      <c r="AS41" s="285" t="s">
        <v>30</v>
      </c>
      <c r="AT41" s="285" t="s">
        <v>20</v>
      </c>
      <c r="AU41" s="300"/>
      <c r="AV41" s="286" t="b">
        <v>1</v>
      </c>
      <c r="AW41" s="258"/>
      <c r="AX41" s="314">
        <v>46135.0</v>
      </c>
      <c r="AY41" s="302" t="s">
        <v>1520</v>
      </c>
      <c r="AZ41" s="277" t="s">
        <v>1521</v>
      </c>
      <c r="BA41" s="303" t="s">
        <v>16</v>
      </c>
      <c r="BB41" s="303" t="s">
        <v>12</v>
      </c>
      <c r="BC41" s="290"/>
      <c r="BD41" s="281" t="b">
        <v>1</v>
      </c>
      <c r="BE41" s="258"/>
      <c r="BF41" s="282"/>
      <c r="BG41" s="283"/>
      <c r="BH41" s="283"/>
      <c r="BI41" s="285"/>
      <c r="BJ41" s="285"/>
      <c r="BK41" s="300"/>
      <c r="BL41" s="313"/>
    </row>
    <row r="42" ht="22.5" customHeight="1">
      <c r="A42" s="263"/>
      <c r="B42" s="270">
        <v>46113.0</v>
      </c>
      <c r="C42" s="109" t="s">
        <v>1522</v>
      </c>
      <c r="D42" s="109" t="s">
        <v>1523</v>
      </c>
      <c r="E42" s="58" t="s">
        <v>22</v>
      </c>
      <c r="F42" s="58" t="s">
        <v>28</v>
      </c>
      <c r="G42" s="61"/>
      <c r="H42" s="269" t="b">
        <v>1</v>
      </c>
      <c r="I42" s="258"/>
      <c r="J42" s="270">
        <v>46117.0</v>
      </c>
      <c r="K42" s="109" t="s">
        <v>1524</v>
      </c>
      <c r="L42" s="109" t="s">
        <v>1525</v>
      </c>
      <c r="M42" s="58" t="s">
        <v>30</v>
      </c>
      <c r="N42" s="58" t="s">
        <v>20</v>
      </c>
      <c r="O42" s="61"/>
      <c r="P42" s="269" t="b">
        <v>1</v>
      </c>
      <c r="Q42" s="258"/>
      <c r="R42" s="270">
        <v>46121.0</v>
      </c>
      <c r="S42" s="109" t="s">
        <v>1526</v>
      </c>
      <c r="T42" s="109" t="s">
        <v>1527</v>
      </c>
      <c r="U42" s="58" t="s">
        <v>10</v>
      </c>
      <c r="V42" s="58" t="s">
        <v>12</v>
      </c>
      <c r="W42" s="61"/>
      <c r="X42" s="269" t="b">
        <v>1</v>
      </c>
      <c r="Y42" s="258"/>
      <c r="Z42" s="270">
        <v>46121.0</v>
      </c>
      <c r="AA42" s="109" t="s">
        <v>1528</v>
      </c>
      <c r="AB42" s="109" t="s">
        <v>1529</v>
      </c>
      <c r="AC42" s="58" t="s">
        <v>18</v>
      </c>
      <c r="AD42" s="58" t="s">
        <v>17</v>
      </c>
      <c r="AE42" s="61"/>
      <c r="AF42" s="269" t="b">
        <v>1</v>
      </c>
      <c r="AH42" s="314">
        <v>46129.0</v>
      </c>
      <c r="AI42" s="302" t="s">
        <v>1530</v>
      </c>
      <c r="AJ42" s="277" t="s">
        <v>1531</v>
      </c>
      <c r="AK42" s="303" t="s">
        <v>22</v>
      </c>
      <c r="AL42" s="303" t="s">
        <v>958</v>
      </c>
      <c r="AM42" s="290"/>
      <c r="AN42" s="281" t="b">
        <v>1</v>
      </c>
      <c r="AO42" s="258"/>
      <c r="AP42" s="282">
        <v>46127.0</v>
      </c>
      <c r="AQ42" s="283" t="s">
        <v>1532</v>
      </c>
      <c r="AR42" s="283" t="s">
        <v>1533</v>
      </c>
      <c r="AS42" s="285" t="s">
        <v>27</v>
      </c>
      <c r="AT42" s="285" t="s">
        <v>20</v>
      </c>
      <c r="AU42" s="300"/>
      <c r="AV42" s="286" t="b">
        <v>1</v>
      </c>
      <c r="AW42" s="258"/>
      <c r="AX42" s="314">
        <v>46135.0</v>
      </c>
      <c r="AY42" s="302" t="s">
        <v>1534</v>
      </c>
      <c r="AZ42" s="277" t="s">
        <v>1535</v>
      </c>
      <c r="BA42" s="303" t="s">
        <v>10</v>
      </c>
      <c r="BB42" s="303" t="s">
        <v>12</v>
      </c>
      <c r="BC42" s="290"/>
      <c r="BD42" s="281" t="b">
        <v>1</v>
      </c>
      <c r="BE42" s="258"/>
      <c r="BF42" s="282"/>
      <c r="BG42" s="283"/>
      <c r="BH42" s="283"/>
      <c r="BI42" s="285"/>
      <c r="BJ42" s="285"/>
      <c r="BK42" s="300"/>
      <c r="BL42" s="313"/>
    </row>
    <row r="43" ht="22.5" customHeight="1">
      <c r="A43" s="263"/>
      <c r="B43" s="270">
        <v>46113.0</v>
      </c>
      <c r="C43" s="109" t="s">
        <v>1536</v>
      </c>
      <c r="D43" s="109" t="s">
        <v>1537</v>
      </c>
      <c r="E43" s="58" t="s">
        <v>10</v>
      </c>
      <c r="F43" s="58" t="s">
        <v>9</v>
      </c>
      <c r="G43" s="61"/>
      <c r="H43" s="269" t="b">
        <v>1</v>
      </c>
      <c r="I43" s="258"/>
      <c r="J43" s="270">
        <v>46111.0</v>
      </c>
      <c r="K43" s="109" t="s">
        <v>1538</v>
      </c>
      <c r="L43" s="109" t="s">
        <v>1539</v>
      </c>
      <c r="M43" s="58" t="s">
        <v>30</v>
      </c>
      <c r="N43" s="58" t="s">
        <v>20</v>
      </c>
      <c r="O43" s="61"/>
      <c r="P43" s="269" t="b">
        <v>1</v>
      </c>
      <c r="Q43" s="258"/>
      <c r="R43" s="270">
        <v>46121.0</v>
      </c>
      <c r="S43" s="109" t="s">
        <v>1540</v>
      </c>
      <c r="T43" s="109" t="s">
        <v>1541</v>
      </c>
      <c r="U43" s="58" t="s">
        <v>10</v>
      </c>
      <c r="V43" s="58" t="s">
        <v>12</v>
      </c>
      <c r="W43" s="61"/>
      <c r="X43" s="269" t="b">
        <v>1</v>
      </c>
      <c r="Y43" s="258"/>
      <c r="Z43" s="270">
        <v>46121.0</v>
      </c>
      <c r="AA43" s="109" t="s">
        <v>1542</v>
      </c>
      <c r="AB43" s="109" t="s">
        <v>1543</v>
      </c>
      <c r="AC43" s="58" t="s">
        <v>18</v>
      </c>
      <c r="AD43" s="58" t="s">
        <v>17</v>
      </c>
      <c r="AE43" s="61"/>
      <c r="AF43" s="269" t="b">
        <v>1</v>
      </c>
      <c r="AH43" s="314">
        <v>46129.0</v>
      </c>
      <c r="AI43" s="302" t="s">
        <v>1544</v>
      </c>
      <c r="AJ43" s="277" t="s">
        <v>1545</v>
      </c>
      <c r="AK43" s="303" t="s">
        <v>22</v>
      </c>
      <c r="AL43" s="303" t="s">
        <v>958</v>
      </c>
      <c r="AM43" s="290"/>
      <c r="AN43" s="281" t="b">
        <v>1</v>
      </c>
      <c r="AO43" s="258"/>
      <c r="AP43" s="282">
        <v>46127.0</v>
      </c>
      <c r="AQ43" s="283" t="s">
        <v>1546</v>
      </c>
      <c r="AR43" s="283" t="s">
        <v>1547</v>
      </c>
      <c r="AS43" s="285" t="s">
        <v>27</v>
      </c>
      <c r="AT43" s="285" t="s">
        <v>20</v>
      </c>
      <c r="AU43" s="300"/>
      <c r="AV43" s="286" t="b">
        <v>1</v>
      </c>
      <c r="AW43" s="258"/>
      <c r="AX43" s="314">
        <v>46135.0</v>
      </c>
      <c r="AY43" s="302" t="s">
        <v>1548</v>
      </c>
      <c r="AZ43" s="277" t="s">
        <v>1549</v>
      </c>
      <c r="BA43" s="303" t="s">
        <v>19</v>
      </c>
      <c r="BB43" s="303" t="s">
        <v>9</v>
      </c>
      <c r="BC43" s="290"/>
      <c r="BD43" s="281" t="b">
        <v>1</v>
      </c>
      <c r="BE43" s="258"/>
      <c r="BF43" s="282"/>
      <c r="BG43" s="283"/>
      <c r="BH43" s="283"/>
      <c r="BI43" s="285"/>
      <c r="BJ43" s="285"/>
      <c r="BK43" s="300"/>
      <c r="BL43" s="313"/>
    </row>
    <row r="44" ht="22.5" customHeight="1">
      <c r="A44" s="263"/>
      <c r="B44" s="270">
        <v>46113.0</v>
      </c>
      <c r="C44" s="109" t="s">
        <v>1550</v>
      </c>
      <c r="D44" s="109" t="s">
        <v>1551</v>
      </c>
      <c r="E44" s="58" t="s">
        <v>24</v>
      </c>
      <c r="F44" s="58" t="s">
        <v>9</v>
      </c>
      <c r="G44" s="61"/>
      <c r="H44" s="269" t="b">
        <v>1</v>
      </c>
      <c r="I44" s="258"/>
      <c r="J44" s="270">
        <v>46111.0</v>
      </c>
      <c r="K44" s="109" t="s">
        <v>1552</v>
      </c>
      <c r="L44" s="109" t="s">
        <v>1553</v>
      </c>
      <c r="M44" s="58" t="s">
        <v>30</v>
      </c>
      <c r="N44" s="58" t="s">
        <v>20</v>
      </c>
      <c r="O44" s="61"/>
      <c r="P44" s="269" t="b">
        <v>1</v>
      </c>
      <c r="Q44" s="258"/>
      <c r="R44" s="270">
        <v>46121.0</v>
      </c>
      <c r="S44" s="109" t="s">
        <v>1554</v>
      </c>
      <c r="T44" s="109" t="s">
        <v>1555</v>
      </c>
      <c r="U44" s="58" t="s">
        <v>10</v>
      </c>
      <c r="V44" s="58" t="s">
        <v>12</v>
      </c>
      <c r="W44" s="61"/>
      <c r="X44" s="269" t="b">
        <v>1</v>
      </c>
      <c r="Y44" s="258"/>
      <c r="Z44" s="270">
        <v>46121.0</v>
      </c>
      <c r="AA44" s="109" t="s">
        <v>1556</v>
      </c>
      <c r="AB44" s="109" t="s">
        <v>1557</v>
      </c>
      <c r="AC44" s="58" t="s">
        <v>18</v>
      </c>
      <c r="AD44" s="58" t="s">
        <v>17</v>
      </c>
      <c r="AE44" s="61"/>
      <c r="AF44" s="269" t="b">
        <v>1</v>
      </c>
      <c r="AH44" s="314">
        <v>46129.0</v>
      </c>
      <c r="AI44" s="302" t="s">
        <v>1558</v>
      </c>
      <c r="AJ44" s="277" t="s">
        <v>1559</v>
      </c>
      <c r="AK44" s="303" t="s">
        <v>44</v>
      </c>
      <c r="AL44" s="303" t="s">
        <v>14</v>
      </c>
      <c r="AM44" s="290"/>
      <c r="AN44" s="281" t="b">
        <v>1</v>
      </c>
      <c r="AO44" s="258"/>
      <c r="AP44" s="282">
        <v>46127.0</v>
      </c>
      <c r="AQ44" s="283" t="s">
        <v>1560</v>
      </c>
      <c r="AR44" s="283" t="s">
        <v>1561</v>
      </c>
      <c r="AS44" s="285" t="s">
        <v>18</v>
      </c>
      <c r="AT44" s="285" t="s">
        <v>17</v>
      </c>
      <c r="AU44" s="300"/>
      <c r="AV44" s="286" t="b">
        <v>1</v>
      </c>
      <c r="AW44" s="258"/>
      <c r="AX44" s="314">
        <v>46135.0</v>
      </c>
      <c r="AY44" s="302" t="s">
        <v>1562</v>
      </c>
      <c r="AZ44" s="277" t="s">
        <v>1563</v>
      </c>
      <c r="BA44" s="303" t="s">
        <v>19</v>
      </c>
      <c r="BB44" s="303" t="s">
        <v>9</v>
      </c>
      <c r="BC44" s="290"/>
      <c r="BD44" s="281" t="b">
        <v>1</v>
      </c>
      <c r="BE44" s="258"/>
      <c r="BF44" s="282"/>
      <c r="BG44" s="283"/>
      <c r="BH44" s="283"/>
      <c r="BI44" s="285"/>
      <c r="BJ44" s="285"/>
      <c r="BK44" s="300"/>
      <c r="BL44" s="313"/>
    </row>
    <row r="45" ht="22.5" customHeight="1">
      <c r="A45" s="263"/>
      <c r="B45" s="270">
        <v>46113.0</v>
      </c>
      <c r="C45" s="109" t="s">
        <v>1564</v>
      </c>
      <c r="D45" s="109" t="s">
        <v>1565</v>
      </c>
      <c r="E45" s="58" t="s">
        <v>16</v>
      </c>
      <c r="F45" s="58" t="s">
        <v>9</v>
      </c>
      <c r="G45" s="61"/>
      <c r="H45" s="269" t="b">
        <v>1</v>
      </c>
      <c r="I45" s="258"/>
      <c r="J45" s="270">
        <v>46111.0</v>
      </c>
      <c r="K45" s="109" t="s">
        <v>1566</v>
      </c>
      <c r="L45" s="109" t="s">
        <v>1567</v>
      </c>
      <c r="M45" s="58" t="s">
        <v>27</v>
      </c>
      <c r="N45" s="58" t="s">
        <v>12</v>
      </c>
      <c r="O45" s="61"/>
      <c r="P45" s="269" t="b">
        <v>1</v>
      </c>
      <c r="Q45" s="258"/>
      <c r="R45" s="270">
        <v>46121.0</v>
      </c>
      <c r="S45" s="109" t="s">
        <v>1568</v>
      </c>
      <c r="T45" s="109" t="s">
        <v>1569</v>
      </c>
      <c r="U45" s="58" t="s">
        <v>10</v>
      </c>
      <c r="V45" s="58" t="s">
        <v>12</v>
      </c>
      <c r="W45" s="61"/>
      <c r="X45" s="269" t="b">
        <v>1</v>
      </c>
      <c r="Y45" s="258"/>
      <c r="Z45" s="270">
        <v>46121.0</v>
      </c>
      <c r="AA45" s="109" t="s">
        <v>1570</v>
      </c>
      <c r="AB45" s="109" t="s">
        <v>1571</v>
      </c>
      <c r="AC45" s="58" t="s">
        <v>18</v>
      </c>
      <c r="AD45" s="58" t="s">
        <v>17</v>
      </c>
      <c r="AE45" s="61"/>
      <c r="AF45" s="269" t="b">
        <v>1</v>
      </c>
      <c r="AH45" s="314">
        <v>46129.0</v>
      </c>
      <c r="AI45" s="302" t="s">
        <v>1572</v>
      </c>
      <c r="AJ45" s="277" t="s">
        <v>1573</v>
      </c>
      <c r="AK45" s="303" t="s">
        <v>22</v>
      </c>
      <c r="AL45" s="303" t="s">
        <v>958</v>
      </c>
      <c r="AM45" s="290"/>
      <c r="AN45" s="281" t="b">
        <v>1</v>
      </c>
      <c r="AO45" s="258"/>
      <c r="AP45" s="282">
        <v>46127.0</v>
      </c>
      <c r="AQ45" s="283" t="s">
        <v>1574</v>
      </c>
      <c r="AR45" s="283" t="s">
        <v>1575</v>
      </c>
      <c r="AS45" s="285" t="s">
        <v>11</v>
      </c>
      <c r="AT45" s="285" t="s">
        <v>14</v>
      </c>
      <c r="AU45" s="300"/>
      <c r="AV45" s="286" t="b">
        <v>1</v>
      </c>
      <c r="AW45" s="258"/>
      <c r="AX45" s="314">
        <v>46135.0</v>
      </c>
      <c r="AY45" s="329" t="s">
        <v>1576</v>
      </c>
      <c r="AZ45" s="277" t="s">
        <v>1577</v>
      </c>
      <c r="BA45" s="303" t="s">
        <v>22</v>
      </c>
      <c r="BB45" s="303" t="s">
        <v>17</v>
      </c>
      <c r="BC45" s="290"/>
      <c r="BD45" s="281" t="b">
        <v>1</v>
      </c>
      <c r="BE45" s="258"/>
      <c r="BF45" s="282"/>
      <c r="BG45" s="283"/>
      <c r="BH45" s="283"/>
      <c r="BI45" s="285"/>
      <c r="BJ45" s="285"/>
      <c r="BK45" s="300"/>
      <c r="BL45" s="313"/>
    </row>
    <row r="46" ht="22.5" customHeight="1">
      <c r="A46" s="263"/>
      <c r="B46" s="270">
        <v>46113.0</v>
      </c>
      <c r="C46" s="109" t="s">
        <v>1578</v>
      </c>
      <c r="D46" s="109" t="s">
        <v>1579</v>
      </c>
      <c r="E46" s="58" t="s">
        <v>16</v>
      </c>
      <c r="F46" s="58" t="s">
        <v>9</v>
      </c>
      <c r="G46" s="61"/>
      <c r="H46" s="269" t="b">
        <v>1</v>
      </c>
      <c r="I46" s="258"/>
      <c r="J46" s="270">
        <v>46111.0</v>
      </c>
      <c r="K46" s="109" t="s">
        <v>1580</v>
      </c>
      <c r="L46" s="109" t="s">
        <v>1581</v>
      </c>
      <c r="M46" s="58" t="s">
        <v>30</v>
      </c>
      <c r="N46" s="58" t="s">
        <v>20</v>
      </c>
      <c r="O46" s="61"/>
      <c r="P46" s="269" t="b">
        <v>1</v>
      </c>
      <c r="Q46" s="258"/>
      <c r="R46" s="270">
        <v>46121.0</v>
      </c>
      <c r="S46" s="109" t="s">
        <v>1582</v>
      </c>
      <c r="T46" s="109" t="s">
        <v>1583</v>
      </c>
      <c r="U46" s="58" t="s">
        <v>10</v>
      </c>
      <c r="V46" s="58" t="s">
        <v>12</v>
      </c>
      <c r="W46" s="61"/>
      <c r="X46" s="269" t="b">
        <v>1</v>
      </c>
      <c r="Y46" s="258"/>
      <c r="Z46" s="270">
        <v>46121.0</v>
      </c>
      <c r="AA46" s="109" t="s">
        <v>1584</v>
      </c>
      <c r="AB46" s="109" t="s">
        <v>1585</v>
      </c>
      <c r="AC46" s="58" t="s">
        <v>27</v>
      </c>
      <c r="AD46" s="58" t="s">
        <v>20</v>
      </c>
      <c r="AE46" s="61"/>
      <c r="AF46" s="269" t="b">
        <v>1</v>
      </c>
      <c r="AH46" s="314">
        <v>46129.0</v>
      </c>
      <c r="AI46" s="302" t="s">
        <v>1586</v>
      </c>
      <c r="AJ46" s="277" t="s">
        <v>1587</v>
      </c>
      <c r="AK46" s="303" t="s">
        <v>22</v>
      </c>
      <c r="AL46" s="303" t="s">
        <v>9</v>
      </c>
      <c r="AM46" s="290"/>
      <c r="AN46" s="281" t="b">
        <v>1</v>
      </c>
      <c r="AO46" s="258"/>
      <c r="AP46" s="282">
        <v>46128.0</v>
      </c>
      <c r="AQ46" s="283" t="s">
        <v>1588</v>
      </c>
      <c r="AR46" s="283" t="s">
        <v>1589</v>
      </c>
      <c r="AS46" s="285" t="s">
        <v>18</v>
      </c>
      <c r="AT46" s="285" t="s">
        <v>17</v>
      </c>
      <c r="AU46" s="300"/>
      <c r="AV46" s="286" t="b">
        <v>1</v>
      </c>
      <c r="AW46" s="258"/>
      <c r="AX46" s="314">
        <v>46135.0</v>
      </c>
      <c r="AY46" s="329" t="s">
        <v>1590</v>
      </c>
      <c r="AZ46" s="277" t="s">
        <v>1591</v>
      </c>
      <c r="BA46" s="303" t="s">
        <v>22</v>
      </c>
      <c r="BB46" s="303" t="s">
        <v>17</v>
      </c>
      <c r="BC46" s="290"/>
      <c r="BD46" s="281" t="b">
        <v>1</v>
      </c>
      <c r="BE46" s="258"/>
      <c r="BF46" s="282"/>
      <c r="BG46" s="283"/>
      <c r="BH46" s="283"/>
      <c r="BI46" s="285"/>
      <c r="BJ46" s="285"/>
      <c r="BK46" s="300"/>
      <c r="BL46" s="313"/>
    </row>
    <row r="47" ht="22.5" customHeight="1">
      <c r="A47" s="263"/>
      <c r="B47" s="270">
        <v>46113.0</v>
      </c>
      <c r="C47" s="109" t="s">
        <v>279</v>
      </c>
      <c r="D47" s="109" t="s">
        <v>280</v>
      </c>
      <c r="E47" s="58" t="s">
        <v>950</v>
      </c>
      <c r="F47" s="58" t="s">
        <v>9</v>
      </c>
      <c r="G47" s="61"/>
      <c r="H47" s="269" t="b">
        <v>1</v>
      </c>
      <c r="I47" s="258"/>
      <c r="J47" s="270">
        <v>46111.0</v>
      </c>
      <c r="K47" s="109" t="s">
        <v>1592</v>
      </c>
      <c r="L47" s="109" t="s">
        <v>1593</v>
      </c>
      <c r="M47" s="58" t="s">
        <v>18</v>
      </c>
      <c r="N47" s="58" t="s">
        <v>20</v>
      </c>
      <c r="O47" s="61"/>
      <c r="P47" s="269" t="b">
        <v>1</v>
      </c>
      <c r="Q47" s="258"/>
      <c r="R47" s="270">
        <v>46121.0</v>
      </c>
      <c r="S47" s="109" t="s">
        <v>1594</v>
      </c>
      <c r="T47" s="109" t="s">
        <v>1595</v>
      </c>
      <c r="U47" s="58" t="s">
        <v>10</v>
      </c>
      <c r="V47" s="58" t="s">
        <v>12</v>
      </c>
      <c r="W47" s="61"/>
      <c r="X47" s="269" t="b">
        <v>1</v>
      </c>
      <c r="Y47" s="258"/>
      <c r="Z47" s="270">
        <v>46121.0</v>
      </c>
      <c r="AA47" s="109" t="s">
        <v>1596</v>
      </c>
      <c r="AB47" s="109" t="s">
        <v>1597</v>
      </c>
      <c r="AC47" s="58" t="s">
        <v>27</v>
      </c>
      <c r="AD47" s="58" t="s">
        <v>20</v>
      </c>
      <c r="AE47" s="61"/>
      <c r="AF47" s="269" t="b">
        <v>1</v>
      </c>
      <c r="AH47" s="314">
        <v>46129.0</v>
      </c>
      <c r="AI47" s="302" t="s">
        <v>1598</v>
      </c>
      <c r="AJ47" s="277" t="s">
        <v>1599</v>
      </c>
      <c r="AK47" s="303" t="s">
        <v>22</v>
      </c>
      <c r="AL47" s="303" t="s">
        <v>9</v>
      </c>
      <c r="AM47" s="290"/>
      <c r="AN47" s="281" t="b">
        <v>1</v>
      </c>
      <c r="AO47" s="258"/>
      <c r="AP47" s="282">
        <v>46128.0</v>
      </c>
      <c r="AQ47" s="283" t="s">
        <v>1600</v>
      </c>
      <c r="AR47" s="283" t="s">
        <v>1601</v>
      </c>
      <c r="AS47" s="285" t="s">
        <v>18</v>
      </c>
      <c r="AT47" s="285" t="s">
        <v>17</v>
      </c>
      <c r="AU47" s="300"/>
      <c r="AV47" s="286" t="b">
        <v>1</v>
      </c>
      <c r="AW47" s="258"/>
      <c r="AX47" s="314">
        <v>46135.0</v>
      </c>
      <c r="AY47" s="302" t="s">
        <v>1602</v>
      </c>
      <c r="AZ47" s="277" t="s">
        <v>1603</v>
      </c>
      <c r="BA47" s="303" t="s">
        <v>22</v>
      </c>
      <c r="BB47" s="303" t="s">
        <v>14</v>
      </c>
      <c r="BC47" s="290"/>
      <c r="BD47" s="281" t="b">
        <v>1</v>
      </c>
      <c r="BE47" s="258"/>
      <c r="BF47" s="282"/>
      <c r="BG47" s="283"/>
      <c r="BH47" s="283"/>
      <c r="BI47" s="285"/>
      <c r="BJ47" s="285"/>
      <c r="BK47" s="300"/>
      <c r="BL47" s="313"/>
    </row>
    <row r="48" ht="22.5" customHeight="1">
      <c r="A48" s="263"/>
      <c r="B48" s="270">
        <v>46118.0</v>
      </c>
      <c r="C48" s="109" t="s">
        <v>1604</v>
      </c>
      <c r="D48" s="109" t="s">
        <v>1605</v>
      </c>
      <c r="E48" s="58" t="s">
        <v>22</v>
      </c>
      <c r="F48" s="58" t="s">
        <v>14</v>
      </c>
      <c r="G48" s="61"/>
      <c r="H48" s="269" t="b">
        <v>1</v>
      </c>
      <c r="I48" s="258"/>
      <c r="J48" s="270">
        <v>46111.0</v>
      </c>
      <c r="K48" s="109" t="s">
        <v>1606</v>
      </c>
      <c r="L48" s="109" t="s">
        <v>1607</v>
      </c>
      <c r="M48" s="58" t="s">
        <v>18</v>
      </c>
      <c r="N48" s="58" t="s">
        <v>20</v>
      </c>
      <c r="O48" s="61"/>
      <c r="P48" s="269" t="b">
        <v>1</v>
      </c>
      <c r="Q48" s="258"/>
      <c r="R48" s="270">
        <v>46121.0</v>
      </c>
      <c r="S48" s="109" t="s">
        <v>1608</v>
      </c>
      <c r="T48" s="109" t="s">
        <v>1609</v>
      </c>
      <c r="U48" s="58" t="s">
        <v>10</v>
      </c>
      <c r="V48" s="58" t="s">
        <v>12</v>
      </c>
      <c r="W48" s="61"/>
      <c r="X48" s="269" t="b">
        <v>1</v>
      </c>
      <c r="Y48" s="258"/>
      <c r="Z48" s="270">
        <v>46121.0</v>
      </c>
      <c r="AA48" s="109" t="s">
        <v>1610</v>
      </c>
      <c r="AB48" s="109" t="s">
        <v>1611</v>
      </c>
      <c r="AC48" s="58" t="s">
        <v>27</v>
      </c>
      <c r="AD48" s="58" t="s">
        <v>20</v>
      </c>
      <c r="AE48" s="61"/>
      <c r="AF48" s="269" t="b">
        <v>1</v>
      </c>
      <c r="AH48" s="314">
        <v>46129.0</v>
      </c>
      <c r="AI48" s="302" t="s">
        <v>1612</v>
      </c>
      <c r="AJ48" s="277" t="s">
        <v>1613</v>
      </c>
      <c r="AK48" s="303" t="s">
        <v>22</v>
      </c>
      <c r="AL48" s="303" t="s">
        <v>958</v>
      </c>
      <c r="AM48" s="290"/>
      <c r="AN48" s="281" t="b">
        <v>1</v>
      </c>
      <c r="AO48" s="258"/>
      <c r="AP48" s="282">
        <v>46128.0</v>
      </c>
      <c r="AQ48" s="283" t="s">
        <v>1614</v>
      </c>
      <c r="AR48" s="283" t="s">
        <v>1615</v>
      </c>
      <c r="AS48" s="285" t="s">
        <v>27</v>
      </c>
      <c r="AT48" s="285" t="s">
        <v>20</v>
      </c>
      <c r="AU48" s="300"/>
      <c r="AV48" s="286" t="b">
        <v>1</v>
      </c>
      <c r="AW48" s="258"/>
      <c r="AX48" s="314">
        <v>46135.0</v>
      </c>
      <c r="AY48" s="302" t="s">
        <v>1616</v>
      </c>
      <c r="AZ48" s="277" t="s">
        <v>1617</v>
      </c>
      <c r="BA48" s="303" t="s">
        <v>22</v>
      </c>
      <c r="BB48" s="303" t="s">
        <v>14</v>
      </c>
      <c r="BC48" s="290"/>
      <c r="BD48" s="281" t="b">
        <v>1</v>
      </c>
      <c r="BE48" s="258"/>
      <c r="BF48" s="282"/>
      <c r="BG48" s="283"/>
      <c r="BH48" s="283"/>
      <c r="BI48" s="285"/>
      <c r="BJ48" s="285"/>
      <c r="BK48" s="300"/>
      <c r="BL48" s="313"/>
    </row>
    <row r="49" ht="22.5" customHeight="1">
      <c r="A49" s="263"/>
      <c r="B49" s="270">
        <v>46118.0</v>
      </c>
      <c r="C49" s="109" t="s">
        <v>1618</v>
      </c>
      <c r="D49" s="109" t="s">
        <v>1619</v>
      </c>
      <c r="E49" s="58" t="s">
        <v>22</v>
      </c>
      <c r="F49" s="58" t="s">
        <v>14</v>
      </c>
      <c r="G49" s="61"/>
      <c r="H49" s="269" t="b">
        <v>1</v>
      </c>
      <c r="I49" s="258"/>
      <c r="J49" s="270">
        <v>46111.0</v>
      </c>
      <c r="K49" s="109" t="s">
        <v>1620</v>
      </c>
      <c r="L49" s="109" t="s">
        <v>1621</v>
      </c>
      <c r="M49" s="58" t="s">
        <v>18</v>
      </c>
      <c r="N49" s="58" t="s">
        <v>20</v>
      </c>
      <c r="O49" s="61"/>
      <c r="P49" s="269" t="b">
        <v>1</v>
      </c>
      <c r="Q49" s="258"/>
      <c r="R49" s="270">
        <v>46122.0</v>
      </c>
      <c r="S49" s="109" t="s">
        <v>1622</v>
      </c>
      <c r="T49" s="109" t="s">
        <v>1623</v>
      </c>
      <c r="U49" s="58" t="s">
        <v>22</v>
      </c>
      <c r="V49" s="58" t="s">
        <v>958</v>
      </c>
      <c r="W49" s="61"/>
      <c r="X49" s="269" t="b">
        <v>1</v>
      </c>
      <c r="Y49" s="258"/>
      <c r="Z49" s="270">
        <v>46121.0</v>
      </c>
      <c r="AA49" s="109" t="s">
        <v>1624</v>
      </c>
      <c r="AB49" s="109" t="s">
        <v>1625</v>
      </c>
      <c r="AC49" s="58" t="s">
        <v>27</v>
      </c>
      <c r="AD49" s="58" t="s">
        <v>20</v>
      </c>
      <c r="AE49" s="61"/>
      <c r="AF49" s="269" t="b">
        <v>1</v>
      </c>
      <c r="AH49" s="314">
        <v>46129.0</v>
      </c>
      <c r="AI49" s="302" t="s">
        <v>1626</v>
      </c>
      <c r="AJ49" s="277" t="s">
        <v>1627</v>
      </c>
      <c r="AK49" s="303" t="s">
        <v>22</v>
      </c>
      <c r="AL49" s="303" t="s">
        <v>958</v>
      </c>
      <c r="AM49" s="290"/>
      <c r="AN49" s="281" t="b">
        <v>1</v>
      </c>
      <c r="AO49" s="258"/>
      <c r="AP49" s="282">
        <v>46128.0</v>
      </c>
      <c r="AQ49" s="283" t="s">
        <v>1628</v>
      </c>
      <c r="AR49" s="283" t="s">
        <v>1629</v>
      </c>
      <c r="AS49" s="285" t="s">
        <v>27</v>
      </c>
      <c r="AT49" s="285" t="s">
        <v>20</v>
      </c>
      <c r="AU49" s="300"/>
      <c r="AV49" s="286" t="b">
        <v>1</v>
      </c>
      <c r="AW49" s="258"/>
      <c r="AX49" s="314">
        <v>46132.0</v>
      </c>
      <c r="AY49" s="302" t="s">
        <v>1630</v>
      </c>
      <c r="AZ49" s="277" t="s">
        <v>1631</v>
      </c>
      <c r="BA49" s="303" t="s">
        <v>22</v>
      </c>
      <c r="BB49" s="303" t="s">
        <v>9</v>
      </c>
      <c r="BC49" s="290"/>
      <c r="BD49" s="281" t="b">
        <v>1</v>
      </c>
      <c r="BE49" s="258"/>
      <c r="BF49" s="282"/>
      <c r="BG49" s="283"/>
      <c r="BH49" s="283"/>
      <c r="BI49" s="285"/>
      <c r="BJ49" s="285"/>
      <c r="BK49" s="300"/>
      <c r="BL49" s="313"/>
    </row>
    <row r="50" ht="22.5" customHeight="1">
      <c r="A50" s="263"/>
      <c r="B50" s="270">
        <v>46118.0</v>
      </c>
      <c r="C50" s="109" t="s">
        <v>1632</v>
      </c>
      <c r="D50" s="109" t="s">
        <v>1633</v>
      </c>
      <c r="E50" s="58" t="s">
        <v>22</v>
      </c>
      <c r="F50" s="58" t="s">
        <v>14</v>
      </c>
      <c r="G50" s="61"/>
      <c r="H50" s="269" t="b">
        <v>1</v>
      </c>
      <c r="I50" s="258"/>
      <c r="J50" s="270">
        <v>46111.0</v>
      </c>
      <c r="K50" s="109" t="s">
        <v>1634</v>
      </c>
      <c r="L50" s="109" t="s">
        <v>1635</v>
      </c>
      <c r="M50" s="58" t="s">
        <v>18</v>
      </c>
      <c r="N50" s="58" t="s">
        <v>17</v>
      </c>
      <c r="O50" s="61"/>
      <c r="P50" s="269" t="b">
        <v>1</v>
      </c>
      <c r="Q50" s="258"/>
      <c r="R50" s="270">
        <v>46122.0</v>
      </c>
      <c r="S50" s="109" t="s">
        <v>1636</v>
      </c>
      <c r="T50" s="109" t="s">
        <v>1637</v>
      </c>
      <c r="U50" s="58" t="s">
        <v>950</v>
      </c>
      <c r="V50" s="58" t="s">
        <v>28</v>
      </c>
      <c r="W50" s="61"/>
      <c r="X50" s="269" t="b">
        <v>1</v>
      </c>
      <c r="Y50" s="258"/>
      <c r="Z50" s="270">
        <v>46121.0</v>
      </c>
      <c r="AA50" s="109" t="s">
        <v>1638</v>
      </c>
      <c r="AB50" s="109" t="s">
        <v>1639</v>
      </c>
      <c r="AC50" s="58" t="s">
        <v>27</v>
      </c>
      <c r="AD50" s="58" t="s">
        <v>20</v>
      </c>
      <c r="AE50" s="61"/>
      <c r="AF50" s="269" t="b">
        <v>1</v>
      </c>
      <c r="AH50" s="314">
        <v>46129.0</v>
      </c>
      <c r="AI50" s="302" t="s">
        <v>1640</v>
      </c>
      <c r="AJ50" s="277" t="s">
        <v>1641</v>
      </c>
      <c r="AK50" s="303" t="s">
        <v>22</v>
      </c>
      <c r="AL50" s="303" t="s">
        <v>9</v>
      </c>
      <c r="AM50" s="290"/>
      <c r="AN50" s="281" t="b">
        <v>1</v>
      </c>
      <c r="AO50" s="258"/>
      <c r="AP50" s="282">
        <v>46128.0</v>
      </c>
      <c r="AQ50" s="283" t="s">
        <v>1642</v>
      </c>
      <c r="AR50" s="283" t="s">
        <v>1643</v>
      </c>
      <c r="AS50" s="285" t="s">
        <v>27</v>
      </c>
      <c r="AT50" s="285" t="s">
        <v>20</v>
      </c>
      <c r="AU50" s="300"/>
      <c r="AV50" s="286" t="b">
        <v>1</v>
      </c>
      <c r="AW50" s="258"/>
      <c r="AX50" s="194"/>
      <c r="AY50" s="61"/>
      <c r="AZ50" s="61"/>
      <c r="BA50" s="81"/>
      <c r="BB50" s="81"/>
      <c r="BC50" s="61"/>
      <c r="BD50" s="291"/>
      <c r="BE50" s="258"/>
      <c r="BF50" s="282"/>
      <c r="BG50" s="283"/>
      <c r="BH50" s="283"/>
      <c r="BI50" s="285"/>
      <c r="BJ50" s="285"/>
      <c r="BK50" s="300"/>
      <c r="BL50" s="313"/>
    </row>
    <row r="51" ht="22.5" customHeight="1">
      <c r="A51" s="263"/>
      <c r="B51" s="270">
        <v>46118.0</v>
      </c>
      <c r="C51" s="109" t="s">
        <v>1644</v>
      </c>
      <c r="D51" s="109" t="s">
        <v>1645</v>
      </c>
      <c r="E51" s="58" t="s">
        <v>22</v>
      </c>
      <c r="F51" s="58" t="s">
        <v>14</v>
      </c>
      <c r="G51" s="61"/>
      <c r="H51" s="269" t="b">
        <v>1</v>
      </c>
      <c r="I51" s="258"/>
      <c r="J51" s="270">
        <v>46111.0</v>
      </c>
      <c r="K51" s="109" t="s">
        <v>1646</v>
      </c>
      <c r="L51" s="109" t="s">
        <v>1647</v>
      </c>
      <c r="M51" s="58" t="s">
        <v>18</v>
      </c>
      <c r="N51" s="58" t="s">
        <v>17</v>
      </c>
      <c r="O51" s="61"/>
      <c r="P51" s="269" t="b">
        <v>1</v>
      </c>
      <c r="Q51" s="258"/>
      <c r="R51" s="270">
        <v>46122.0</v>
      </c>
      <c r="S51" s="109" t="s">
        <v>1648</v>
      </c>
      <c r="T51" s="109" t="s">
        <v>1649</v>
      </c>
      <c r="U51" s="58" t="s">
        <v>22</v>
      </c>
      <c r="V51" s="58" t="s">
        <v>958</v>
      </c>
      <c r="W51" s="61"/>
      <c r="X51" s="269" t="b">
        <v>1</v>
      </c>
      <c r="Y51" s="258"/>
      <c r="Z51" s="270">
        <v>46121.0</v>
      </c>
      <c r="AA51" s="109" t="s">
        <v>1650</v>
      </c>
      <c r="AB51" s="109" t="s">
        <v>1651</v>
      </c>
      <c r="AC51" s="58" t="s">
        <v>27</v>
      </c>
      <c r="AD51" s="58" t="s">
        <v>20</v>
      </c>
      <c r="AE51" s="61"/>
      <c r="AF51" s="269" t="b">
        <v>1</v>
      </c>
      <c r="AH51" s="314">
        <v>46129.0</v>
      </c>
      <c r="AI51" s="302" t="s">
        <v>1652</v>
      </c>
      <c r="AJ51" s="277" t="s">
        <v>1653</v>
      </c>
      <c r="AK51" s="303" t="s">
        <v>22</v>
      </c>
      <c r="AL51" s="303" t="s">
        <v>958</v>
      </c>
      <c r="AM51" s="290"/>
      <c r="AN51" s="281" t="b">
        <v>1</v>
      </c>
      <c r="AO51" s="258"/>
      <c r="AP51" s="282">
        <v>46128.0</v>
      </c>
      <c r="AQ51" s="283" t="s">
        <v>1654</v>
      </c>
      <c r="AR51" s="283" t="s">
        <v>1655</v>
      </c>
      <c r="AS51" s="285" t="s">
        <v>27</v>
      </c>
      <c r="AT51" s="285" t="s">
        <v>20</v>
      </c>
      <c r="AU51" s="300"/>
      <c r="AV51" s="286" t="b">
        <v>1</v>
      </c>
      <c r="AW51" s="258"/>
      <c r="AX51" s="194"/>
      <c r="AY51" s="61"/>
      <c r="AZ51" s="61"/>
      <c r="BA51" s="81"/>
      <c r="BB51" s="81"/>
      <c r="BC51" s="61"/>
      <c r="BD51" s="291"/>
      <c r="BE51" s="258"/>
      <c r="BF51" s="282"/>
      <c r="BG51" s="283"/>
      <c r="BH51" s="283"/>
      <c r="BI51" s="285"/>
      <c r="BJ51" s="285"/>
      <c r="BK51" s="300"/>
      <c r="BL51" s="313"/>
    </row>
    <row r="52" ht="22.5" customHeight="1">
      <c r="A52" s="263"/>
      <c r="B52" s="270">
        <v>46118.0</v>
      </c>
      <c r="C52" s="109" t="s">
        <v>1656</v>
      </c>
      <c r="D52" s="109" t="s">
        <v>1657</v>
      </c>
      <c r="E52" s="58" t="s">
        <v>32</v>
      </c>
      <c r="F52" s="58" t="s">
        <v>12</v>
      </c>
      <c r="G52" s="61"/>
      <c r="H52" s="269" t="b">
        <v>1</v>
      </c>
      <c r="I52" s="258"/>
      <c r="J52" s="270">
        <v>46112.0</v>
      </c>
      <c r="K52" s="109" t="s">
        <v>1658</v>
      </c>
      <c r="L52" s="109" t="s">
        <v>1659</v>
      </c>
      <c r="M52" s="58" t="s">
        <v>23</v>
      </c>
      <c r="N52" s="58" t="s">
        <v>17</v>
      </c>
      <c r="O52" s="61"/>
      <c r="P52" s="269" t="b">
        <v>1</v>
      </c>
      <c r="Q52" s="258"/>
      <c r="R52" s="270">
        <v>46122.0</v>
      </c>
      <c r="S52" s="109" t="s">
        <v>1660</v>
      </c>
      <c r="T52" s="109" t="s">
        <v>1661</v>
      </c>
      <c r="U52" s="58" t="s">
        <v>22</v>
      </c>
      <c r="V52" s="58" t="s">
        <v>12</v>
      </c>
      <c r="W52" s="61"/>
      <c r="X52" s="269" t="b">
        <v>1</v>
      </c>
      <c r="Y52" s="258"/>
      <c r="Z52" s="270">
        <v>46121.0</v>
      </c>
      <c r="AA52" s="109" t="s">
        <v>1662</v>
      </c>
      <c r="AB52" s="109" t="s">
        <v>1663</v>
      </c>
      <c r="AC52" s="58" t="s">
        <v>27</v>
      </c>
      <c r="AD52" s="58" t="s">
        <v>20</v>
      </c>
      <c r="AE52" s="61"/>
      <c r="AF52" s="269" t="b">
        <v>1</v>
      </c>
      <c r="AH52" s="314">
        <v>46129.0</v>
      </c>
      <c r="AI52" s="302" t="s">
        <v>1664</v>
      </c>
      <c r="AJ52" s="277" t="s">
        <v>1665</v>
      </c>
      <c r="AK52" s="303" t="s">
        <v>24</v>
      </c>
      <c r="AL52" s="303" t="s">
        <v>17</v>
      </c>
      <c r="AM52" s="290"/>
      <c r="AN52" s="281" t="b">
        <v>1</v>
      </c>
      <c r="AO52" s="258"/>
      <c r="AP52" s="282">
        <v>46128.0</v>
      </c>
      <c r="AQ52" s="283" t="s">
        <v>1666</v>
      </c>
      <c r="AR52" s="283" t="s">
        <v>1667</v>
      </c>
      <c r="AS52" s="285" t="s">
        <v>27</v>
      </c>
      <c r="AT52" s="285" t="s">
        <v>20</v>
      </c>
      <c r="AU52" s="300"/>
      <c r="AV52" s="286" t="b">
        <v>1</v>
      </c>
      <c r="AW52" s="258"/>
      <c r="AX52" s="194"/>
      <c r="AY52" s="61"/>
      <c r="AZ52" s="61"/>
      <c r="BA52" s="81"/>
      <c r="BB52" s="81"/>
      <c r="BC52" s="61"/>
      <c r="BD52" s="291"/>
      <c r="BE52" s="258"/>
      <c r="BF52" s="282"/>
      <c r="BG52" s="283"/>
      <c r="BH52" s="283"/>
      <c r="BI52" s="285"/>
      <c r="BJ52" s="285"/>
      <c r="BK52" s="300"/>
      <c r="BL52" s="313"/>
    </row>
    <row r="53" ht="22.5" customHeight="1">
      <c r="A53" s="263"/>
      <c r="B53" s="270">
        <v>46118.0</v>
      </c>
      <c r="C53" s="109" t="s">
        <v>1668</v>
      </c>
      <c r="D53" s="109" t="s">
        <v>1669</v>
      </c>
      <c r="E53" s="58" t="s">
        <v>32</v>
      </c>
      <c r="F53" s="58" t="s">
        <v>12</v>
      </c>
      <c r="G53" s="61"/>
      <c r="H53" s="269" t="b">
        <v>1</v>
      </c>
      <c r="I53" s="258"/>
      <c r="J53" s="270">
        <v>46112.0</v>
      </c>
      <c r="K53" s="109" t="s">
        <v>1670</v>
      </c>
      <c r="L53" s="109" t="s">
        <v>1671</v>
      </c>
      <c r="M53" s="58" t="s">
        <v>30</v>
      </c>
      <c r="N53" s="58" t="s">
        <v>17</v>
      </c>
      <c r="O53" s="61"/>
      <c r="P53" s="269" t="b">
        <v>1</v>
      </c>
      <c r="Q53" s="258"/>
      <c r="R53" s="270">
        <v>46122.0</v>
      </c>
      <c r="S53" s="109" t="s">
        <v>1672</v>
      </c>
      <c r="T53" s="109" t="s">
        <v>1673</v>
      </c>
      <c r="U53" s="58" t="s">
        <v>950</v>
      </c>
      <c r="V53" s="58" t="s">
        <v>28</v>
      </c>
      <c r="W53" s="61"/>
      <c r="X53" s="269" t="b">
        <v>1</v>
      </c>
      <c r="Y53" s="258"/>
      <c r="Z53" s="270">
        <v>46121.0</v>
      </c>
      <c r="AA53" s="109" t="s">
        <v>1674</v>
      </c>
      <c r="AB53" s="109" t="s">
        <v>1675</v>
      </c>
      <c r="AC53" s="58" t="s">
        <v>27</v>
      </c>
      <c r="AD53" s="58" t="s">
        <v>20</v>
      </c>
      <c r="AE53" s="61"/>
      <c r="AF53" s="269" t="b">
        <v>1</v>
      </c>
      <c r="AH53" s="314">
        <v>46135.0</v>
      </c>
      <c r="AI53" s="329" t="s">
        <v>1676</v>
      </c>
      <c r="AJ53" s="277" t="s">
        <v>1677</v>
      </c>
      <c r="AK53" s="303" t="s">
        <v>10</v>
      </c>
      <c r="AL53" s="303" t="s">
        <v>20</v>
      </c>
      <c r="AM53" s="290"/>
      <c r="AN53" s="281" t="b">
        <v>1</v>
      </c>
      <c r="AO53" s="258"/>
      <c r="AP53" s="282">
        <v>46128.0</v>
      </c>
      <c r="AQ53" s="283" t="s">
        <v>1678</v>
      </c>
      <c r="AR53" s="283" t="s">
        <v>1679</v>
      </c>
      <c r="AS53" s="285" t="s">
        <v>27</v>
      </c>
      <c r="AT53" s="285" t="s">
        <v>20</v>
      </c>
      <c r="AU53" s="300"/>
      <c r="AV53" s="286" t="b">
        <v>1</v>
      </c>
      <c r="AW53" s="258"/>
      <c r="AX53" s="194"/>
      <c r="AY53" s="61"/>
      <c r="AZ53" s="61"/>
      <c r="BA53" s="81"/>
      <c r="BB53" s="81"/>
      <c r="BC53" s="61"/>
      <c r="BD53" s="291"/>
      <c r="BE53" s="258"/>
      <c r="BF53" s="282"/>
      <c r="BG53" s="283"/>
      <c r="BH53" s="283"/>
      <c r="BI53" s="285"/>
      <c r="BJ53" s="285"/>
      <c r="BK53" s="300"/>
      <c r="BL53" s="313"/>
    </row>
    <row r="54" ht="22.5" customHeight="1">
      <c r="A54" s="263"/>
      <c r="B54" s="270">
        <v>46118.0</v>
      </c>
      <c r="C54" s="109" t="s">
        <v>1680</v>
      </c>
      <c r="D54" s="109" t="s">
        <v>1681</v>
      </c>
      <c r="E54" s="58" t="s">
        <v>22</v>
      </c>
      <c r="F54" s="58" t="s">
        <v>12</v>
      </c>
      <c r="G54" s="61"/>
      <c r="H54" s="269" t="b">
        <v>1</v>
      </c>
      <c r="I54" s="258"/>
      <c r="J54" s="270">
        <v>46112.0</v>
      </c>
      <c r="K54" s="109" t="s">
        <v>1682</v>
      </c>
      <c r="L54" s="109" t="s">
        <v>1683</v>
      </c>
      <c r="M54" s="58" t="s">
        <v>23</v>
      </c>
      <c r="N54" s="58" t="s">
        <v>14</v>
      </c>
      <c r="O54" s="61"/>
      <c r="P54" s="269" t="b">
        <v>1</v>
      </c>
      <c r="Q54" s="258"/>
      <c r="R54" s="270">
        <v>46122.0</v>
      </c>
      <c r="S54" s="109" t="s">
        <v>1684</v>
      </c>
      <c r="T54" s="109" t="s">
        <v>1685</v>
      </c>
      <c r="U54" s="58" t="s">
        <v>22</v>
      </c>
      <c r="V54" s="58" t="s">
        <v>958</v>
      </c>
      <c r="W54" s="61"/>
      <c r="X54" s="269" t="b">
        <v>1</v>
      </c>
      <c r="Y54" s="258"/>
      <c r="Z54" s="270">
        <v>46121.0</v>
      </c>
      <c r="AA54" s="109" t="s">
        <v>1686</v>
      </c>
      <c r="AB54" s="109" t="s">
        <v>1687</v>
      </c>
      <c r="AC54" s="58" t="s">
        <v>18</v>
      </c>
      <c r="AD54" s="58" t="s">
        <v>17</v>
      </c>
      <c r="AE54" s="61"/>
      <c r="AF54" s="269" t="b">
        <v>1</v>
      </c>
      <c r="AH54" s="314">
        <v>46135.0</v>
      </c>
      <c r="AI54" s="302" t="s">
        <v>1688</v>
      </c>
      <c r="AJ54" s="277" t="s">
        <v>1689</v>
      </c>
      <c r="AK54" s="303" t="s">
        <v>10</v>
      </c>
      <c r="AL54" s="303" t="s">
        <v>20</v>
      </c>
      <c r="AM54" s="290"/>
      <c r="AN54" s="281" t="b">
        <v>1</v>
      </c>
      <c r="AO54" s="258"/>
      <c r="AP54" s="282">
        <v>46128.0</v>
      </c>
      <c r="AQ54" s="283" t="s">
        <v>1690</v>
      </c>
      <c r="AR54" s="283" t="s">
        <v>1691</v>
      </c>
      <c r="AS54" s="285" t="s">
        <v>27</v>
      </c>
      <c r="AT54" s="285" t="s">
        <v>20</v>
      </c>
      <c r="AU54" s="300"/>
      <c r="AV54" s="286" t="b">
        <v>1</v>
      </c>
      <c r="AW54" s="258"/>
      <c r="AX54" s="194"/>
      <c r="AY54" s="61"/>
      <c r="AZ54" s="61"/>
      <c r="BA54" s="81"/>
      <c r="BB54" s="81"/>
      <c r="BC54" s="61"/>
      <c r="BD54" s="291"/>
      <c r="BE54" s="258"/>
      <c r="BF54" s="282"/>
      <c r="BG54" s="283"/>
      <c r="BH54" s="283"/>
      <c r="BI54" s="285"/>
      <c r="BJ54" s="285"/>
      <c r="BK54" s="300"/>
      <c r="BL54" s="313"/>
    </row>
    <row r="55" ht="22.5" customHeight="1">
      <c r="A55" s="263"/>
      <c r="B55" s="270">
        <v>46118.0</v>
      </c>
      <c r="C55" s="109" t="s">
        <v>1692</v>
      </c>
      <c r="D55" s="109" t="s">
        <v>1693</v>
      </c>
      <c r="E55" s="58" t="s">
        <v>22</v>
      </c>
      <c r="F55" s="58" t="s">
        <v>12</v>
      </c>
      <c r="G55" s="61"/>
      <c r="H55" s="269" t="b">
        <v>1</v>
      </c>
      <c r="I55" s="258"/>
      <c r="J55" s="270">
        <v>46112.0</v>
      </c>
      <c r="K55" s="109" t="s">
        <v>1694</v>
      </c>
      <c r="L55" s="109" t="s">
        <v>1695</v>
      </c>
      <c r="M55" s="58" t="s">
        <v>23</v>
      </c>
      <c r="N55" s="58" t="s">
        <v>14</v>
      </c>
      <c r="O55" s="61"/>
      <c r="P55" s="269" t="b">
        <v>1</v>
      </c>
      <c r="Q55" s="258"/>
      <c r="R55" s="270">
        <v>46122.0</v>
      </c>
      <c r="S55" s="312" t="s">
        <v>1696</v>
      </c>
      <c r="T55" s="330" t="s">
        <v>1697</v>
      </c>
      <c r="U55" s="58" t="s">
        <v>22</v>
      </c>
      <c r="V55" s="58" t="s">
        <v>958</v>
      </c>
      <c r="W55" s="61"/>
      <c r="X55" s="269" t="b">
        <v>1</v>
      </c>
      <c r="Y55" s="258"/>
      <c r="Z55" s="270">
        <v>46122.0</v>
      </c>
      <c r="AA55" s="109" t="s">
        <v>1698</v>
      </c>
      <c r="AB55" s="109" t="s">
        <v>1699</v>
      </c>
      <c r="AC55" s="58" t="s">
        <v>18</v>
      </c>
      <c r="AD55" s="58" t="s">
        <v>17</v>
      </c>
      <c r="AE55" s="61"/>
      <c r="AF55" s="269" t="b">
        <v>1</v>
      </c>
      <c r="AH55" s="314">
        <v>46135.0</v>
      </c>
      <c r="AI55" s="302" t="s">
        <v>1700</v>
      </c>
      <c r="AJ55" s="277" t="s">
        <v>1701</v>
      </c>
      <c r="AK55" s="303" t="s">
        <v>16</v>
      </c>
      <c r="AL55" s="303" t="s">
        <v>20</v>
      </c>
      <c r="AM55" s="290"/>
      <c r="AN55" s="281" t="b">
        <v>1</v>
      </c>
      <c r="AO55" s="258"/>
      <c r="AP55" s="282">
        <v>46128.0</v>
      </c>
      <c r="AQ55" s="283" t="s">
        <v>1702</v>
      </c>
      <c r="AR55" s="283" t="s">
        <v>1703</v>
      </c>
      <c r="AS55" s="285" t="s">
        <v>27</v>
      </c>
      <c r="AT55" s="285" t="s">
        <v>20</v>
      </c>
      <c r="AU55" s="300"/>
      <c r="AV55" s="286" t="b">
        <v>1</v>
      </c>
      <c r="AW55" s="258"/>
      <c r="AX55" s="194"/>
      <c r="AY55" s="61"/>
      <c r="AZ55" s="61"/>
      <c r="BA55" s="81"/>
      <c r="BB55" s="81"/>
      <c r="BC55" s="61"/>
      <c r="BD55" s="291"/>
      <c r="BE55" s="258"/>
      <c r="BF55" s="282"/>
      <c r="BG55" s="283"/>
      <c r="BH55" s="283"/>
      <c r="BI55" s="285"/>
      <c r="BJ55" s="285"/>
      <c r="BK55" s="300"/>
      <c r="BL55" s="313"/>
    </row>
    <row r="56" ht="22.5" customHeight="1">
      <c r="A56" s="263"/>
      <c r="B56" s="270">
        <v>46118.0</v>
      </c>
      <c r="C56" s="109" t="s">
        <v>1704</v>
      </c>
      <c r="D56" s="109" t="s">
        <v>1705</v>
      </c>
      <c r="E56" s="58" t="s">
        <v>22</v>
      </c>
      <c r="F56" s="58" t="s">
        <v>12</v>
      </c>
      <c r="G56" s="61"/>
      <c r="H56" s="269" t="b">
        <v>1</v>
      </c>
      <c r="I56" s="258"/>
      <c r="J56" s="270">
        <v>46112.0</v>
      </c>
      <c r="K56" s="109" t="s">
        <v>1706</v>
      </c>
      <c r="L56" s="109" t="s">
        <v>1707</v>
      </c>
      <c r="M56" s="58" t="s">
        <v>23</v>
      </c>
      <c r="N56" s="58" t="s">
        <v>14</v>
      </c>
      <c r="O56" s="61"/>
      <c r="P56" s="269" t="b">
        <v>1</v>
      </c>
      <c r="Q56" s="258"/>
      <c r="R56" s="270">
        <v>46122.0</v>
      </c>
      <c r="S56" s="312" t="s">
        <v>1708</v>
      </c>
      <c r="T56" s="330" t="s">
        <v>1709</v>
      </c>
      <c r="U56" s="58" t="s">
        <v>19</v>
      </c>
      <c r="V56" s="58" t="s">
        <v>28</v>
      </c>
      <c r="W56" s="61"/>
      <c r="X56" s="269" t="b">
        <v>1</v>
      </c>
      <c r="Y56" s="258"/>
      <c r="Z56" s="270">
        <v>46122.0</v>
      </c>
      <c r="AA56" s="109" t="s">
        <v>1710</v>
      </c>
      <c r="AB56" s="109" t="s">
        <v>1711</v>
      </c>
      <c r="AC56" s="58" t="s">
        <v>18</v>
      </c>
      <c r="AD56" s="58" t="s">
        <v>17</v>
      </c>
      <c r="AE56" s="61"/>
      <c r="AF56" s="269" t="b">
        <v>1</v>
      </c>
      <c r="AH56" s="314">
        <v>46135.0</v>
      </c>
      <c r="AI56" s="302" t="s">
        <v>1712</v>
      </c>
      <c r="AJ56" s="277" t="s">
        <v>1713</v>
      </c>
      <c r="AK56" s="303" t="s">
        <v>16</v>
      </c>
      <c r="AL56" s="303" t="s">
        <v>20</v>
      </c>
      <c r="AM56" s="290"/>
      <c r="AN56" s="281" t="b">
        <v>1</v>
      </c>
      <c r="AO56" s="258"/>
      <c r="AP56" s="282">
        <v>46128.0</v>
      </c>
      <c r="AQ56" s="283" t="s">
        <v>1714</v>
      </c>
      <c r="AR56" s="283" t="s">
        <v>1715</v>
      </c>
      <c r="AS56" s="285" t="s">
        <v>27</v>
      </c>
      <c r="AT56" s="285" t="s">
        <v>20</v>
      </c>
      <c r="AU56" s="300"/>
      <c r="AV56" s="286" t="b">
        <v>1</v>
      </c>
      <c r="AW56" s="258"/>
      <c r="AX56" s="194"/>
      <c r="AY56" s="61"/>
      <c r="AZ56" s="61"/>
      <c r="BA56" s="81"/>
      <c r="BB56" s="81"/>
      <c r="BC56" s="61"/>
      <c r="BD56" s="291"/>
      <c r="BE56" s="258"/>
      <c r="BF56" s="282"/>
      <c r="BG56" s="283"/>
      <c r="BH56" s="283"/>
      <c r="BI56" s="285"/>
      <c r="BJ56" s="285"/>
      <c r="BK56" s="300"/>
      <c r="BL56" s="313"/>
    </row>
    <row r="57" ht="22.5" customHeight="1">
      <c r="A57" s="263"/>
      <c r="B57" s="270">
        <v>46118.0</v>
      </c>
      <c r="C57" s="109" t="s">
        <v>1716</v>
      </c>
      <c r="D57" s="109" t="s">
        <v>1717</v>
      </c>
      <c r="E57" s="58" t="s">
        <v>22</v>
      </c>
      <c r="F57" s="58" t="s">
        <v>12</v>
      </c>
      <c r="G57" s="61"/>
      <c r="H57" s="269" t="b">
        <v>1</v>
      </c>
      <c r="I57" s="258"/>
      <c r="J57" s="270">
        <v>46112.0</v>
      </c>
      <c r="K57" s="109" t="s">
        <v>1718</v>
      </c>
      <c r="L57" s="109" t="s">
        <v>1719</v>
      </c>
      <c r="M57" s="58" t="s">
        <v>27</v>
      </c>
      <c r="N57" s="58" t="s">
        <v>14</v>
      </c>
      <c r="O57" s="61"/>
      <c r="P57" s="269" t="b">
        <v>1</v>
      </c>
      <c r="Q57" s="258"/>
      <c r="R57" s="270">
        <v>46122.0</v>
      </c>
      <c r="S57" s="312" t="s">
        <v>1720</v>
      </c>
      <c r="T57" s="109" t="s">
        <v>1721</v>
      </c>
      <c r="U57" s="58" t="s">
        <v>22</v>
      </c>
      <c r="V57" s="58" t="s">
        <v>958</v>
      </c>
      <c r="W57" s="61"/>
      <c r="X57" s="269" t="b">
        <v>1</v>
      </c>
      <c r="Y57" s="258"/>
      <c r="Z57" s="270">
        <v>46122.0</v>
      </c>
      <c r="AA57" s="109" t="s">
        <v>1722</v>
      </c>
      <c r="AB57" s="109" t="s">
        <v>1723</v>
      </c>
      <c r="AC57" s="58" t="s">
        <v>18</v>
      </c>
      <c r="AD57" s="58" t="s">
        <v>17</v>
      </c>
      <c r="AE57" s="61"/>
      <c r="AF57" s="269" t="b">
        <v>1</v>
      </c>
      <c r="AH57" s="314">
        <v>46135.0</v>
      </c>
      <c r="AI57" s="302" t="s">
        <v>1724</v>
      </c>
      <c r="AJ57" s="277" t="s">
        <v>1725</v>
      </c>
      <c r="AK57" s="303" t="s">
        <v>16</v>
      </c>
      <c r="AL57" s="303" t="s">
        <v>20</v>
      </c>
      <c r="AM57" s="290"/>
      <c r="AN57" s="281" t="b">
        <v>1</v>
      </c>
      <c r="AO57" s="258"/>
      <c r="AP57" s="282">
        <v>46128.0</v>
      </c>
      <c r="AQ57" s="283" t="s">
        <v>1726</v>
      </c>
      <c r="AR57" s="283" t="s">
        <v>1727</v>
      </c>
      <c r="AS57" s="285" t="s">
        <v>27</v>
      </c>
      <c r="AT57" s="285" t="s">
        <v>20</v>
      </c>
      <c r="AU57" s="300"/>
      <c r="AV57" s="286" t="b">
        <v>1</v>
      </c>
      <c r="AW57" s="258"/>
      <c r="AX57" s="194"/>
      <c r="AY57" s="61"/>
      <c r="AZ57" s="61"/>
      <c r="BA57" s="81"/>
      <c r="BB57" s="81"/>
      <c r="BC57" s="61"/>
      <c r="BD57" s="291"/>
      <c r="BE57" s="258"/>
      <c r="BF57" s="282"/>
      <c r="BG57" s="283"/>
      <c r="BH57" s="283"/>
      <c r="BI57" s="285"/>
      <c r="BJ57" s="285"/>
      <c r="BK57" s="300"/>
      <c r="BL57" s="313"/>
    </row>
    <row r="58" ht="22.5" customHeight="1">
      <c r="A58" s="263"/>
      <c r="B58" s="270">
        <v>46118.0</v>
      </c>
      <c r="C58" s="109" t="s">
        <v>1728</v>
      </c>
      <c r="D58" s="109" t="s">
        <v>1729</v>
      </c>
      <c r="E58" s="58" t="s">
        <v>22</v>
      </c>
      <c r="F58" s="58" t="s">
        <v>12</v>
      </c>
      <c r="G58" s="61"/>
      <c r="H58" s="269" t="b">
        <v>1</v>
      </c>
      <c r="I58" s="258"/>
      <c r="J58" s="270">
        <v>46112.0</v>
      </c>
      <c r="K58" s="109" t="s">
        <v>478</v>
      </c>
      <c r="L58" s="109" t="s">
        <v>479</v>
      </c>
      <c r="M58" s="58" t="s">
        <v>23</v>
      </c>
      <c r="N58" s="58" t="s">
        <v>14</v>
      </c>
      <c r="O58" s="61"/>
      <c r="P58" s="269" t="b">
        <v>1</v>
      </c>
      <c r="Q58" s="258"/>
      <c r="R58" s="270">
        <v>46122.0</v>
      </c>
      <c r="S58" s="312" t="s">
        <v>1730</v>
      </c>
      <c r="T58" s="109" t="s">
        <v>1731</v>
      </c>
      <c r="U58" s="58" t="s">
        <v>22</v>
      </c>
      <c r="V58" s="58" t="s">
        <v>958</v>
      </c>
      <c r="W58" s="61"/>
      <c r="X58" s="269" t="b">
        <v>1</v>
      </c>
      <c r="Y58" s="258"/>
      <c r="Z58" s="270">
        <v>46122.0</v>
      </c>
      <c r="AA58" s="109" t="s">
        <v>1732</v>
      </c>
      <c r="AB58" s="109" t="s">
        <v>1733</v>
      </c>
      <c r="AC58" s="58" t="s">
        <v>18</v>
      </c>
      <c r="AD58" s="58" t="s">
        <v>17</v>
      </c>
      <c r="AE58" s="61"/>
      <c r="AF58" s="269" t="b">
        <v>1</v>
      </c>
      <c r="AH58" s="314">
        <v>46135.0</v>
      </c>
      <c r="AI58" s="302" t="s">
        <v>1734</v>
      </c>
      <c r="AJ58" s="277" t="s">
        <v>1735</v>
      </c>
      <c r="AK58" s="303" t="s">
        <v>16</v>
      </c>
      <c r="AL58" s="303" t="s">
        <v>20</v>
      </c>
      <c r="AM58" s="290"/>
      <c r="AN58" s="281" t="b">
        <v>1</v>
      </c>
      <c r="AO58" s="258"/>
      <c r="AP58" s="282">
        <v>46128.0</v>
      </c>
      <c r="AQ58" s="283" t="s">
        <v>1736</v>
      </c>
      <c r="AR58" s="283" t="s">
        <v>1737</v>
      </c>
      <c r="AS58" s="285" t="s">
        <v>18</v>
      </c>
      <c r="AT58" s="285" t="s">
        <v>17</v>
      </c>
      <c r="AU58" s="300"/>
      <c r="AV58" s="286" t="b">
        <v>1</v>
      </c>
      <c r="AW58" s="258"/>
      <c r="AX58" s="194"/>
      <c r="AY58" s="61"/>
      <c r="AZ58" s="61"/>
      <c r="BA58" s="81"/>
      <c r="BB58" s="81"/>
      <c r="BC58" s="61"/>
      <c r="BD58" s="291"/>
      <c r="BE58" s="258"/>
      <c r="BF58" s="282"/>
      <c r="BG58" s="283"/>
      <c r="BH58" s="283"/>
      <c r="BI58" s="285"/>
      <c r="BJ58" s="285"/>
      <c r="BK58" s="300"/>
      <c r="BL58" s="313"/>
    </row>
    <row r="59" ht="22.5" customHeight="1">
      <c r="A59" s="263"/>
      <c r="B59" s="270">
        <v>46118.0</v>
      </c>
      <c r="C59" s="109" t="s">
        <v>1738</v>
      </c>
      <c r="D59" s="109" t="s">
        <v>1739</v>
      </c>
      <c r="E59" s="58" t="s">
        <v>22</v>
      </c>
      <c r="F59" s="58" t="s">
        <v>12</v>
      </c>
      <c r="G59" s="61"/>
      <c r="H59" s="269" t="b">
        <v>1</v>
      </c>
      <c r="I59" s="258"/>
      <c r="J59" s="270">
        <v>46112.0</v>
      </c>
      <c r="K59" s="109" t="s">
        <v>488</v>
      </c>
      <c r="L59" s="109" t="s">
        <v>489</v>
      </c>
      <c r="M59" s="58" t="s">
        <v>23</v>
      </c>
      <c r="N59" s="58" t="s">
        <v>14</v>
      </c>
      <c r="O59" s="61"/>
      <c r="P59" s="269" t="b">
        <v>1</v>
      </c>
      <c r="Q59" s="258"/>
      <c r="R59" s="270">
        <v>46122.0</v>
      </c>
      <c r="S59" s="312" t="s">
        <v>1740</v>
      </c>
      <c r="T59" s="109" t="s">
        <v>1741</v>
      </c>
      <c r="U59" s="58"/>
      <c r="V59" s="58" t="s">
        <v>958</v>
      </c>
      <c r="W59" s="109" t="s">
        <v>431</v>
      </c>
      <c r="X59" s="269" t="b">
        <v>0</v>
      </c>
      <c r="Y59" s="258"/>
      <c r="Z59" s="270">
        <v>46122.0</v>
      </c>
      <c r="AA59" s="109" t="s">
        <v>1742</v>
      </c>
      <c r="AB59" s="109" t="s">
        <v>1743</v>
      </c>
      <c r="AC59" s="58" t="s">
        <v>27</v>
      </c>
      <c r="AD59" s="58" t="s">
        <v>20</v>
      </c>
      <c r="AE59" s="61"/>
      <c r="AF59" s="269" t="b">
        <v>1</v>
      </c>
      <c r="AH59" s="314">
        <v>46135.0</v>
      </c>
      <c r="AI59" s="302" t="s">
        <v>1744</v>
      </c>
      <c r="AJ59" s="277" t="s">
        <v>1745</v>
      </c>
      <c r="AK59" s="303" t="s">
        <v>16</v>
      </c>
      <c r="AL59" s="303" t="s">
        <v>20</v>
      </c>
      <c r="AM59" s="290"/>
      <c r="AN59" s="281" t="b">
        <v>1</v>
      </c>
      <c r="AO59" s="258"/>
      <c r="AP59" s="282">
        <v>46128.0</v>
      </c>
      <c r="AQ59" s="283" t="s">
        <v>1746</v>
      </c>
      <c r="AR59" s="283" t="s">
        <v>1747</v>
      </c>
      <c r="AS59" s="285" t="s">
        <v>18</v>
      </c>
      <c r="AT59" s="285" t="s">
        <v>17</v>
      </c>
      <c r="AU59" s="300"/>
      <c r="AV59" s="286" t="b">
        <v>1</v>
      </c>
      <c r="AW59" s="258"/>
      <c r="AX59" s="194"/>
      <c r="AY59" s="61"/>
      <c r="AZ59" s="61"/>
      <c r="BA59" s="81"/>
      <c r="BB59" s="81"/>
      <c r="BC59" s="61"/>
      <c r="BD59" s="291"/>
      <c r="BE59" s="258"/>
      <c r="BF59" s="282"/>
      <c r="BG59" s="283"/>
      <c r="BH59" s="283"/>
      <c r="BI59" s="285"/>
      <c r="BJ59" s="285"/>
      <c r="BK59" s="300"/>
      <c r="BL59" s="313"/>
    </row>
    <row r="60" ht="22.5" customHeight="1">
      <c r="A60" s="263"/>
      <c r="B60" s="270">
        <v>46118.0</v>
      </c>
      <c r="C60" s="109" t="s">
        <v>1748</v>
      </c>
      <c r="D60" s="109" t="s">
        <v>1749</v>
      </c>
      <c r="E60" s="58" t="s">
        <v>22</v>
      </c>
      <c r="F60" s="58" t="s">
        <v>12</v>
      </c>
      <c r="G60" s="61"/>
      <c r="H60" s="269" t="b">
        <v>1</v>
      </c>
      <c r="I60" s="258"/>
      <c r="J60" s="270">
        <v>46112.0</v>
      </c>
      <c r="K60" s="109" t="s">
        <v>499</v>
      </c>
      <c r="L60" s="109" t="s">
        <v>500</v>
      </c>
      <c r="M60" s="58" t="s">
        <v>23</v>
      </c>
      <c r="N60" s="58" t="s">
        <v>14</v>
      </c>
      <c r="O60" s="61"/>
      <c r="P60" s="269" t="b">
        <v>1</v>
      </c>
      <c r="Q60" s="258"/>
      <c r="R60" s="270">
        <v>46122.0</v>
      </c>
      <c r="S60" s="312" t="s">
        <v>1750</v>
      </c>
      <c r="T60" s="109" t="s">
        <v>1751</v>
      </c>
      <c r="U60" s="58"/>
      <c r="V60" s="58" t="s">
        <v>958</v>
      </c>
      <c r="W60" s="109" t="s">
        <v>431</v>
      </c>
      <c r="X60" s="298"/>
      <c r="Y60" s="258"/>
      <c r="Z60" s="270">
        <v>46122.0</v>
      </c>
      <c r="AA60" s="109" t="s">
        <v>1752</v>
      </c>
      <c r="AB60" s="109" t="s">
        <v>1753</v>
      </c>
      <c r="AC60" s="58" t="s">
        <v>27</v>
      </c>
      <c r="AD60" s="58" t="s">
        <v>20</v>
      </c>
      <c r="AE60" s="61"/>
      <c r="AF60" s="269" t="b">
        <v>1</v>
      </c>
      <c r="AH60" s="314">
        <v>46135.0</v>
      </c>
      <c r="AI60" s="302" t="s">
        <v>1754</v>
      </c>
      <c r="AJ60" s="277" t="s">
        <v>1755</v>
      </c>
      <c r="AK60" s="303" t="s">
        <v>16</v>
      </c>
      <c r="AL60" s="303" t="s">
        <v>20</v>
      </c>
      <c r="AM60" s="290"/>
      <c r="AN60" s="281" t="b">
        <v>1</v>
      </c>
      <c r="AO60" s="258"/>
      <c r="AP60" s="282">
        <v>46128.0</v>
      </c>
      <c r="AQ60" s="283" t="s">
        <v>1756</v>
      </c>
      <c r="AR60" s="283" t="s">
        <v>1757</v>
      </c>
      <c r="AS60" s="285" t="s">
        <v>18</v>
      </c>
      <c r="AT60" s="285" t="s">
        <v>17</v>
      </c>
      <c r="AU60" s="300"/>
      <c r="AV60" s="286" t="b">
        <v>1</v>
      </c>
      <c r="AW60" s="258"/>
      <c r="AX60" s="194"/>
      <c r="AY60" s="61"/>
      <c r="AZ60" s="61"/>
      <c r="BA60" s="81"/>
      <c r="BB60" s="81"/>
      <c r="BC60" s="61"/>
      <c r="BD60" s="291"/>
      <c r="BE60" s="258"/>
      <c r="BF60" s="282"/>
      <c r="BG60" s="283"/>
      <c r="BH60" s="283"/>
      <c r="BI60" s="285"/>
      <c r="BJ60" s="285"/>
      <c r="BK60" s="300"/>
      <c r="BL60" s="313"/>
    </row>
    <row r="61" ht="22.5" customHeight="1">
      <c r="A61" s="263"/>
      <c r="B61" s="270">
        <v>46118.0</v>
      </c>
      <c r="C61" s="109" t="s">
        <v>1758</v>
      </c>
      <c r="D61" s="109" t="s">
        <v>1759</v>
      </c>
      <c r="E61" s="58" t="s">
        <v>22</v>
      </c>
      <c r="F61" s="58" t="s">
        <v>12</v>
      </c>
      <c r="G61" s="61"/>
      <c r="H61" s="269" t="b">
        <v>1</v>
      </c>
      <c r="I61" s="258"/>
      <c r="J61" s="270">
        <v>46112.0</v>
      </c>
      <c r="K61" s="109" t="s">
        <v>1760</v>
      </c>
      <c r="L61" s="109" t="s">
        <v>1761</v>
      </c>
      <c r="M61" s="58" t="s">
        <v>18</v>
      </c>
      <c r="N61" s="58" t="s">
        <v>17</v>
      </c>
      <c r="O61" s="61"/>
      <c r="P61" s="269" t="b">
        <v>1</v>
      </c>
      <c r="Q61" s="258"/>
      <c r="R61" s="270">
        <v>46122.0</v>
      </c>
      <c r="S61" s="312" t="s">
        <v>1762</v>
      </c>
      <c r="T61" s="109" t="s">
        <v>1763</v>
      </c>
      <c r="U61" s="58"/>
      <c r="V61" s="58" t="s">
        <v>958</v>
      </c>
      <c r="W61" s="109" t="s">
        <v>431</v>
      </c>
      <c r="X61" s="298"/>
      <c r="Y61" s="258"/>
      <c r="Z61" s="270">
        <v>46122.0</v>
      </c>
      <c r="AA61" s="109" t="s">
        <v>1764</v>
      </c>
      <c r="AB61" s="109" t="s">
        <v>1765</v>
      </c>
      <c r="AC61" s="58" t="s">
        <v>18</v>
      </c>
      <c r="AD61" s="58" t="s">
        <v>17</v>
      </c>
      <c r="AE61" s="61"/>
      <c r="AF61" s="269" t="b">
        <v>1</v>
      </c>
      <c r="AH61" s="314">
        <v>46135.0</v>
      </c>
      <c r="AI61" s="302" t="s">
        <v>1766</v>
      </c>
      <c r="AJ61" s="277" t="s">
        <v>1767</v>
      </c>
      <c r="AK61" s="303" t="s">
        <v>19</v>
      </c>
      <c r="AL61" s="303" t="s">
        <v>20</v>
      </c>
      <c r="AM61" s="290"/>
      <c r="AN61" s="281" t="b">
        <v>1</v>
      </c>
      <c r="AO61" s="258"/>
      <c r="AP61" s="282">
        <v>46128.0</v>
      </c>
      <c r="AQ61" s="283" t="s">
        <v>1768</v>
      </c>
      <c r="AR61" s="283" t="s">
        <v>1769</v>
      </c>
      <c r="AS61" s="285" t="s">
        <v>18</v>
      </c>
      <c r="AT61" s="285" t="s">
        <v>17</v>
      </c>
      <c r="AU61" s="300"/>
      <c r="AV61" s="286" t="b">
        <v>1</v>
      </c>
      <c r="AW61" s="258"/>
      <c r="AX61" s="194"/>
      <c r="AY61" s="61"/>
      <c r="AZ61" s="61"/>
      <c r="BA61" s="81"/>
      <c r="BB61" s="81"/>
      <c r="BC61" s="61"/>
      <c r="BD61" s="291"/>
      <c r="BE61" s="258"/>
      <c r="BF61" s="282"/>
      <c r="BG61" s="283"/>
      <c r="BH61" s="283"/>
      <c r="BI61" s="285"/>
      <c r="BJ61" s="285"/>
      <c r="BK61" s="300"/>
      <c r="BL61" s="313"/>
    </row>
    <row r="62" ht="22.5" customHeight="1">
      <c r="A62" s="263"/>
      <c r="B62" s="270">
        <v>46118.0</v>
      </c>
      <c r="C62" s="109" t="s">
        <v>1770</v>
      </c>
      <c r="D62" s="109" t="s">
        <v>1771</v>
      </c>
      <c r="E62" s="58" t="s">
        <v>22</v>
      </c>
      <c r="F62" s="58" t="s">
        <v>12</v>
      </c>
      <c r="G62" s="61"/>
      <c r="H62" s="269" t="b">
        <v>1</v>
      </c>
      <c r="I62" s="258"/>
      <c r="J62" s="270">
        <v>46112.0</v>
      </c>
      <c r="K62" s="109" t="s">
        <v>1772</v>
      </c>
      <c r="L62" s="109" t="s">
        <v>1773</v>
      </c>
      <c r="M62" s="58" t="s">
        <v>23</v>
      </c>
      <c r="N62" s="58" t="s">
        <v>14</v>
      </c>
      <c r="O62" s="61"/>
      <c r="P62" s="269" t="b">
        <v>1</v>
      </c>
      <c r="Q62" s="258"/>
      <c r="R62" s="270">
        <v>46122.0</v>
      </c>
      <c r="S62" s="312" t="s">
        <v>1774</v>
      </c>
      <c r="T62" s="109" t="s">
        <v>1775</v>
      </c>
      <c r="U62" s="58" t="s">
        <v>16</v>
      </c>
      <c r="V62" s="58" t="s">
        <v>9</v>
      </c>
      <c r="W62" s="61"/>
      <c r="X62" s="269" t="b">
        <v>1</v>
      </c>
      <c r="Y62" s="258"/>
      <c r="Z62" s="270">
        <v>46122.0</v>
      </c>
      <c r="AA62" s="109" t="s">
        <v>1776</v>
      </c>
      <c r="AB62" s="109" t="s">
        <v>1777</v>
      </c>
      <c r="AC62" s="58" t="s">
        <v>18</v>
      </c>
      <c r="AD62" s="58" t="s">
        <v>17</v>
      </c>
      <c r="AE62" s="61"/>
      <c r="AF62" s="269" t="b">
        <v>1</v>
      </c>
      <c r="AH62" s="314">
        <v>46135.0</v>
      </c>
      <c r="AI62" s="302" t="s">
        <v>1778</v>
      </c>
      <c r="AJ62" s="277" t="s">
        <v>1779</v>
      </c>
      <c r="AK62" s="303" t="s">
        <v>19</v>
      </c>
      <c r="AL62" s="303" t="s">
        <v>20</v>
      </c>
      <c r="AM62" s="290"/>
      <c r="AN62" s="281" t="b">
        <v>1</v>
      </c>
      <c r="AO62" s="258"/>
      <c r="AP62" s="282">
        <v>46128.0</v>
      </c>
      <c r="AQ62" s="283" t="s">
        <v>1780</v>
      </c>
      <c r="AR62" s="283" t="s">
        <v>1781</v>
      </c>
      <c r="AS62" s="285" t="s">
        <v>18</v>
      </c>
      <c r="AT62" s="285" t="s">
        <v>17</v>
      </c>
      <c r="AU62" s="283"/>
      <c r="AV62" s="286" t="b">
        <v>1</v>
      </c>
      <c r="AW62" s="258"/>
      <c r="AX62" s="194"/>
      <c r="AY62" s="61"/>
      <c r="AZ62" s="61"/>
      <c r="BA62" s="81"/>
      <c r="BB62" s="81"/>
      <c r="BC62" s="61"/>
      <c r="BD62" s="291"/>
      <c r="BE62" s="258"/>
      <c r="BF62" s="282"/>
      <c r="BG62" s="283"/>
      <c r="BH62" s="283"/>
      <c r="BI62" s="285"/>
      <c r="BJ62" s="285"/>
      <c r="BK62" s="300"/>
      <c r="BL62" s="313"/>
    </row>
    <row r="63" ht="22.5" customHeight="1">
      <c r="A63" s="263"/>
      <c r="B63" s="270">
        <v>46118.0</v>
      </c>
      <c r="C63" s="109" t="s">
        <v>1782</v>
      </c>
      <c r="D63" s="109" t="s">
        <v>1783</v>
      </c>
      <c r="E63" s="58" t="s">
        <v>22</v>
      </c>
      <c r="F63" s="58" t="s">
        <v>12</v>
      </c>
      <c r="G63" s="61"/>
      <c r="H63" s="269" t="b">
        <v>1</v>
      </c>
      <c r="I63" s="258"/>
      <c r="J63" s="270">
        <v>46113.0</v>
      </c>
      <c r="K63" s="109" t="s">
        <v>1784</v>
      </c>
      <c r="L63" s="109" t="s">
        <v>1785</v>
      </c>
      <c r="M63" s="58" t="s">
        <v>18</v>
      </c>
      <c r="N63" s="58" t="s">
        <v>17</v>
      </c>
      <c r="O63" s="61"/>
      <c r="P63" s="269" t="b">
        <v>1</v>
      </c>
      <c r="Q63" s="258"/>
      <c r="R63" s="270">
        <v>46122.0</v>
      </c>
      <c r="S63" s="109" t="s">
        <v>1786</v>
      </c>
      <c r="T63" s="109" t="s">
        <v>1787</v>
      </c>
      <c r="U63" s="58" t="s">
        <v>24</v>
      </c>
      <c r="V63" s="58" t="s">
        <v>9</v>
      </c>
      <c r="W63" s="61"/>
      <c r="X63" s="269" t="b">
        <v>1</v>
      </c>
      <c r="Y63" s="258"/>
      <c r="Z63" s="270">
        <v>46122.0</v>
      </c>
      <c r="AA63" s="109" t="s">
        <v>1788</v>
      </c>
      <c r="AB63" s="109" t="s">
        <v>1789</v>
      </c>
      <c r="AC63" s="58" t="s">
        <v>11</v>
      </c>
      <c r="AD63" s="58" t="s">
        <v>20</v>
      </c>
      <c r="AE63" s="61"/>
      <c r="AF63" s="269" t="b">
        <v>1</v>
      </c>
      <c r="AH63" s="314">
        <v>46132.0</v>
      </c>
      <c r="AI63" s="302" t="s">
        <v>1790</v>
      </c>
      <c r="AJ63" s="277" t="s">
        <v>1791</v>
      </c>
      <c r="AK63" s="303" t="s">
        <v>22</v>
      </c>
      <c r="AL63" s="303" t="s">
        <v>958</v>
      </c>
      <c r="AM63" s="290"/>
      <c r="AN63" s="281" t="b">
        <v>1</v>
      </c>
      <c r="AO63" s="258"/>
      <c r="AP63" s="282">
        <v>46128.0</v>
      </c>
      <c r="AQ63" s="283" t="s">
        <v>1792</v>
      </c>
      <c r="AR63" s="283" t="s">
        <v>1793</v>
      </c>
      <c r="AS63" s="285" t="s">
        <v>18</v>
      </c>
      <c r="AT63" s="285" t="s">
        <v>17</v>
      </c>
      <c r="AU63" s="300"/>
      <c r="AV63" s="286" t="b">
        <v>1</v>
      </c>
      <c r="AW63" s="258"/>
      <c r="AX63" s="194"/>
      <c r="AY63" s="61"/>
      <c r="AZ63" s="61"/>
      <c r="BA63" s="81"/>
      <c r="BB63" s="81"/>
      <c r="BC63" s="61"/>
      <c r="BD63" s="291"/>
      <c r="BE63" s="258"/>
      <c r="BF63" s="282"/>
      <c r="BG63" s="283"/>
      <c r="BH63" s="283"/>
      <c r="BI63" s="285"/>
      <c r="BJ63" s="285"/>
      <c r="BK63" s="300"/>
      <c r="BL63" s="313"/>
    </row>
    <row r="64" ht="22.5" customHeight="1">
      <c r="A64" s="263"/>
      <c r="B64" s="270">
        <v>46118.0</v>
      </c>
      <c r="C64" s="109" t="s">
        <v>1794</v>
      </c>
      <c r="D64" s="109" t="s">
        <v>1795</v>
      </c>
      <c r="E64" s="58" t="s">
        <v>22</v>
      </c>
      <c r="F64" s="58" t="s">
        <v>12</v>
      </c>
      <c r="G64" s="61"/>
      <c r="H64" s="269" t="b">
        <v>1</v>
      </c>
      <c r="I64" s="258"/>
      <c r="J64" s="270">
        <v>46113.0</v>
      </c>
      <c r="K64" s="109" t="s">
        <v>1796</v>
      </c>
      <c r="L64" s="109" t="s">
        <v>1797</v>
      </c>
      <c r="M64" s="58" t="s">
        <v>23</v>
      </c>
      <c r="N64" s="58" t="s">
        <v>20</v>
      </c>
      <c r="O64" s="61"/>
      <c r="P64" s="269" t="b">
        <v>1</v>
      </c>
      <c r="Q64" s="258"/>
      <c r="R64" s="270">
        <v>46122.0</v>
      </c>
      <c r="S64" s="109" t="s">
        <v>1798</v>
      </c>
      <c r="T64" s="109" t="s">
        <v>1799</v>
      </c>
      <c r="U64" s="58" t="s">
        <v>22</v>
      </c>
      <c r="V64" s="58" t="s">
        <v>9</v>
      </c>
      <c r="W64" s="61"/>
      <c r="X64" s="269" t="b">
        <v>1</v>
      </c>
      <c r="Y64" s="258"/>
      <c r="Z64" s="270">
        <v>46122.0</v>
      </c>
      <c r="AA64" s="109" t="s">
        <v>1800</v>
      </c>
      <c r="AB64" s="109" t="s">
        <v>1801</v>
      </c>
      <c r="AC64" s="58" t="s">
        <v>11</v>
      </c>
      <c r="AD64" s="58" t="s">
        <v>20</v>
      </c>
      <c r="AE64" s="61"/>
      <c r="AF64" s="269" t="b">
        <v>1</v>
      </c>
      <c r="AH64" s="314">
        <v>46132.0</v>
      </c>
      <c r="AI64" s="302" t="s">
        <v>1802</v>
      </c>
      <c r="AJ64" s="277" t="s">
        <v>1803</v>
      </c>
      <c r="AK64" s="303" t="s">
        <v>22</v>
      </c>
      <c r="AL64" s="303" t="s">
        <v>958</v>
      </c>
      <c r="AM64" s="290"/>
      <c r="AN64" s="281" t="b">
        <v>1</v>
      </c>
      <c r="AO64" s="258"/>
      <c r="AP64" s="282">
        <v>46129.0</v>
      </c>
      <c r="AQ64" s="283" t="s">
        <v>1804</v>
      </c>
      <c r="AR64" s="283" t="s">
        <v>1805</v>
      </c>
      <c r="AS64" s="285" t="s">
        <v>18</v>
      </c>
      <c r="AT64" s="285" t="s">
        <v>17</v>
      </c>
      <c r="AU64" s="300"/>
      <c r="AV64" s="286" t="b">
        <v>1</v>
      </c>
      <c r="AW64" s="258"/>
      <c r="AX64" s="194"/>
      <c r="AY64" s="61"/>
      <c r="AZ64" s="61"/>
      <c r="BA64" s="81"/>
      <c r="BB64" s="81"/>
      <c r="BC64" s="61"/>
      <c r="BD64" s="291"/>
      <c r="BE64" s="258"/>
      <c r="BF64" s="282"/>
      <c r="BG64" s="283"/>
      <c r="BH64" s="283"/>
      <c r="BI64" s="285"/>
      <c r="BJ64" s="285"/>
      <c r="BK64" s="300"/>
      <c r="BL64" s="313"/>
    </row>
    <row r="65" ht="22.5" customHeight="1">
      <c r="A65" s="263"/>
      <c r="B65" s="270">
        <v>46118.0</v>
      </c>
      <c r="C65" s="109" t="s">
        <v>1806</v>
      </c>
      <c r="D65" s="109" t="s">
        <v>1807</v>
      </c>
      <c r="E65" s="58" t="s">
        <v>22</v>
      </c>
      <c r="F65" s="58" t="s">
        <v>12</v>
      </c>
      <c r="G65" s="61"/>
      <c r="H65" s="269" t="b">
        <v>1</v>
      </c>
      <c r="I65" s="258"/>
      <c r="J65" s="270">
        <v>46113.0</v>
      </c>
      <c r="K65" s="109" t="s">
        <v>1808</v>
      </c>
      <c r="L65" s="109" t="s">
        <v>1809</v>
      </c>
      <c r="M65" s="58" t="s">
        <v>15</v>
      </c>
      <c r="N65" s="58" t="s">
        <v>20</v>
      </c>
      <c r="O65" s="61"/>
      <c r="P65" s="269" t="b">
        <v>1</v>
      </c>
      <c r="Q65" s="258"/>
      <c r="R65" s="270">
        <v>46122.0</v>
      </c>
      <c r="S65" s="109" t="s">
        <v>1810</v>
      </c>
      <c r="T65" s="109" t="s">
        <v>1811</v>
      </c>
      <c r="U65" s="58" t="s">
        <v>22</v>
      </c>
      <c r="V65" s="58" t="s">
        <v>12</v>
      </c>
      <c r="W65" s="61"/>
      <c r="X65" s="269" t="b">
        <v>1</v>
      </c>
      <c r="Y65" s="258"/>
      <c r="Z65" s="270">
        <v>46122.0</v>
      </c>
      <c r="AA65" s="109" t="s">
        <v>1812</v>
      </c>
      <c r="AB65" s="109" t="s">
        <v>1813</v>
      </c>
      <c r="AC65" s="58" t="s">
        <v>11</v>
      </c>
      <c r="AD65" s="58" t="s">
        <v>20</v>
      </c>
      <c r="AE65" s="61"/>
      <c r="AF65" s="269" t="b">
        <v>1</v>
      </c>
      <c r="AH65" s="314">
        <v>46132.0</v>
      </c>
      <c r="AI65" s="302" t="s">
        <v>1814</v>
      </c>
      <c r="AJ65" s="277" t="s">
        <v>1815</v>
      </c>
      <c r="AK65" s="303" t="s">
        <v>22</v>
      </c>
      <c r="AL65" s="303" t="s">
        <v>9</v>
      </c>
      <c r="AM65" s="290"/>
      <c r="AN65" s="281" t="b">
        <v>1</v>
      </c>
      <c r="AO65" s="258"/>
      <c r="AP65" s="282">
        <v>46129.0</v>
      </c>
      <c r="AQ65" s="283"/>
      <c r="AR65" s="283"/>
      <c r="AS65" s="331"/>
      <c r="AT65" s="285" t="s">
        <v>17</v>
      </c>
      <c r="AU65" s="300"/>
      <c r="AV65" s="313"/>
      <c r="AW65" s="258"/>
      <c r="AX65" s="194"/>
      <c r="AY65" s="61"/>
      <c r="AZ65" s="61"/>
      <c r="BA65" s="81"/>
      <c r="BB65" s="81"/>
      <c r="BC65" s="61"/>
      <c r="BD65" s="291"/>
      <c r="BE65" s="258"/>
      <c r="BF65" s="282"/>
      <c r="BG65" s="283"/>
      <c r="BH65" s="283"/>
      <c r="BI65" s="331"/>
      <c r="BJ65" s="285"/>
      <c r="BK65" s="300"/>
      <c r="BL65" s="313"/>
    </row>
    <row r="66" ht="22.5" customHeight="1">
      <c r="A66" s="263"/>
      <c r="B66" s="270">
        <v>46118.0</v>
      </c>
      <c r="C66" s="109" t="s">
        <v>1816</v>
      </c>
      <c r="D66" s="109" t="s">
        <v>1817</v>
      </c>
      <c r="E66" s="58" t="s">
        <v>22</v>
      </c>
      <c r="F66" s="58" t="s">
        <v>12</v>
      </c>
      <c r="G66" s="61"/>
      <c r="H66" s="269" t="b">
        <v>1</v>
      </c>
      <c r="I66" s="258"/>
      <c r="J66" s="270">
        <v>46113.0</v>
      </c>
      <c r="K66" s="109" t="s">
        <v>1818</v>
      </c>
      <c r="L66" s="109" t="s">
        <v>1819</v>
      </c>
      <c r="M66" s="58" t="s">
        <v>15</v>
      </c>
      <c r="N66" s="58" t="s">
        <v>20</v>
      </c>
      <c r="O66" s="61"/>
      <c r="P66" s="269" t="b">
        <v>1</v>
      </c>
      <c r="Q66" s="258"/>
      <c r="R66" s="270">
        <v>46122.0</v>
      </c>
      <c r="S66" s="312" t="s">
        <v>1820</v>
      </c>
      <c r="T66" s="109" t="s">
        <v>1821</v>
      </c>
      <c r="U66" s="58" t="s">
        <v>24</v>
      </c>
      <c r="V66" s="58" t="s">
        <v>958</v>
      </c>
      <c r="W66" s="61"/>
      <c r="X66" s="269" t="b">
        <v>1</v>
      </c>
      <c r="Y66" s="258"/>
      <c r="Z66" s="270">
        <v>46122.0</v>
      </c>
      <c r="AA66" s="109" t="s">
        <v>1822</v>
      </c>
      <c r="AB66" s="109" t="s">
        <v>1823</v>
      </c>
      <c r="AC66" s="58" t="s">
        <v>11</v>
      </c>
      <c r="AD66" s="58" t="s">
        <v>20</v>
      </c>
      <c r="AE66" s="61"/>
      <c r="AF66" s="269" t="b">
        <v>1</v>
      </c>
      <c r="AH66" s="314">
        <v>46132.0</v>
      </c>
      <c r="AI66" s="302" t="s">
        <v>1824</v>
      </c>
      <c r="AJ66" s="277" t="s">
        <v>1825</v>
      </c>
      <c r="AK66" s="303" t="s">
        <v>22</v>
      </c>
      <c r="AL66" s="303" t="s">
        <v>9</v>
      </c>
      <c r="AM66" s="290"/>
      <c r="AN66" s="281" t="b">
        <v>1</v>
      </c>
      <c r="AO66" s="258"/>
      <c r="AP66" s="282">
        <v>46129.0</v>
      </c>
      <c r="AQ66" s="283" t="s">
        <v>1826</v>
      </c>
      <c r="AR66" s="283" t="s">
        <v>1827</v>
      </c>
      <c r="AS66" s="285" t="s">
        <v>27</v>
      </c>
      <c r="AT66" s="285" t="s">
        <v>14</v>
      </c>
      <c r="AU66" s="300"/>
      <c r="AV66" s="286" t="b">
        <v>1</v>
      </c>
      <c r="AW66" s="258"/>
      <c r="AX66" s="194"/>
      <c r="AY66" s="61"/>
      <c r="AZ66" s="61"/>
      <c r="BA66" s="81"/>
      <c r="BB66" s="81"/>
      <c r="BC66" s="61"/>
      <c r="BD66" s="291"/>
      <c r="BE66" s="258"/>
      <c r="BF66" s="282"/>
      <c r="BG66" s="283"/>
      <c r="BH66" s="283"/>
      <c r="BI66" s="285"/>
      <c r="BJ66" s="285"/>
      <c r="BK66" s="300"/>
      <c r="BL66" s="313"/>
    </row>
    <row r="67" ht="22.5" customHeight="1">
      <c r="A67" s="263"/>
      <c r="B67" s="270">
        <v>46118.0</v>
      </c>
      <c r="C67" s="109" t="s">
        <v>1828</v>
      </c>
      <c r="D67" s="109" t="s">
        <v>1829</v>
      </c>
      <c r="E67" s="58" t="s">
        <v>22</v>
      </c>
      <c r="F67" s="58" t="s">
        <v>12</v>
      </c>
      <c r="G67" s="61"/>
      <c r="H67" s="269" t="b">
        <v>1</v>
      </c>
      <c r="I67" s="258"/>
      <c r="J67" s="270">
        <v>46113.0</v>
      </c>
      <c r="K67" s="109" t="s">
        <v>1830</v>
      </c>
      <c r="L67" s="109" t="s">
        <v>1831</v>
      </c>
      <c r="M67" s="58" t="s">
        <v>15</v>
      </c>
      <c r="N67" s="58" t="s">
        <v>20</v>
      </c>
      <c r="O67" s="61"/>
      <c r="P67" s="269" t="b">
        <v>1</v>
      </c>
      <c r="Q67" s="258"/>
      <c r="R67" s="270">
        <v>46122.0</v>
      </c>
      <c r="S67" s="312" t="s">
        <v>1832</v>
      </c>
      <c r="T67" s="109" t="s">
        <v>1833</v>
      </c>
      <c r="U67" s="58" t="s">
        <v>22</v>
      </c>
      <c r="V67" s="58" t="s">
        <v>12</v>
      </c>
      <c r="W67" s="61"/>
      <c r="X67" s="269" t="b">
        <v>1</v>
      </c>
      <c r="Y67" s="258"/>
      <c r="Z67" s="270">
        <v>46122.0</v>
      </c>
      <c r="AA67" s="109" t="s">
        <v>1834</v>
      </c>
      <c r="AB67" s="109" t="s">
        <v>1835</v>
      </c>
      <c r="AC67" s="58" t="s">
        <v>18</v>
      </c>
      <c r="AD67" s="58" t="s">
        <v>20</v>
      </c>
      <c r="AE67" s="61"/>
      <c r="AF67" s="269" t="b">
        <v>1</v>
      </c>
      <c r="AH67" s="314">
        <v>46132.0</v>
      </c>
      <c r="AI67" s="302" t="s">
        <v>1836</v>
      </c>
      <c r="AJ67" s="277" t="s">
        <v>1837</v>
      </c>
      <c r="AK67" s="303" t="s">
        <v>44</v>
      </c>
      <c r="AL67" s="303" t="s">
        <v>17</v>
      </c>
      <c r="AM67" s="290"/>
      <c r="AN67" s="281" t="b">
        <v>1</v>
      </c>
      <c r="AO67" s="258"/>
      <c r="AP67" s="282">
        <v>46129.0</v>
      </c>
      <c r="AQ67" s="283" t="s">
        <v>1838</v>
      </c>
      <c r="AR67" s="283" t="s">
        <v>1839</v>
      </c>
      <c r="AS67" s="285" t="s">
        <v>18</v>
      </c>
      <c r="AT67" s="285" t="s">
        <v>20</v>
      </c>
      <c r="AU67" s="300"/>
      <c r="AV67" s="286" t="b">
        <v>1</v>
      </c>
      <c r="AW67" s="258"/>
      <c r="AX67" s="194"/>
      <c r="AY67" s="61"/>
      <c r="AZ67" s="61"/>
      <c r="BA67" s="81"/>
      <c r="BB67" s="81"/>
      <c r="BC67" s="61"/>
      <c r="BD67" s="291"/>
      <c r="BE67" s="258"/>
      <c r="BF67" s="282"/>
      <c r="BG67" s="283"/>
      <c r="BH67" s="283"/>
      <c r="BI67" s="285"/>
      <c r="BJ67" s="285"/>
      <c r="BK67" s="300"/>
      <c r="BL67" s="313"/>
    </row>
    <row r="68" ht="22.5" customHeight="1">
      <c r="A68" s="263"/>
      <c r="B68" s="270">
        <v>46118.0</v>
      </c>
      <c r="C68" s="109" t="s">
        <v>1840</v>
      </c>
      <c r="D68" s="109" t="s">
        <v>1841</v>
      </c>
      <c r="E68" s="58" t="s">
        <v>22</v>
      </c>
      <c r="F68" s="58" t="s">
        <v>12</v>
      </c>
      <c r="G68" s="109" t="s">
        <v>1842</v>
      </c>
      <c r="H68" s="269" t="b">
        <v>0</v>
      </c>
      <c r="I68" s="258"/>
      <c r="J68" s="270">
        <v>46113.0</v>
      </c>
      <c r="K68" s="109" t="s">
        <v>1843</v>
      </c>
      <c r="L68" s="109" t="s">
        <v>1844</v>
      </c>
      <c r="M68" s="58" t="s">
        <v>15</v>
      </c>
      <c r="N68" s="58" t="s">
        <v>20</v>
      </c>
      <c r="O68" s="61"/>
      <c r="P68" s="269" t="b">
        <v>1</v>
      </c>
      <c r="Q68" s="258"/>
      <c r="R68" s="270">
        <v>46122.0</v>
      </c>
      <c r="S68" s="109" t="s">
        <v>1845</v>
      </c>
      <c r="T68" s="109" t="s">
        <v>1846</v>
      </c>
      <c r="U68" s="58" t="s">
        <v>44</v>
      </c>
      <c r="V68" s="58" t="s">
        <v>9</v>
      </c>
      <c r="W68" s="61"/>
      <c r="X68" s="269" t="b">
        <v>1</v>
      </c>
      <c r="Y68" s="258"/>
      <c r="Z68" s="270">
        <v>46122.0</v>
      </c>
      <c r="AA68" s="109" t="s">
        <v>1847</v>
      </c>
      <c r="AB68" s="109" t="s">
        <v>1848</v>
      </c>
      <c r="AC68" s="58" t="s">
        <v>18</v>
      </c>
      <c r="AD68" s="58" t="s">
        <v>20</v>
      </c>
      <c r="AE68" s="61"/>
      <c r="AF68" s="269" t="b">
        <v>1</v>
      </c>
      <c r="AH68" s="314">
        <v>46132.0</v>
      </c>
      <c r="AI68" s="302" t="s">
        <v>1849</v>
      </c>
      <c r="AJ68" s="277" t="s">
        <v>1850</v>
      </c>
      <c r="AK68" s="303" t="s">
        <v>44</v>
      </c>
      <c r="AL68" s="303" t="s">
        <v>17</v>
      </c>
      <c r="AM68" s="290"/>
      <c r="AN68" s="281" t="b">
        <v>1</v>
      </c>
      <c r="AO68" s="258"/>
      <c r="AP68" s="282">
        <v>46129.0</v>
      </c>
      <c r="AQ68" s="283" t="s">
        <v>1851</v>
      </c>
      <c r="AR68" s="283" t="s">
        <v>1852</v>
      </c>
      <c r="AS68" s="285" t="s">
        <v>11</v>
      </c>
      <c r="AT68" s="285" t="s">
        <v>20</v>
      </c>
      <c r="AU68" s="300"/>
      <c r="AV68" s="286" t="b">
        <v>1</v>
      </c>
      <c r="AW68" s="258"/>
      <c r="AX68" s="194"/>
      <c r="AY68" s="61"/>
      <c r="AZ68" s="61"/>
      <c r="BA68" s="81"/>
      <c r="BB68" s="81"/>
      <c r="BC68" s="61"/>
      <c r="BD68" s="291"/>
      <c r="BE68" s="258"/>
      <c r="BF68" s="282"/>
      <c r="BG68" s="283"/>
      <c r="BH68" s="283"/>
      <c r="BI68" s="285"/>
      <c r="BJ68" s="285"/>
      <c r="BK68" s="300"/>
      <c r="BL68" s="313"/>
    </row>
    <row r="69" ht="22.5" customHeight="1">
      <c r="A69" s="263"/>
      <c r="B69" s="270">
        <v>46118.0</v>
      </c>
      <c r="C69" s="109" t="s">
        <v>1853</v>
      </c>
      <c r="D69" s="109" t="s">
        <v>1854</v>
      </c>
      <c r="E69" s="58" t="s">
        <v>22</v>
      </c>
      <c r="F69" s="58" t="s">
        <v>17</v>
      </c>
      <c r="G69" s="61"/>
      <c r="H69" s="269" t="b">
        <v>1</v>
      </c>
      <c r="I69" s="258"/>
      <c r="J69" s="270">
        <v>46113.0</v>
      </c>
      <c r="K69" s="109" t="s">
        <v>1855</v>
      </c>
      <c r="L69" s="109" t="s">
        <v>1856</v>
      </c>
      <c r="M69" s="58" t="s">
        <v>15</v>
      </c>
      <c r="N69" s="58" t="s">
        <v>20</v>
      </c>
      <c r="O69" s="61"/>
      <c r="P69" s="269" t="b">
        <v>1</v>
      </c>
      <c r="Q69" s="258"/>
      <c r="R69" s="270">
        <v>46122.0</v>
      </c>
      <c r="S69" s="109" t="s">
        <v>1857</v>
      </c>
      <c r="T69" s="109" t="s">
        <v>1858</v>
      </c>
      <c r="U69" s="58" t="s">
        <v>22</v>
      </c>
      <c r="V69" s="58" t="s">
        <v>12</v>
      </c>
      <c r="W69" s="61"/>
      <c r="X69" s="269" t="b">
        <v>1</v>
      </c>
      <c r="Y69" s="258"/>
      <c r="Z69" s="270">
        <v>46122.0</v>
      </c>
      <c r="AA69" s="109" t="s">
        <v>1859</v>
      </c>
      <c r="AB69" s="109" t="s">
        <v>1860</v>
      </c>
      <c r="AC69" s="58" t="s">
        <v>30</v>
      </c>
      <c r="AD69" s="58" t="s">
        <v>20</v>
      </c>
      <c r="AE69" s="61"/>
      <c r="AF69" s="269" t="b">
        <v>1</v>
      </c>
      <c r="AH69" s="314">
        <v>46133.0</v>
      </c>
      <c r="AI69" s="302" t="s">
        <v>1861</v>
      </c>
      <c r="AJ69" s="277" t="s">
        <v>1862</v>
      </c>
      <c r="AK69" s="303" t="s">
        <v>24</v>
      </c>
      <c r="AL69" s="303" t="s">
        <v>12</v>
      </c>
      <c r="AM69" s="290"/>
      <c r="AN69" s="281" t="b">
        <v>1</v>
      </c>
      <c r="AO69" s="258"/>
      <c r="AP69" s="282">
        <v>46129.0</v>
      </c>
      <c r="AQ69" s="283" t="s">
        <v>1863</v>
      </c>
      <c r="AR69" s="283" t="s">
        <v>1864</v>
      </c>
      <c r="AS69" s="285" t="s">
        <v>18</v>
      </c>
      <c r="AT69" s="285" t="s">
        <v>20</v>
      </c>
      <c r="AU69" s="283"/>
      <c r="AV69" s="286" t="b">
        <v>1</v>
      </c>
      <c r="AW69" s="258"/>
      <c r="AX69" s="194"/>
      <c r="AY69" s="61"/>
      <c r="AZ69" s="61"/>
      <c r="BA69" s="81"/>
      <c r="BB69" s="81"/>
      <c r="BC69" s="61"/>
      <c r="BD69" s="291"/>
      <c r="BE69" s="258"/>
      <c r="BF69" s="282"/>
      <c r="BG69" s="283"/>
      <c r="BH69" s="283"/>
      <c r="BI69" s="285"/>
      <c r="BJ69" s="285"/>
      <c r="BK69" s="283"/>
      <c r="BL69" s="313"/>
    </row>
    <row r="70" ht="22.5" customHeight="1">
      <c r="A70" s="263"/>
      <c r="B70" s="270">
        <v>46118.0</v>
      </c>
      <c r="C70" s="109" t="s">
        <v>1865</v>
      </c>
      <c r="D70" s="109" t="s">
        <v>1866</v>
      </c>
      <c r="E70" s="58" t="s">
        <v>22</v>
      </c>
      <c r="F70" s="58" t="s">
        <v>14</v>
      </c>
      <c r="G70" s="61"/>
      <c r="H70" s="269" t="b">
        <v>1</v>
      </c>
      <c r="I70" s="258"/>
      <c r="J70" s="270">
        <v>46113.0</v>
      </c>
      <c r="K70" s="109" t="s">
        <v>1867</v>
      </c>
      <c r="L70" s="109" t="s">
        <v>1868</v>
      </c>
      <c r="M70" s="58" t="s">
        <v>18</v>
      </c>
      <c r="N70" s="58" t="s">
        <v>17</v>
      </c>
      <c r="O70" s="61"/>
      <c r="P70" s="269" t="b">
        <v>0</v>
      </c>
      <c r="Q70" s="258"/>
      <c r="R70" s="270">
        <v>46122.0</v>
      </c>
      <c r="S70" s="109" t="s">
        <v>1869</v>
      </c>
      <c r="T70" s="109" t="s">
        <v>1870</v>
      </c>
      <c r="U70" s="58" t="s">
        <v>22</v>
      </c>
      <c r="V70" s="58" t="s">
        <v>12</v>
      </c>
      <c r="W70" s="61"/>
      <c r="X70" s="269" t="b">
        <v>1</v>
      </c>
      <c r="Y70" s="258"/>
      <c r="Z70" s="270">
        <v>46122.0</v>
      </c>
      <c r="AA70" s="109" t="s">
        <v>1871</v>
      </c>
      <c r="AB70" s="109" t="s">
        <v>1872</v>
      </c>
      <c r="AC70" s="58" t="s">
        <v>30</v>
      </c>
      <c r="AD70" s="58" t="s">
        <v>20</v>
      </c>
      <c r="AE70" s="61"/>
      <c r="AF70" s="269" t="b">
        <v>1</v>
      </c>
      <c r="AH70" s="314">
        <v>46133.0</v>
      </c>
      <c r="AI70" s="302" t="s">
        <v>1873</v>
      </c>
      <c r="AJ70" s="277" t="s">
        <v>1874</v>
      </c>
      <c r="AK70" s="303" t="s">
        <v>16</v>
      </c>
      <c r="AL70" s="303" t="s">
        <v>12</v>
      </c>
      <c r="AM70" s="290"/>
      <c r="AN70" s="281" t="b">
        <v>1</v>
      </c>
      <c r="AO70" s="258"/>
      <c r="AP70" s="282">
        <v>46129.0</v>
      </c>
      <c r="AQ70" s="283" t="s">
        <v>1875</v>
      </c>
      <c r="AR70" s="283" t="s">
        <v>1876</v>
      </c>
      <c r="AS70" s="285" t="s">
        <v>18</v>
      </c>
      <c r="AT70" s="285" t="s">
        <v>20</v>
      </c>
      <c r="AU70" s="300"/>
      <c r="AV70" s="286" t="b">
        <v>1</v>
      </c>
      <c r="AW70" s="258"/>
      <c r="AX70" s="194"/>
      <c r="AY70" s="61"/>
      <c r="AZ70" s="61"/>
      <c r="BA70" s="81"/>
      <c r="BB70" s="81"/>
      <c r="BC70" s="61"/>
      <c r="BD70" s="291"/>
      <c r="BE70" s="258"/>
      <c r="BF70" s="282"/>
      <c r="BG70" s="283"/>
      <c r="BH70" s="283"/>
      <c r="BI70" s="285"/>
      <c r="BJ70" s="285"/>
      <c r="BK70" s="300"/>
      <c r="BL70" s="313"/>
    </row>
    <row r="71" ht="22.5" customHeight="1">
      <c r="A71" s="263"/>
      <c r="B71" s="270">
        <v>46118.0</v>
      </c>
      <c r="C71" s="109" t="s">
        <v>1877</v>
      </c>
      <c r="D71" s="109" t="s">
        <v>1878</v>
      </c>
      <c r="E71" s="58" t="s">
        <v>22</v>
      </c>
      <c r="F71" s="58" t="s">
        <v>20</v>
      </c>
      <c r="G71" s="61"/>
      <c r="H71" s="269" t="b">
        <v>1</v>
      </c>
      <c r="I71" s="258"/>
      <c r="J71" s="332">
        <v>46113.0</v>
      </c>
      <c r="K71" s="333" t="s">
        <v>1879</v>
      </c>
      <c r="L71" s="333" t="s">
        <v>1880</v>
      </c>
      <c r="M71" s="334" t="s">
        <v>23</v>
      </c>
      <c r="N71" s="334" t="s">
        <v>14</v>
      </c>
      <c r="O71" s="333" t="s">
        <v>1881</v>
      </c>
      <c r="P71" s="335" t="b">
        <v>0</v>
      </c>
      <c r="Q71" s="258"/>
      <c r="R71" s="270">
        <v>46122.0</v>
      </c>
      <c r="S71" s="109" t="s">
        <v>1882</v>
      </c>
      <c r="T71" s="109" t="s">
        <v>1883</v>
      </c>
      <c r="U71" s="58" t="s">
        <v>19</v>
      </c>
      <c r="V71" s="58" t="s">
        <v>28</v>
      </c>
      <c r="W71" s="61"/>
      <c r="X71" s="269" t="b">
        <v>1</v>
      </c>
      <c r="Y71" s="258"/>
      <c r="Z71" s="270">
        <v>46122.0</v>
      </c>
      <c r="AA71" s="109" t="s">
        <v>1884</v>
      </c>
      <c r="AB71" s="109" t="s">
        <v>1885</v>
      </c>
      <c r="AC71" s="58" t="s">
        <v>30</v>
      </c>
      <c r="AD71" s="58" t="s">
        <v>20</v>
      </c>
      <c r="AE71" s="109"/>
      <c r="AF71" s="269" t="b">
        <v>1</v>
      </c>
      <c r="AH71" s="314">
        <v>46133.0</v>
      </c>
      <c r="AI71" s="302" t="s">
        <v>1886</v>
      </c>
      <c r="AJ71" s="277" t="s">
        <v>1887</v>
      </c>
      <c r="AK71" s="303" t="s">
        <v>13</v>
      </c>
      <c r="AL71" s="303" t="s">
        <v>12</v>
      </c>
      <c r="AM71" s="290"/>
      <c r="AN71" s="281" t="b">
        <v>1</v>
      </c>
      <c r="AO71" s="258"/>
      <c r="AP71" s="282">
        <v>46129.0</v>
      </c>
      <c r="AQ71" s="283" t="s">
        <v>1888</v>
      </c>
      <c r="AR71" s="283" t="s">
        <v>1889</v>
      </c>
      <c r="AS71" s="285" t="s">
        <v>18</v>
      </c>
      <c r="AT71" s="285" t="s">
        <v>20</v>
      </c>
      <c r="AU71" s="300"/>
      <c r="AV71" s="286" t="b">
        <v>1</v>
      </c>
      <c r="AW71" s="258"/>
      <c r="AX71" s="194"/>
      <c r="AY71" s="61"/>
      <c r="AZ71" s="61"/>
      <c r="BA71" s="81"/>
      <c r="BB71" s="81"/>
      <c r="BC71" s="61"/>
      <c r="BD71" s="291"/>
      <c r="BE71" s="258"/>
      <c r="BF71" s="282"/>
      <c r="BG71" s="283"/>
      <c r="BH71" s="283"/>
      <c r="BI71" s="285"/>
      <c r="BJ71" s="285"/>
      <c r="BK71" s="300"/>
      <c r="BL71" s="313"/>
    </row>
    <row r="72" ht="22.5" customHeight="1">
      <c r="A72" s="263"/>
      <c r="B72" s="270">
        <v>46118.0</v>
      </c>
      <c r="C72" s="109" t="s">
        <v>1890</v>
      </c>
      <c r="D72" s="109" t="s">
        <v>1891</v>
      </c>
      <c r="E72" s="58" t="s">
        <v>22</v>
      </c>
      <c r="F72" s="58" t="s">
        <v>20</v>
      </c>
      <c r="G72" s="61"/>
      <c r="H72" s="269" t="b">
        <v>1</v>
      </c>
      <c r="I72" s="258"/>
      <c r="J72" s="270">
        <v>46113.0</v>
      </c>
      <c r="K72" s="109" t="s">
        <v>1892</v>
      </c>
      <c r="L72" s="109" t="s">
        <v>1893</v>
      </c>
      <c r="M72" s="58" t="s">
        <v>23</v>
      </c>
      <c r="N72" s="58" t="s">
        <v>14</v>
      </c>
      <c r="O72" s="61"/>
      <c r="P72" s="269" t="b">
        <v>1</v>
      </c>
      <c r="Q72" s="258"/>
      <c r="R72" s="270">
        <v>46122.0</v>
      </c>
      <c r="S72" s="109" t="s">
        <v>1894</v>
      </c>
      <c r="T72" s="109" t="s">
        <v>1895</v>
      </c>
      <c r="U72" s="58" t="s">
        <v>22</v>
      </c>
      <c r="V72" s="58" t="s">
        <v>12</v>
      </c>
      <c r="W72" s="61"/>
      <c r="X72" s="269" t="b">
        <v>1</v>
      </c>
      <c r="Y72" s="258"/>
      <c r="Z72" s="270">
        <v>46122.0</v>
      </c>
      <c r="AA72" s="109" t="s">
        <v>1896</v>
      </c>
      <c r="AB72" s="109" t="s">
        <v>1897</v>
      </c>
      <c r="AC72" s="58" t="s">
        <v>30</v>
      </c>
      <c r="AD72" s="58" t="s">
        <v>20</v>
      </c>
      <c r="AE72" s="61"/>
      <c r="AF72" s="269" t="b">
        <v>1</v>
      </c>
      <c r="AH72" s="314">
        <v>46133.0</v>
      </c>
      <c r="AI72" s="302" t="s">
        <v>1898</v>
      </c>
      <c r="AJ72" s="277" t="s">
        <v>1899</v>
      </c>
      <c r="AK72" s="303" t="s">
        <v>16</v>
      </c>
      <c r="AL72" s="303" t="s">
        <v>12</v>
      </c>
      <c r="AM72" s="290"/>
      <c r="AN72" s="281" t="b">
        <v>1</v>
      </c>
      <c r="AO72" s="258"/>
      <c r="AP72" s="282">
        <v>46129.0</v>
      </c>
      <c r="AQ72" s="283" t="s">
        <v>1900</v>
      </c>
      <c r="AR72" s="283" t="s">
        <v>1901</v>
      </c>
      <c r="AS72" s="285" t="s">
        <v>18</v>
      </c>
      <c r="AT72" s="285" t="s">
        <v>20</v>
      </c>
      <c r="AU72" s="300"/>
      <c r="AV72" s="286" t="b">
        <v>1</v>
      </c>
      <c r="AW72" s="258"/>
      <c r="AX72" s="194"/>
      <c r="AY72" s="61"/>
      <c r="AZ72" s="61"/>
      <c r="BA72" s="81"/>
      <c r="BB72" s="81"/>
      <c r="BC72" s="61"/>
      <c r="BD72" s="291"/>
      <c r="BE72" s="258"/>
      <c r="BF72" s="282"/>
      <c r="BG72" s="283"/>
      <c r="BH72" s="283"/>
      <c r="BI72" s="285"/>
      <c r="BJ72" s="285"/>
      <c r="BK72" s="300"/>
      <c r="BL72" s="313"/>
    </row>
    <row r="73" ht="22.5" customHeight="1">
      <c r="A73" s="263"/>
      <c r="B73" s="270">
        <v>46118.0</v>
      </c>
      <c r="C73" s="109" t="s">
        <v>1902</v>
      </c>
      <c r="D73" s="109" t="s">
        <v>1903</v>
      </c>
      <c r="E73" s="58" t="s">
        <v>22</v>
      </c>
      <c r="F73" s="58" t="s">
        <v>20</v>
      </c>
      <c r="G73" s="61"/>
      <c r="H73" s="269" t="b">
        <v>1</v>
      </c>
      <c r="I73" s="258"/>
      <c r="J73" s="270">
        <v>46113.0</v>
      </c>
      <c r="K73" s="109" t="s">
        <v>1904</v>
      </c>
      <c r="L73" s="109" t="s">
        <v>1905</v>
      </c>
      <c r="M73" s="58" t="s">
        <v>23</v>
      </c>
      <c r="N73" s="58" t="s">
        <v>14</v>
      </c>
      <c r="O73" s="61"/>
      <c r="P73" s="269" t="b">
        <v>1</v>
      </c>
      <c r="Q73" s="258"/>
      <c r="R73" s="270">
        <v>46125.0</v>
      </c>
      <c r="S73" s="109" t="s">
        <v>1906</v>
      </c>
      <c r="T73" s="109" t="s">
        <v>1907</v>
      </c>
      <c r="U73" s="58" t="s">
        <v>22</v>
      </c>
      <c r="V73" s="58" t="s">
        <v>9</v>
      </c>
      <c r="W73" s="61"/>
      <c r="X73" s="269" t="b">
        <v>1</v>
      </c>
      <c r="Y73" s="258"/>
      <c r="Z73" s="270">
        <v>46122.0</v>
      </c>
      <c r="AA73" s="109" t="s">
        <v>1908</v>
      </c>
      <c r="AB73" s="109" t="s">
        <v>1909</v>
      </c>
      <c r="AC73" s="58" t="s">
        <v>30</v>
      </c>
      <c r="AD73" s="58" t="s">
        <v>20</v>
      </c>
      <c r="AE73" s="61"/>
      <c r="AF73" s="269" t="b">
        <v>1</v>
      </c>
      <c r="AH73" s="314">
        <v>46133.0</v>
      </c>
      <c r="AI73" s="302" t="s">
        <v>1910</v>
      </c>
      <c r="AJ73" s="277" t="s">
        <v>1911</v>
      </c>
      <c r="AK73" s="303" t="s">
        <v>13</v>
      </c>
      <c r="AL73" s="303" t="s">
        <v>12</v>
      </c>
      <c r="AM73" s="290"/>
      <c r="AN73" s="281" t="b">
        <v>1</v>
      </c>
      <c r="AO73" s="258"/>
      <c r="AP73" s="282">
        <v>46129.0</v>
      </c>
      <c r="AQ73" s="283" t="s">
        <v>1912</v>
      </c>
      <c r="AR73" s="283" t="s">
        <v>1913</v>
      </c>
      <c r="AS73" s="285" t="s">
        <v>18</v>
      </c>
      <c r="AT73" s="285" t="s">
        <v>20</v>
      </c>
      <c r="AU73" s="300"/>
      <c r="AV73" s="286" t="b">
        <v>1</v>
      </c>
      <c r="AW73" s="258"/>
      <c r="AX73" s="194"/>
      <c r="AY73" s="61"/>
      <c r="AZ73" s="61"/>
      <c r="BA73" s="81"/>
      <c r="BB73" s="81"/>
      <c r="BC73" s="61"/>
      <c r="BD73" s="291"/>
      <c r="BE73" s="258"/>
      <c r="BF73" s="282"/>
      <c r="BG73" s="283"/>
      <c r="BH73" s="283"/>
      <c r="BI73" s="285"/>
      <c r="BJ73" s="285"/>
      <c r="BK73" s="300"/>
      <c r="BL73" s="313"/>
    </row>
    <row r="74" ht="22.5" customHeight="1">
      <c r="A74" s="263"/>
      <c r="B74" s="270">
        <v>46118.0</v>
      </c>
      <c r="C74" s="109" t="s">
        <v>1914</v>
      </c>
      <c r="D74" s="109" t="s">
        <v>1915</v>
      </c>
      <c r="E74" s="58" t="s">
        <v>22</v>
      </c>
      <c r="F74" s="58" t="s">
        <v>20</v>
      </c>
      <c r="G74" s="61"/>
      <c r="H74" s="269" t="b">
        <v>1</v>
      </c>
      <c r="I74" s="258"/>
      <c r="J74" s="336">
        <v>46113.0</v>
      </c>
      <c r="K74" s="337" t="s">
        <v>1916</v>
      </c>
      <c r="L74" s="337" t="s">
        <v>1917</v>
      </c>
      <c r="M74" s="338"/>
      <c r="N74" s="339"/>
      <c r="O74" s="337" t="s">
        <v>1918</v>
      </c>
      <c r="P74" s="340" t="b">
        <v>0</v>
      </c>
      <c r="Q74" s="258"/>
      <c r="R74" s="270">
        <v>46125.0</v>
      </c>
      <c r="S74" s="312" t="s">
        <v>1919</v>
      </c>
      <c r="T74" s="109" t="s">
        <v>1920</v>
      </c>
      <c r="U74" s="58" t="s">
        <v>22</v>
      </c>
      <c r="V74" s="58" t="s">
        <v>958</v>
      </c>
      <c r="W74" s="61"/>
      <c r="X74" s="269" t="b">
        <v>1</v>
      </c>
      <c r="Y74" s="258"/>
      <c r="Z74" s="270">
        <v>46122.0</v>
      </c>
      <c r="AA74" s="109" t="s">
        <v>1921</v>
      </c>
      <c r="AB74" s="109" t="s">
        <v>1922</v>
      </c>
      <c r="AC74" s="58" t="s">
        <v>18</v>
      </c>
      <c r="AD74" s="58" t="s">
        <v>17</v>
      </c>
      <c r="AE74" s="61"/>
      <c r="AF74" s="269" t="b">
        <v>1</v>
      </c>
      <c r="AH74" s="314">
        <v>46133.0</v>
      </c>
      <c r="AI74" s="302" t="s">
        <v>1923</v>
      </c>
      <c r="AJ74" s="277" t="s">
        <v>1924</v>
      </c>
      <c r="AK74" s="303" t="s">
        <v>16</v>
      </c>
      <c r="AL74" s="303" t="s">
        <v>12</v>
      </c>
      <c r="AM74" s="290"/>
      <c r="AN74" s="281" t="b">
        <v>1</v>
      </c>
      <c r="AO74" s="258"/>
      <c r="AP74" s="282">
        <v>46129.0</v>
      </c>
      <c r="AQ74" s="283" t="s">
        <v>1925</v>
      </c>
      <c r="AR74" s="283" t="s">
        <v>1926</v>
      </c>
      <c r="AS74" s="285" t="s">
        <v>15</v>
      </c>
      <c r="AT74" s="285" t="s">
        <v>20</v>
      </c>
      <c r="AU74" s="300"/>
      <c r="AV74" s="286" t="b">
        <v>1</v>
      </c>
      <c r="AW74" s="258"/>
      <c r="AX74" s="194"/>
      <c r="AY74" s="61"/>
      <c r="AZ74" s="61"/>
      <c r="BA74" s="81"/>
      <c r="BB74" s="81"/>
      <c r="BC74" s="61"/>
      <c r="BD74" s="291"/>
      <c r="BE74" s="258"/>
      <c r="BF74" s="282"/>
      <c r="BG74" s="283"/>
      <c r="BH74" s="283"/>
      <c r="BI74" s="285"/>
      <c r="BJ74" s="285"/>
      <c r="BK74" s="300"/>
      <c r="BL74" s="313"/>
    </row>
    <row r="75" ht="22.5" customHeight="1">
      <c r="A75" s="263"/>
      <c r="B75" s="270">
        <v>46118.0</v>
      </c>
      <c r="C75" s="109" t="s">
        <v>1927</v>
      </c>
      <c r="D75" s="109" t="s">
        <v>1928</v>
      </c>
      <c r="E75" s="58" t="s">
        <v>22</v>
      </c>
      <c r="F75" s="58" t="s">
        <v>20</v>
      </c>
      <c r="G75" s="61"/>
      <c r="H75" s="269" t="b">
        <v>1</v>
      </c>
      <c r="I75" s="258"/>
      <c r="J75" s="336">
        <v>46113.0</v>
      </c>
      <c r="K75" s="337" t="s">
        <v>1929</v>
      </c>
      <c r="L75" s="337" t="s">
        <v>1930</v>
      </c>
      <c r="M75" s="338" t="s">
        <v>23</v>
      </c>
      <c r="N75" s="338" t="s">
        <v>14</v>
      </c>
      <c r="O75" s="337" t="s">
        <v>1931</v>
      </c>
      <c r="P75" s="340" t="b">
        <v>1</v>
      </c>
      <c r="Q75" s="258"/>
      <c r="R75" s="270">
        <v>46125.0</v>
      </c>
      <c r="S75" s="312" t="s">
        <v>1932</v>
      </c>
      <c r="T75" s="109" t="s">
        <v>1933</v>
      </c>
      <c r="U75" s="58" t="s">
        <v>22</v>
      </c>
      <c r="V75" s="58" t="s">
        <v>958</v>
      </c>
      <c r="W75" s="61"/>
      <c r="X75" s="269" t="b">
        <v>1</v>
      </c>
      <c r="Y75" s="258"/>
      <c r="Z75" s="270">
        <v>46122.0</v>
      </c>
      <c r="AA75" s="109" t="s">
        <v>1934</v>
      </c>
      <c r="AB75" s="109" t="s">
        <v>1935</v>
      </c>
      <c r="AC75" s="58" t="s">
        <v>18</v>
      </c>
      <c r="AD75" s="58" t="s">
        <v>17</v>
      </c>
      <c r="AE75" s="61"/>
      <c r="AF75" s="269" t="b">
        <v>1</v>
      </c>
      <c r="AH75" s="314">
        <v>46133.0</v>
      </c>
      <c r="AI75" s="302" t="s">
        <v>1936</v>
      </c>
      <c r="AJ75" s="277" t="s">
        <v>1937</v>
      </c>
      <c r="AK75" s="303" t="s">
        <v>44</v>
      </c>
      <c r="AL75" s="303" t="s">
        <v>12</v>
      </c>
      <c r="AM75" s="290"/>
      <c r="AN75" s="281" t="b">
        <v>1</v>
      </c>
      <c r="AO75" s="258"/>
      <c r="AP75" s="282">
        <v>46129.0</v>
      </c>
      <c r="AQ75" s="283" t="s">
        <v>1938</v>
      </c>
      <c r="AR75" s="283" t="s">
        <v>1939</v>
      </c>
      <c r="AS75" s="285" t="s">
        <v>15</v>
      </c>
      <c r="AT75" s="285" t="s">
        <v>20</v>
      </c>
      <c r="AU75" s="300"/>
      <c r="AV75" s="286" t="b">
        <v>1</v>
      </c>
      <c r="AW75" s="258"/>
      <c r="AX75" s="194"/>
      <c r="AY75" s="61"/>
      <c r="AZ75" s="61"/>
      <c r="BA75" s="81"/>
      <c r="BB75" s="81"/>
      <c r="BC75" s="61"/>
      <c r="BD75" s="291"/>
      <c r="BE75" s="258"/>
      <c r="BF75" s="282"/>
      <c r="BG75" s="283"/>
      <c r="BH75" s="283"/>
      <c r="BI75" s="285"/>
      <c r="BJ75" s="285"/>
      <c r="BK75" s="300"/>
      <c r="BL75" s="313"/>
    </row>
    <row r="76" ht="22.5" customHeight="1">
      <c r="A76" s="263"/>
      <c r="B76" s="270">
        <v>46118.0</v>
      </c>
      <c r="C76" s="109" t="s">
        <v>1940</v>
      </c>
      <c r="D76" s="109" t="s">
        <v>1941</v>
      </c>
      <c r="E76" s="58" t="s">
        <v>22</v>
      </c>
      <c r="F76" s="58" t="s">
        <v>20</v>
      </c>
      <c r="G76" s="61"/>
      <c r="H76" s="269" t="b">
        <v>1</v>
      </c>
      <c r="I76" s="258"/>
      <c r="J76" s="270">
        <v>46113.0</v>
      </c>
      <c r="K76" s="109" t="s">
        <v>1942</v>
      </c>
      <c r="L76" s="109" t="s">
        <v>1943</v>
      </c>
      <c r="M76" s="58" t="s">
        <v>18</v>
      </c>
      <c r="N76" s="58" t="s">
        <v>17</v>
      </c>
      <c r="O76" s="61"/>
      <c r="P76" s="269" t="b">
        <v>1</v>
      </c>
      <c r="Q76" s="258"/>
      <c r="R76" s="270">
        <v>46125.0</v>
      </c>
      <c r="S76" s="312" t="s">
        <v>1944</v>
      </c>
      <c r="T76" s="109" t="s">
        <v>1945</v>
      </c>
      <c r="U76" s="58" t="s">
        <v>22</v>
      </c>
      <c r="V76" s="58" t="s">
        <v>958</v>
      </c>
      <c r="W76" s="61"/>
      <c r="X76" s="269" t="b">
        <v>1</v>
      </c>
      <c r="Y76" s="258"/>
      <c r="Z76" s="270">
        <v>46122.0</v>
      </c>
      <c r="AA76" s="109" t="s">
        <v>1946</v>
      </c>
      <c r="AB76" s="109" t="s">
        <v>1947</v>
      </c>
      <c r="AC76" s="58" t="s">
        <v>23</v>
      </c>
      <c r="AD76" s="58" t="s">
        <v>17</v>
      </c>
      <c r="AE76" s="61"/>
      <c r="AF76" s="269" t="b">
        <v>1</v>
      </c>
      <c r="AH76" s="314">
        <v>46133.0</v>
      </c>
      <c r="AI76" s="302" t="s">
        <v>1948</v>
      </c>
      <c r="AJ76" s="277" t="s">
        <v>1949</v>
      </c>
      <c r="AK76" s="303" t="s">
        <v>44</v>
      </c>
      <c r="AL76" s="303" t="s">
        <v>12</v>
      </c>
      <c r="AM76" s="290"/>
      <c r="AN76" s="281" t="b">
        <v>1</v>
      </c>
      <c r="AO76" s="258"/>
      <c r="AP76" s="282">
        <v>46129.0</v>
      </c>
      <c r="AQ76" s="283" t="s">
        <v>1950</v>
      </c>
      <c r="AR76" s="283" t="s">
        <v>1951</v>
      </c>
      <c r="AS76" s="285" t="s">
        <v>15</v>
      </c>
      <c r="AT76" s="285" t="s">
        <v>20</v>
      </c>
      <c r="AU76" s="300"/>
      <c r="AV76" s="286" t="b">
        <v>1</v>
      </c>
      <c r="AW76" s="258"/>
      <c r="AX76" s="194"/>
      <c r="AY76" s="61"/>
      <c r="AZ76" s="61"/>
      <c r="BA76" s="81"/>
      <c r="BB76" s="81"/>
      <c r="BC76" s="61"/>
      <c r="BD76" s="291"/>
      <c r="BE76" s="258"/>
      <c r="BF76" s="282"/>
      <c r="BG76" s="283"/>
      <c r="BH76" s="283"/>
      <c r="BI76" s="285"/>
      <c r="BJ76" s="285"/>
      <c r="BK76" s="300"/>
      <c r="BL76" s="313"/>
    </row>
    <row r="77" ht="22.5" customHeight="1">
      <c r="A77" s="263"/>
      <c r="B77" s="270">
        <v>46118.0</v>
      </c>
      <c r="C77" s="109" t="s">
        <v>1952</v>
      </c>
      <c r="D77" s="109" t="s">
        <v>1953</v>
      </c>
      <c r="E77" s="58" t="s">
        <v>22</v>
      </c>
      <c r="F77" s="58" t="s">
        <v>20</v>
      </c>
      <c r="G77" s="61"/>
      <c r="H77" s="269" t="b">
        <v>1</v>
      </c>
      <c r="I77" s="258"/>
      <c r="J77" s="332">
        <v>46113.0</v>
      </c>
      <c r="K77" s="333" t="s">
        <v>1954</v>
      </c>
      <c r="L77" s="333" t="s">
        <v>1955</v>
      </c>
      <c r="M77" s="334" t="s">
        <v>23</v>
      </c>
      <c r="N77" s="334" t="s">
        <v>14</v>
      </c>
      <c r="O77" s="333" t="s">
        <v>1881</v>
      </c>
      <c r="P77" s="335" t="b">
        <v>0</v>
      </c>
      <c r="Q77" s="258"/>
      <c r="R77" s="270">
        <v>46125.0</v>
      </c>
      <c r="S77" s="312" t="s">
        <v>1956</v>
      </c>
      <c r="T77" s="109" t="s">
        <v>1957</v>
      </c>
      <c r="U77" s="58"/>
      <c r="V77" s="58" t="s">
        <v>958</v>
      </c>
      <c r="W77" s="109" t="s">
        <v>431</v>
      </c>
      <c r="X77" s="269" t="b">
        <v>0</v>
      </c>
      <c r="Y77" s="258"/>
      <c r="Z77" s="270">
        <v>46122.0</v>
      </c>
      <c r="AA77" s="109" t="s">
        <v>1958</v>
      </c>
      <c r="AB77" s="109" t="s">
        <v>1959</v>
      </c>
      <c r="AC77" s="58" t="s">
        <v>23</v>
      </c>
      <c r="AD77" s="58" t="s">
        <v>17</v>
      </c>
      <c r="AE77" s="61"/>
      <c r="AF77" s="269" t="b">
        <v>1</v>
      </c>
      <c r="AH77" s="314">
        <v>46133.0</v>
      </c>
      <c r="AI77" s="302" t="s">
        <v>1960</v>
      </c>
      <c r="AJ77" s="277" t="s">
        <v>1961</v>
      </c>
      <c r="AK77" s="303" t="s">
        <v>16</v>
      </c>
      <c r="AL77" s="303" t="s">
        <v>12</v>
      </c>
      <c r="AM77" s="290"/>
      <c r="AN77" s="281" t="b">
        <v>1</v>
      </c>
      <c r="AO77" s="258"/>
      <c r="AP77" s="282"/>
      <c r="AQ77" s="283"/>
      <c r="AR77" s="283"/>
      <c r="AS77" s="331"/>
      <c r="AT77" s="331"/>
      <c r="AU77" s="300"/>
      <c r="AV77" s="313"/>
      <c r="AW77" s="258"/>
      <c r="AX77" s="194"/>
      <c r="AY77" s="61"/>
      <c r="AZ77" s="61"/>
      <c r="BA77" s="81"/>
      <c r="BB77" s="81"/>
      <c r="BC77" s="61"/>
      <c r="BD77" s="291"/>
      <c r="BE77" s="258"/>
      <c r="BF77" s="282"/>
      <c r="BG77" s="283"/>
      <c r="BH77" s="283"/>
      <c r="BI77" s="331"/>
      <c r="BJ77" s="331"/>
      <c r="BK77" s="300"/>
      <c r="BL77" s="313"/>
    </row>
    <row r="78" ht="22.5" customHeight="1">
      <c r="A78" s="263"/>
      <c r="B78" s="270">
        <v>46118.0</v>
      </c>
      <c r="C78" s="109" t="s">
        <v>1962</v>
      </c>
      <c r="D78" s="109" t="s">
        <v>1963</v>
      </c>
      <c r="E78" s="58" t="s">
        <v>22</v>
      </c>
      <c r="F78" s="58" t="s">
        <v>14</v>
      </c>
      <c r="G78" s="61"/>
      <c r="H78" s="269" t="b">
        <v>1</v>
      </c>
      <c r="I78" s="258"/>
      <c r="J78" s="270">
        <v>46113.0</v>
      </c>
      <c r="K78" s="109" t="s">
        <v>1964</v>
      </c>
      <c r="L78" s="109" t="s">
        <v>1965</v>
      </c>
      <c r="M78" s="58" t="s">
        <v>23</v>
      </c>
      <c r="N78" s="58" t="s">
        <v>14</v>
      </c>
      <c r="O78" s="61"/>
      <c r="P78" s="269" t="b">
        <v>1</v>
      </c>
      <c r="Q78" s="258"/>
      <c r="R78" s="270">
        <v>46125.0</v>
      </c>
      <c r="S78" s="312" t="s">
        <v>1966</v>
      </c>
      <c r="T78" s="109" t="s">
        <v>1967</v>
      </c>
      <c r="U78" s="58" t="s">
        <v>22</v>
      </c>
      <c r="V78" s="58" t="s">
        <v>958</v>
      </c>
      <c r="W78" s="61"/>
      <c r="X78" s="269" t="b">
        <v>1</v>
      </c>
      <c r="Y78" s="258"/>
      <c r="Z78" s="270">
        <v>46122.0</v>
      </c>
      <c r="AA78" s="109" t="s">
        <v>1968</v>
      </c>
      <c r="AB78" s="109" t="s">
        <v>1969</v>
      </c>
      <c r="AC78" s="58" t="s">
        <v>11</v>
      </c>
      <c r="AD78" s="58" t="s">
        <v>20</v>
      </c>
      <c r="AE78" s="61"/>
      <c r="AF78" s="269" t="b">
        <v>1</v>
      </c>
      <c r="AH78" s="314">
        <v>46133.0</v>
      </c>
      <c r="AI78" s="302" t="s">
        <v>1970</v>
      </c>
      <c r="AJ78" s="277" t="s">
        <v>1971</v>
      </c>
      <c r="AK78" s="303" t="s">
        <v>24</v>
      </c>
      <c r="AL78" s="303" t="s">
        <v>12</v>
      </c>
      <c r="AM78" s="290"/>
      <c r="AN78" s="281" t="b">
        <v>1</v>
      </c>
      <c r="AO78" s="258"/>
      <c r="AP78" s="282"/>
      <c r="AQ78" s="283"/>
      <c r="AR78" s="283"/>
      <c r="AS78" s="331"/>
      <c r="AT78" s="331"/>
      <c r="AU78" s="300"/>
      <c r="AV78" s="313"/>
      <c r="AW78" s="258"/>
      <c r="AX78" s="194"/>
      <c r="AY78" s="61"/>
      <c r="AZ78" s="61"/>
      <c r="BA78" s="81"/>
      <c r="BB78" s="81"/>
      <c r="BC78" s="61"/>
      <c r="BD78" s="291"/>
      <c r="BE78" s="258"/>
      <c r="BF78" s="282"/>
      <c r="BG78" s="283"/>
      <c r="BH78" s="283"/>
      <c r="BI78" s="331"/>
      <c r="BJ78" s="331"/>
      <c r="BK78" s="300"/>
      <c r="BL78" s="313"/>
    </row>
    <row r="79" ht="22.5" customHeight="1">
      <c r="A79" s="263"/>
      <c r="B79" s="270">
        <v>46118.0</v>
      </c>
      <c r="C79" s="109" t="s">
        <v>1972</v>
      </c>
      <c r="D79" s="109" t="s">
        <v>1973</v>
      </c>
      <c r="E79" s="58" t="s">
        <v>22</v>
      </c>
      <c r="F79" s="58" t="s">
        <v>14</v>
      </c>
      <c r="G79" s="61"/>
      <c r="H79" s="269" t="b">
        <v>1</v>
      </c>
      <c r="I79" s="258"/>
      <c r="J79" s="270">
        <v>46113.0</v>
      </c>
      <c r="K79" s="109" t="s">
        <v>1974</v>
      </c>
      <c r="L79" s="109" t="s">
        <v>1975</v>
      </c>
      <c r="M79" s="58" t="s">
        <v>23</v>
      </c>
      <c r="N79" s="58" t="s">
        <v>20</v>
      </c>
      <c r="O79" s="61"/>
      <c r="P79" s="269" t="b">
        <v>1</v>
      </c>
      <c r="Q79" s="258"/>
      <c r="R79" s="270">
        <v>46125.0</v>
      </c>
      <c r="S79" s="312" t="s">
        <v>1976</v>
      </c>
      <c r="T79" s="109" t="s">
        <v>1977</v>
      </c>
      <c r="U79" s="58" t="s">
        <v>22</v>
      </c>
      <c r="V79" s="58" t="s">
        <v>958</v>
      </c>
      <c r="W79" s="61"/>
      <c r="X79" s="269" t="b">
        <v>1</v>
      </c>
      <c r="Y79" s="258"/>
      <c r="Z79" s="270">
        <v>46122.0</v>
      </c>
      <c r="AA79" s="109" t="s">
        <v>1978</v>
      </c>
      <c r="AB79" s="109" t="s">
        <v>1979</v>
      </c>
      <c r="AC79" s="58" t="s">
        <v>11</v>
      </c>
      <c r="AD79" s="58" t="s">
        <v>20</v>
      </c>
      <c r="AE79" s="61"/>
      <c r="AF79" s="269" t="b">
        <v>1</v>
      </c>
      <c r="AH79" s="314">
        <v>46133.0</v>
      </c>
      <c r="AI79" s="302" t="s">
        <v>1980</v>
      </c>
      <c r="AJ79" s="277" t="s">
        <v>1981</v>
      </c>
      <c r="AK79" s="303" t="s">
        <v>16</v>
      </c>
      <c r="AL79" s="303" t="s">
        <v>12</v>
      </c>
      <c r="AM79" s="290"/>
      <c r="AN79" s="281" t="b">
        <v>1</v>
      </c>
      <c r="AO79" s="258"/>
      <c r="AP79" s="282"/>
      <c r="AQ79" s="283"/>
      <c r="AR79" s="283"/>
      <c r="AS79" s="331"/>
      <c r="AT79" s="331"/>
      <c r="AU79" s="300"/>
      <c r="AV79" s="313"/>
      <c r="AW79" s="258"/>
      <c r="AX79" s="194"/>
      <c r="AY79" s="61"/>
      <c r="AZ79" s="61"/>
      <c r="BA79" s="81"/>
      <c r="BB79" s="81"/>
      <c r="BC79" s="61"/>
      <c r="BD79" s="291"/>
      <c r="BE79" s="258"/>
      <c r="BF79" s="282"/>
      <c r="BG79" s="283"/>
      <c r="BH79" s="283"/>
      <c r="BI79" s="331"/>
      <c r="BJ79" s="331"/>
      <c r="BK79" s="300"/>
      <c r="BL79" s="313"/>
    </row>
    <row r="80" ht="22.5" customHeight="1">
      <c r="A80" s="263"/>
      <c r="B80" s="270">
        <v>46118.0</v>
      </c>
      <c r="C80" s="109" t="s">
        <v>1982</v>
      </c>
      <c r="D80" s="109" t="s">
        <v>1983</v>
      </c>
      <c r="E80" s="58" t="s">
        <v>44</v>
      </c>
      <c r="F80" s="58" t="s">
        <v>14</v>
      </c>
      <c r="G80" s="61"/>
      <c r="H80" s="269" t="b">
        <v>1</v>
      </c>
      <c r="I80" s="258"/>
      <c r="J80" s="270">
        <v>46113.0</v>
      </c>
      <c r="K80" s="109" t="s">
        <v>1984</v>
      </c>
      <c r="L80" s="109" t="s">
        <v>1985</v>
      </c>
      <c r="M80" s="58" t="s">
        <v>18</v>
      </c>
      <c r="N80" s="58" t="s">
        <v>20</v>
      </c>
      <c r="O80" s="61"/>
      <c r="P80" s="269" t="b">
        <v>1</v>
      </c>
      <c r="Q80" s="258"/>
      <c r="R80" s="270">
        <v>46125.0</v>
      </c>
      <c r="S80" s="312" t="s">
        <v>1986</v>
      </c>
      <c r="T80" s="109" t="s">
        <v>1987</v>
      </c>
      <c r="U80" s="58"/>
      <c r="V80" s="58" t="s">
        <v>958</v>
      </c>
      <c r="W80" s="109" t="s">
        <v>431</v>
      </c>
      <c r="X80" s="269" t="b">
        <v>0</v>
      </c>
      <c r="Y80" s="258"/>
      <c r="Z80" s="270">
        <v>46122.0</v>
      </c>
      <c r="AA80" s="109" t="s">
        <v>1988</v>
      </c>
      <c r="AB80" s="109" t="s">
        <v>1989</v>
      </c>
      <c r="AC80" s="58" t="s">
        <v>11</v>
      </c>
      <c r="AD80" s="58" t="s">
        <v>20</v>
      </c>
      <c r="AE80" s="61"/>
      <c r="AF80" s="269" t="b">
        <v>1</v>
      </c>
      <c r="AH80" s="314">
        <v>46133.0</v>
      </c>
      <c r="AI80" s="302" t="s">
        <v>1990</v>
      </c>
      <c r="AJ80" s="277" t="s">
        <v>1991</v>
      </c>
      <c r="AK80" s="303" t="s">
        <v>44</v>
      </c>
      <c r="AL80" s="303" t="s">
        <v>12</v>
      </c>
      <c r="AM80" s="290"/>
      <c r="AN80" s="281" t="b">
        <v>1</v>
      </c>
      <c r="AO80" s="258"/>
      <c r="AP80" s="282"/>
      <c r="AQ80" s="283"/>
      <c r="AR80" s="283"/>
      <c r="AS80" s="331"/>
      <c r="AT80" s="331"/>
      <c r="AU80" s="300"/>
      <c r="AV80" s="313"/>
      <c r="AW80" s="258"/>
      <c r="AX80" s="194"/>
      <c r="AY80" s="61"/>
      <c r="AZ80" s="61"/>
      <c r="BA80" s="81"/>
      <c r="BB80" s="81"/>
      <c r="BC80" s="61"/>
      <c r="BD80" s="291"/>
      <c r="BE80" s="258"/>
      <c r="BF80" s="282"/>
      <c r="BG80" s="283"/>
      <c r="BH80" s="283"/>
      <c r="BI80" s="331"/>
      <c r="BJ80" s="331"/>
      <c r="BK80" s="300"/>
      <c r="BL80" s="313"/>
    </row>
    <row r="81" ht="22.5" customHeight="1">
      <c r="A81" s="263"/>
      <c r="B81" s="341">
        <v>46118.0</v>
      </c>
      <c r="C81" s="273" t="s">
        <v>1992</v>
      </c>
      <c r="D81" s="273" t="s">
        <v>1993</v>
      </c>
      <c r="E81" s="274" t="s">
        <v>13</v>
      </c>
      <c r="F81" s="342" t="s">
        <v>9</v>
      </c>
      <c r="G81" s="61"/>
      <c r="H81" s="269" t="b">
        <v>1</v>
      </c>
      <c r="I81" s="258"/>
      <c r="J81" s="270">
        <v>46113.0</v>
      </c>
      <c r="K81" s="109" t="s">
        <v>1994</v>
      </c>
      <c r="L81" s="109" t="s">
        <v>1995</v>
      </c>
      <c r="M81" s="58" t="s">
        <v>18</v>
      </c>
      <c r="N81" s="58" t="s">
        <v>14</v>
      </c>
      <c r="O81" s="61"/>
      <c r="P81" s="269" t="b">
        <v>1</v>
      </c>
      <c r="Q81" s="258"/>
      <c r="R81" s="270">
        <v>46125.0</v>
      </c>
      <c r="S81" s="312" t="s">
        <v>1996</v>
      </c>
      <c r="T81" s="109" t="s">
        <v>1997</v>
      </c>
      <c r="U81" s="58" t="s">
        <v>22</v>
      </c>
      <c r="V81" s="58" t="s">
        <v>958</v>
      </c>
      <c r="W81" s="61"/>
      <c r="X81" s="269" t="b">
        <v>1</v>
      </c>
      <c r="Y81" s="258"/>
      <c r="Z81" s="270">
        <v>46122.0</v>
      </c>
      <c r="AA81" s="109" t="s">
        <v>1998</v>
      </c>
      <c r="AB81" s="109" t="s">
        <v>1999</v>
      </c>
      <c r="AC81" s="58" t="s">
        <v>15</v>
      </c>
      <c r="AD81" s="58" t="s">
        <v>20</v>
      </c>
      <c r="AE81" s="61"/>
      <c r="AF81" s="269" t="b">
        <v>1</v>
      </c>
      <c r="AH81" s="314">
        <v>46133.0</v>
      </c>
      <c r="AI81" s="302" t="s">
        <v>2000</v>
      </c>
      <c r="AJ81" s="277" t="s">
        <v>2001</v>
      </c>
      <c r="AK81" s="303" t="s">
        <v>24</v>
      </c>
      <c r="AL81" s="303" t="s">
        <v>12</v>
      </c>
      <c r="AM81" s="290"/>
      <c r="AN81" s="281" t="b">
        <v>1</v>
      </c>
      <c r="AO81" s="258"/>
      <c r="AP81" s="282"/>
      <c r="AQ81" s="283"/>
      <c r="AR81" s="283"/>
      <c r="AS81" s="331"/>
      <c r="AT81" s="331"/>
      <c r="AU81" s="300"/>
      <c r="AV81" s="313"/>
      <c r="AW81" s="258"/>
      <c r="AX81" s="194"/>
      <c r="AY81" s="61"/>
      <c r="AZ81" s="61"/>
      <c r="BA81" s="81"/>
      <c r="BB81" s="81"/>
      <c r="BC81" s="61"/>
      <c r="BD81" s="291"/>
      <c r="BE81" s="258"/>
      <c r="BF81" s="282"/>
      <c r="BG81" s="283"/>
      <c r="BH81" s="283"/>
      <c r="BI81" s="331"/>
      <c r="BJ81" s="331"/>
      <c r="BK81" s="300"/>
      <c r="BL81" s="313"/>
    </row>
    <row r="82" ht="22.5" customHeight="1">
      <c r="A82" s="263"/>
      <c r="B82" s="341">
        <v>46118.0</v>
      </c>
      <c r="C82" s="109" t="s">
        <v>2002</v>
      </c>
      <c r="D82" s="109" t="s">
        <v>2003</v>
      </c>
      <c r="E82" s="274" t="s">
        <v>13</v>
      </c>
      <c r="F82" s="342" t="s">
        <v>9</v>
      </c>
      <c r="G82" s="61"/>
      <c r="H82" s="269" t="b">
        <v>1</v>
      </c>
      <c r="I82" s="258"/>
      <c r="J82" s="270">
        <v>46113.0</v>
      </c>
      <c r="K82" s="109" t="s">
        <v>2004</v>
      </c>
      <c r="L82" s="109" t="s">
        <v>2005</v>
      </c>
      <c r="M82" s="58" t="s">
        <v>18</v>
      </c>
      <c r="N82" s="58" t="s">
        <v>14</v>
      </c>
      <c r="O82" s="61"/>
      <c r="P82" s="269" t="b">
        <v>1</v>
      </c>
      <c r="Q82" s="258"/>
      <c r="R82" s="270">
        <v>46125.0</v>
      </c>
      <c r="S82" s="312" t="s">
        <v>2006</v>
      </c>
      <c r="T82" s="109" t="s">
        <v>2007</v>
      </c>
      <c r="U82" s="58"/>
      <c r="V82" s="58" t="s">
        <v>958</v>
      </c>
      <c r="W82" s="109" t="s">
        <v>431</v>
      </c>
      <c r="X82" s="269" t="b">
        <v>0</v>
      </c>
      <c r="Y82" s="258"/>
      <c r="Z82" s="270">
        <v>46122.0</v>
      </c>
      <c r="AA82" s="109" t="s">
        <v>2008</v>
      </c>
      <c r="AB82" s="109" t="s">
        <v>2009</v>
      </c>
      <c r="AC82" s="58" t="s">
        <v>23</v>
      </c>
      <c r="AD82" s="58" t="s">
        <v>17</v>
      </c>
      <c r="AE82" s="61"/>
      <c r="AF82" s="269" t="b">
        <v>1</v>
      </c>
      <c r="AH82" s="314">
        <v>46133.0</v>
      </c>
      <c r="AI82" s="302" t="s">
        <v>2010</v>
      </c>
      <c r="AJ82" s="277" t="s">
        <v>2011</v>
      </c>
      <c r="AK82" s="303" t="s">
        <v>24</v>
      </c>
      <c r="AL82" s="303" t="s">
        <v>12</v>
      </c>
      <c r="AM82" s="290"/>
      <c r="AN82" s="281" t="b">
        <v>1</v>
      </c>
      <c r="AO82" s="258"/>
      <c r="AP82" s="282"/>
      <c r="AQ82" s="283"/>
      <c r="AR82" s="283"/>
      <c r="AS82" s="331"/>
      <c r="AT82" s="331"/>
      <c r="AU82" s="300"/>
      <c r="AV82" s="313"/>
      <c r="AW82" s="258"/>
      <c r="AX82" s="194"/>
      <c r="AY82" s="61"/>
      <c r="AZ82" s="61"/>
      <c r="BA82" s="81"/>
      <c r="BB82" s="81"/>
      <c r="BC82" s="61"/>
      <c r="BD82" s="291"/>
      <c r="BE82" s="258"/>
      <c r="BF82" s="282"/>
      <c r="BG82" s="283"/>
      <c r="BH82" s="283"/>
      <c r="BI82" s="331"/>
      <c r="BJ82" s="331"/>
      <c r="BK82" s="300"/>
      <c r="BL82" s="313"/>
    </row>
    <row r="83" ht="22.5" customHeight="1">
      <c r="A83" s="263"/>
      <c r="B83" s="341">
        <v>46118.0</v>
      </c>
      <c r="C83" s="109" t="s">
        <v>2012</v>
      </c>
      <c r="D83" s="109" t="s">
        <v>2013</v>
      </c>
      <c r="E83" s="58" t="s">
        <v>44</v>
      </c>
      <c r="F83" s="58" t="s">
        <v>14</v>
      </c>
      <c r="G83" s="61"/>
      <c r="H83" s="269" t="b">
        <v>1</v>
      </c>
      <c r="I83" s="258"/>
      <c r="J83" s="270">
        <v>46114.0</v>
      </c>
      <c r="K83" s="109" t="s">
        <v>2014</v>
      </c>
      <c r="L83" s="109" t="s">
        <v>2015</v>
      </c>
      <c r="M83" s="58" t="s">
        <v>11</v>
      </c>
      <c r="N83" s="58" t="s">
        <v>20</v>
      </c>
      <c r="O83" s="61"/>
      <c r="P83" s="269" t="b">
        <v>1</v>
      </c>
      <c r="Q83" s="258"/>
      <c r="R83" s="270">
        <v>46125.0</v>
      </c>
      <c r="S83" s="312" t="s">
        <v>2016</v>
      </c>
      <c r="T83" s="109" t="s">
        <v>2017</v>
      </c>
      <c r="U83" s="58" t="s">
        <v>22</v>
      </c>
      <c r="V83" s="58" t="s">
        <v>12</v>
      </c>
      <c r="W83" s="61"/>
      <c r="X83" s="269" t="b">
        <v>1</v>
      </c>
      <c r="Y83" s="258"/>
      <c r="Z83" s="270">
        <v>46122.0</v>
      </c>
      <c r="AA83" s="109" t="s">
        <v>2018</v>
      </c>
      <c r="AB83" s="109" t="s">
        <v>2019</v>
      </c>
      <c r="AC83" s="58" t="s">
        <v>23</v>
      </c>
      <c r="AD83" s="58" t="s">
        <v>17</v>
      </c>
      <c r="AE83" s="61"/>
      <c r="AF83" s="269" t="b">
        <v>1</v>
      </c>
      <c r="AH83" s="314">
        <v>46133.0</v>
      </c>
      <c r="AI83" s="302" t="s">
        <v>2020</v>
      </c>
      <c r="AJ83" s="277" t="s">
        <v>2021</v>
      </c>
      <c r="AK83" s="303" t="s">
        <v>24</v>
      </c>
      <c r="AL83" s="303" t="s">
        <v>12</v>
      </c>
      <c r="AM83" s="290"/>
      <c r="AN83" s="281" t="b">
        <v>1</v>
      </c>
      <c r="AO83" s="258"/>
      <c r="AP83" s="282"/>
      <c r="AQ83" s="283"/>
      <c r="AR83" s="283"/>
      <c r="AS83" s="331"/>
      <c r="AT83" s="331"/>
      <c r="AU83" s="300"/>
      <c r="AV83" s="313"/>
      <c r="AW83" s="258"/>
      <c r="AX83" s="194"/>
      <c r="AY83" s="61"/>
      <c r="AZ83" s="61"/>
      <c r="BA83" s="81"/>
      <c r="BB83" s="81"/>
      <c r="BC83" s="61"/>
      <c r="BD83" s="291"/>
      <c r="BE83" s="258"/>
      <c r="BF83" s="282"/>
      <c r="BG83" s="283"/>
      <c r="BH83" s="283"/>
      <c r="BI83" s="331"/>
      <c r="BJ83" s="331"/>
      <c r="BK83" s="300"/>
      <c r="BL83" s="313"/>
    </row>
    <row r="84" ht="22.5" customHeight="1">
      <c r="A84" s="263"/>
      <c r="B84" s="341">
        <v>46118.0</v>
      </c>
      <c r="C84" s="109" t="s">
        <v>2022</v>
      </c>
      <c r="D84" s="109" t="s">
        <v>2023</v>
      </c>
      <c r="E84" s="58" t="s">
        <v>16</v>
      </c>
      <c r="F84" s="58" t="s">
        <v>9</v>
      </c>
      <c r="G84" s="61"/>
      <c r="H84" s="269" t="b">
        <v>1</v>
      </c>
      <c r="I84" s="258"/>
      <c r="J84" s="270">
        <v>46114.0</v>
      </c>
      <c r="K84" s="109" t="s">
        <v>2024</v>
      </c>
      <c r="L84" s="109" t="s">
        <v>2025</v>
      </c>
      <c r="M84" s="58" t="s">
        <v>11</v>
      </c>
      <c r="N84" s="58" t="s">
        <v>20</v>
      </c>
      <c r="O84" s="61"/>
      <c r="P84" s="269" t="b">
        <v>1</v>
      </c>
      <c r="Q84" s="258"/>
      <c r="R84" s="270">
        <v>46125.0</v>
      </c>
      <c r="S84" s="312" t="s">
        <v>2026</v>
      </c>
      <c r="T84" s="109" t="s">
        <v>2027</v>
      </c>
      <c r="U84" s="58"/>
      <c r="V84" s="58" t="s">
        <v>958</v>
      </c>
      <c r="W84" s="109" t="s">
        <v>431</v>
      </c>
      <c r="X84" s="269" t="b">
        <v>0</v>
      </c>
      <c r="Y84" s="258"/>
      <c r="Z84" s="270">
        <v>46122.0</v>
      </c>
      <c r="AA84" s="109" t="s">
        <v>2028</v>
      </c>
      <c r="AB84" s="109" t="s">
        <v>2029</v>
      </c>
      <c r="AC84" s="58" t="s">
        <v>23</v>
      </c>
      <c r="AD84" s="58" t="s">
        <v>17</v>
      </c>
      <c r="AE84" s="61"/>
      <c r="AF84" s="269" t="b">
        <v>1</v>
      </c>
      <c r="AH84" s="314">
        <v>46133.0</v>
      </c>
      <c r="AI84" s="302" t="s">
        <v>2030</v>
      </c>
      <c r="AJ84" s="277" t="s">
        <v>2031</v>
      </c>
      <c r="AK84" s="303" t="s">
        <v>10</v>
      </c>
      <c r="AL84" s="303" t="s">
        <v>12</v>
      </c>
      <c r="AM84" s="290"/>
      <c r="AN84" s="281" t="b">
        <v>1</v>
      </c>
      <c r="AO84" s="258"/>
      <c r="AP84" s="282"/>
      <c r="AQ84" s="283"/>
      <c r="AR84" s="283"/>
      <c r="AS84" s="331"/>
      <c r="AT84" s="331"/>
      <c r="AU84" s="300"/>
      <c r="AV84" s="313"/>
      <c r="AW84" s="258"/>
      <c r="AX84" s="194"/>
      <c r="AY84" s="61"/>
      <c r="AZ84" s="61"/>
      <c r="BA84" s="81"/>
      <c r="BB84" s="81"/>
      <c r="BC84" s="61"/>
      <c r="BD84" s="291"/>
      <c r="BE84" s="258"/>
      <c r="BF84" s="282"/>
      <c r="BG84" s="283"/>
      <c r="BH84" s="283"/>
      <c r="BI84" s="331"/>
      <c r="BJ84" s="331"/>
      <c r="BK84" s="300"/>
      <c r="BL84" s="313"/>
    </row>
    <row r="85" ht="22.5" customHeight="1">
      <c r="A85" s="263"/>
      <c r="B85" s="341">
        <v>46118.0</v>
      </c>
      <c r="C85" s="109" t="s">
        <v>2032</v>
      </c>
      <c r="D85" s="109" t="s">
        <v>2033</v>
      </c>
      <c r="E85" s="58" t="s">
        <v>950</v>
      </c>
      <c r="F85" s="58" t="s">
        <v>14</v>
      </c>
      <c r="G85" s="61"/>
      <c r="H85" s="269" t="b">
        <v>1</v>
      </c>
      <c r="I85" s="258"/>
      <c r="J85" s="270">
        <v>46114.0</v>
      </c>
      <c r="K85" s="109" t="s">
        <v>2034</v>
      </c>
      <c r="L85" s="109" t="s">
        <v>2035</v>
      </c>
      <c r="M85" s="58" t="s">
        <v>11</v>
      </c>
      <c r="N85" s="58" t="s">
        <v>20</v>
      </c>
      <c r="O85" s="61"/>
      <c r="P85" s="269" t="b">
        <v>1</v>
      </c>
      <c r="Q85" s="258"/>
      <c r="R85" s="270">
        <v>46125.0</v>
      </c>
      <c r="S85" s="312" t="s">
        <v>2036</v>
      </c>
      <c r="T85" s="109" t="s">
        <v>2037</v>
      </c>
      <c r="U85" s="58" t="s">
        <v>22</v>
      </c>
      <c r="V85" s="58" t="s">
        <v>12</v>
      </c>
      <c r="W85" s="61"/>
      <c r="X85" s="269" t="b">
        <v>1</v>
      </c>
      <c r="Y85" s="258"/>
      <c r="Z85" s="270">
        <v>46122.0</v>
      </c>
      <c r="AA85" s="109" t="s">
        <v>2038</v>
      </c>
      <c r="AB85" s="109" t="s">
        <v>2039</v>
      </c>
      <c r="AC85" s="58" t="s">
        <v>11</v>
      </c>
      <c r="AD85" s="58" t="s">
        <v>20</v>
      </c>
      <c r="AE85" s="61"/>
      <c r="AF85" s="269" t="b">
        <v>1</v>
      </c>
      <c r="AH85" s="314">
        <v>46133.0</v>
      </c>
      <c r="AI85" s="302" t="s">
        <v>2040</v>
      </c>
      <c r="AJ85" s="277" t="s">
        <v>2041</v>
      </c>
      <c r="AK85" s="303" t="s">
        <v>10</v>
      </c>
      <c r="AL85" s="303" t="s">
        <v>12</v>
      </c>
      <c r="AM85" s="290"/>
      <c r="AN85" s="281" t="b">
        <v>1</v>
      </c>
      <c r="AO85" s="258"/>
      <c r="AP85" s="282"/>
      <c r="AQ85" s="283"/>
      <c r="AR85" s="283"/>
      <c r="AS85" s="331"/>
      <c r="AT85" s="331"/>
      <c r="AU85" s="300"/>
      <c r="AV85" s="313"/>
      <c r="AW85" s="258"/>
      <c r="AX85" s="194"/>
      <c r="AY85" s="61"/>
      <c r="AZ85" s="61"/>
      <c r="BA85" s="81"/>
      <c r="BB85" s="81"/>
      <c r="BC85" s="61"/>
      <c r="BD85" s="291"/>
      <c r="BE85" s="258"/>
      <c r="BF85" s="282"/>
      <c r="BG85" s="283"/>
      <c r="BH85" s="283"/>
      <c r="BI85" s="331"/>
      <c r="BJ85" s="331"/>
      <c r="BK85" s="300"/>
      <c r="BL85" s="313"/>
    </row>
    <row r="86" ht="22.5" customHeight="1">
      <c r="A86" s="263"/>
      <c r="B86" s="270">
        <v>46119.0</v>
      </c>
      <c r="C86" s="109" t="s">
        <v>2042</v>
      </c>
      <c r="D86" s="109" t="s">
        <v>2043</v>
      </c>
      <c r="E86" s="58" t="s">
        <v>950</v>
      </c>
      <c r="F86" s="58" t="s">
        <v>14</v>
      </c>
      <c r="G86" s="61"/>
      <c r="H86" s="269" t="b">
        <v>1</v>
      </c>
      <c r="I86" s="258"/>
      <c r="J86" s="270">
        <v>46114.0</v>
      </c>
      <c r="K86" s="109" t="s">
        <v>2044</v>
      </c>
      <c r="L86" s="109" t="s">
        <v>2045</v>
      </c>
      <c r="M86" s="58" t="s">
        <v>11</v>
      </c>
      <c r="N86" s="58" t="s">
        <v>20</v>
      </c>
      <c r="O86" s="61"/>
      <c r="P86" s="269" t="b">
        <v>1</v>
      </c>
      <c r="Q86" s="258"/>
      <c r="R86" s="270">
        <v>46125.0</v>
      </c>
      <c r="S86" s="109" t="s">
        <v>2046</v>
      </c>
      <c r="T86" s="109" t="s">
        <v>2047</v>
      </c>
      <c r="U86" s="58" t="s">
        <v>22</v>
      </c>
      <c r="V86" s="58" t="s">
        <v>12</v>
      </c>
      <c r="W86" s="61"/>
      <c r="X86" s="269" t="b">
        <v>1</v>
      </c>
      <c r="Y86" s="258"/>
      <c r="Z86" s="270">
        <v>46122.0</v>
      </c>
      <c r="AA86" s="109" t="s">
        <v>2048</v>
      </c>
      <c r="AB86" s="109" t="s">
        <v>2049</v>
      </c>
      <c r="AC86" s="58" t="s">
        <v>11</v>
      </c>
      <c r="AD86" s="58" t="s">
        <v>20</v>
      </c>
      <c r="AE86" s="61"/>
      <c r="AF86" s="269" t="b">
        <v>1</v>
      </c>
      <c r="AH86" s="314">
        <v>46133.0</v>
      </c>
      <c r="AI86" s="302" t="s">
        <v>2050</v>
      </c>
      <c r="AJ86" s="277" t="s">
        <v>2051</v>
      </c>
      <c r="AK86" s="303" t="s">
        <v>10</v>
      </c>
      <c r="AL86" s="303" t="s">
        <v>12</v>
      </c>
      <c r="AM86" s="290"/>
      <c r="AN86" s="281" t="b">
        <v>1</v>
      </c>
      <c r="AO86" s="258"/>
      <c r="AP86" s="282"/>
      <c r="AQ86" s="283"/>
      <c r="AR86" s="283"/>
      <c r="AS86" s="331"/>
      <c r="AT86" s="331"/>
      <c r="AU86" s="300"/>
      <c r="AV86" s="313"/>
      <c r="AW86" s="258"/>
      <c r="AX86" s="194"/>
      <c r="AY86" s="61"/>
      <c r="AZ86" s="61"/>
      <c r="BA86" s="81"/>
      <c r="BB86" s="81"/>
      <c r="BC86" s="61"/>
      <c r="BD86" s="291"/>
      <c r="BE86" s="258"/>
      <c r="BF86" s="282"/>
      <c r="BG86" s="283"/>
      <c r="BH86" s="283"/>
      <c r="BI86" s="331"/>
      <c r="BJ86" s="331"/>
      <c r="BK86" s="300"/>
      <c r="BL86" s="313"/>
    </row>
    <row r="87" ht="22.5" customHeight="1">
      <c r="A87" s="263"/>
      <c r="B87" s="270">
        <v>46119.0</v>
      </c>
      <c r="C87" s="109" t="s">
        <v>2052</v>
      </c>
      <c r="D87" s="109" t="s">
        <v>2053</v>
      </c>
      <c r="E87" s="58" t="s">
        <v>950</v>
      </c>
      <c r="F87" s="58" t="s">
        <v>14</v>
      </c>
      <c r="G87" s="61"/>
      <c r="H87" s="269" t="b">
        <v>1</v>
      </c>
      <c r="I87" s="258"/>
      <c r="J87" s="270">
        <v>46114.0</v>
      </c>
      <c r="K87" s="109" t="s">
        <v>2054</v>
      </c>
      <c r="L87" s="109" t="s">
        <v>2055</v>
      </c>
      <c r="M87" s="58" t="s">
        <v>23</v>
      </c>
      <c r="N87" s="58" t="s">
        <v>20</v>
      </c>
      <c r="O87" s="61"/>
      <c r="P87" s="269" t="b">
        <v>1</v>
      </c>
      <c r="Q87" s="258"/>
      <c r="R87" s="270">
        <v>46125.0</v>
      </c>
      <c r="S87" s="109" t="s">
        <v>2056</v>
      </c>
      <c r="T87" s="109" t="s">
        <v>2057</v>
      </c>
      <c r="U87" s="58" t="s">
        <v>22</v>
      </c>
      <c r="V87" s="58" t="s">
        <v>12</v>
      </c>
      <c r="W87" s="61"/>
      <c r="X87" s="269" t="b">
        <v>1</v>
      </c>
      <c r="Y87" s="258"/>
      <c r="Z87" s="270">
        <v>46122.0</v>
      </c>
      <c r="AA87" s="109" t="s">
        <v>2058</v>
      </c>
      <c r="AB87" s="109" t="s">
        <v>2059</v>
      </c>
      <c r="AC87" s="58" t="s">
        <v>11</v>
      </c>
      <c r="AD87" s="58" t="s">
        <v>20</v>
      </c>
      <c r="AE87" s="61"/>
      <c r="AF87" s="269" t="b">
        <v>1</v>
      </c>
      <c r="AH87" s="314">
        <v>46133.0</v>
      </c>
      <c r="AI87" s="302" t="s">
        <v>2060</v>
      </c>
      <c r="AJ87" s="277" t="s">
        <v>2061</v>
      </c>
      <c r="AK87" s="303" t="s">
        <v>22</v>
      </c>
      <c r="AL87" s="303" t="s">
        <v>958</v>
      </c>
      <c r="AM87" s="290"/>
      <c r="AN87" s="281" t="b">
        <v>1</v>
      </c>
      <c r="AO87" s="258"/>
      <c r="AP87" s="282"/>
      <c r="AQ87" s="283"/>
      <c r="AR87" s="283"/>
      <c r="AS87" s="331"/>
      <c r="AT87" s="331"/>
      <c r="AU87" s="300"/>
      <c r="AV87" s="313"/>
      <c r="AW87" s="258"/>
      <c r="AX87" s="194"/>
      <c r="AY87" s="61"/>
      <c r="AZ87" s="61"/>
      <c r="BA87" s="81"/>
      <c r="BB87" s="81"/>
      <c r="BC87" s="61"/>
      <c r="BD87" s="291"/>
      <c r="BE87" s="258"/>
      <c r="BF87" s="282"/>
      <c r="BG87" s="283"/>
      <c r="BH87" s="283"/>
      <c r="BI87" s="331"/>
      <c r="BJ87" s="331"/>
      <c r="BK87" s="300"/>
      <c r="BL87" s="313"/>
    </row>
    <row r="88" ht="22.5" customHeight="1">
      <c r="A88" s="263"/>
      <c r="B88" s="270">
        <v>46119.0</v>
      </c>
      <c r="C88" s="109" t="s">
        <v>2062</v>
      </c>
      <c r="D88" s="109" t="s">
        <v>2063</v>
      </c>
      <c r="E88" s="58" t="s">
        <v>10</v>
      </c>
      <c r="F88" s="58" t="s">
        <v>20</v>
      </c>
      <c r="G88" s="61"/>
      <c r="H88" s="269" t="b">
        <v>1</v>
      </c>
      <c r="I88" s="258"/>
      <c r="J88" s="332">
        <v>46114.0</v>
      </c>
      <c r="K88" s="333" t="s">
        <v>2064</v>
      </c>
      <c r="L88" s="333" t="s">
        <v>2065</v>
      </c>
      <c r="M88" s="334"/>
      <c r="N88" s="343"/>
      <c r="O88" s="333" t="s">
        <v>2066</v>
      </c>
      <c r="P88" s="335" t="b">
        <v>0</v>
      </c>
      <c r="Q88" s="258"/>
      <c r="R88" s="270">
        <v>46125.0</v>
      </c>
      <c r="S88" s="109" t="s">
        <v>2067</v>
      </c>
      <c r="T88" s="109" t="s">
        <v>2068</v>
      </c>
      <c r="U88" s="58" t="s">
        <v>22</v>
      </c>
      <c r="V88" s="58" t="s">
        <v>12</v>
      </c>
      <c r="W88" s="61"/>
      <c r="X88" s="269" t="b">
        <v>1</v>
      </c>
      <c r="Y88" s="258"/>
      <c r="Z88" s="270">
        <v>46122.0</v>
      </c>
      <c r="AA88" s="109" t="s">
        <v>2069</v>
      </c>
      <c r="AB88" s="109" t="s">
        <v>2070</v>
      </c>
      <c r="AC88" s="58" t="s">
        <v>11</v>
      </c>
      <c r="AD88" s="58" t="s">
        <v>20</v>
      </c>
      <c r="AE88" s="61"/>
      <c r="AF88" s="269" t="b">
        <v>1</v>
      </c>
      <c r="AH88" s="314">
        <v>46133.0</v>
      </c>
      <c r="AI88" s="302" t="s">
        <v>2071</v>
      </c>
      <c r="AJ88" s="277" t="s">
        <v>2072</v>
      </c>
      <c r="AK88" s="303" t="s">
        <v>22</v>
      </c>
      <c r="AL88" s="303" t="s">
        <v>958</v>
      </c>
      <c r="AM88" s="290"/>
      <c r="AN88" s="281" t="b">
        <v>1</v>
      </c>
      <c r="AO88" s="258"/>
      <c r="AP88" s="282"/>
      <c r="AQ88" s="283"/>
      <c r="AR88" s="283"/>
      <c r="AS88" s="331"/>
      <c r="AT88" s="331"/>
      <c r="AU88" s="300"/>
      <c r="AV88" s="313"/>
      <c r="AW88" s="258"/>
      <c r="AX88" s="194"/>
      <c r="AY88" s="61"/>
      <c r="AZ88" s="61"/>
      <c r="BA88" s="81"/>
      <c r="BB88" s="81"/>
      <c r="BC88" s="61"/>
      <c r="BD88" s="291"/>
      <c r="BE88" s="258"/>
      <c r="BF88" s="282"/>
      <c r="BG88" s="283"/>
      <c r="BH88" s="283"/>
      <c r="BI88" s="331"/>
      <c r="BJ88" s="331"/>
      <c r="BK88" s="300"/>
      <c r="BL88" s="313"/>
    </row>
    <row r="89" ht="22.5" customHeight="1">
      <c r="A89" s="263"/>
      <c r="B89" s="270">
        <v>46119.0</v>
      </c>
      <c r="C89" s="109" t="s">
        <v>2073</v>
      </c>
      <c r="D89" s="109" t="s">
        <v>2074</v>
      </c>
      <c r="E89" s="58" t="s">
        <v>10</v>
      </c>
      <c r="F89" s="58" t="s">
        <v>20</v>
      </c>
      <c r="G89" s="61"/>
      <c r="H89" s="269" t="b">
        <v>1</v>
      </c>
      <c r="I89" s="258"/>
      <c r="J89" s="270">
        <v>46114.0</v>
      </c>
      <c r="K89" s="109" t="s">
        <v>2075</v>
      </c>
      <c r="L89" s="109" t="s">
        <v>2076</v>
      </c>
      <c r="M89" s="58"/>
      <c r="N89" s="344"/>
      <c r="O89" s="109" t="s">
        <v>2077</v>
      </c>
      <c r="P89" s="269" t="b">
        <v>0</v>
      </c>
      <c r="Q89" s="258"/>
      <c r="R89" s="270">
        <v>46125.0</v>
      </c>
      <c r="S89" s="109" t="s">
        <v>2078</v>
      </c>
      <c r="T89" s="109" t="s">
        <v>2079</v>
      </c>
      <c r="U89" s="58" t="s">
        <v>22</v>
      </c>
      <c r="V89" s="58" t="s">
        <v>12</v>
      </c>
      <c r="W89" s="61"/>
      <c r="X89" s="269" t="b">
        <v>1</v>
      </c>
      <c r="Y89" s="258"/>
      <c r="Z89" s="270">
        <v>46122.0</v>
      </c>
      <c r="AA89" s="109" t="s">
        <v>2080</v>
      </c>
      <c r="AB89" s="109" t="s">
        <v>2081</v>
      </c>
      <c r="AC89" s="58" t="s">
        <v>11</v>
      </c>
      <c r="AD89" s="58" t="s">
        <v>20</v>
      </c>
      <c r="AE89" s="61"/>
      <c r="AF89" s="269" t="b">
        <v>1</v>
      </c>
      <c r="AH89" s="314">
        <v>46133.0</v>
      </c>
      <c r="AI89" s="302" t="s">
        <v>2082</v>
      </c>
      <c r="AJ89" s="277" t="s">
        <v>2083</v>
      </c>
      <c r="AK89" s="303" t="s">
        <v>22</v>
      </c>
      <c r="AL89" s="303" t="s">
        <v>958</v>
      </c>
      <c r="AM89" s="290"/>
      <c r="AN89" s="281" t="b">
        <v>1</v>
      </c>
      <c r="AO89" s="258"/>
      <c r="AP89" s="282"/>
      <c r="AQ89" s="283"/>
      <c r="AR89" s="283"/>
      <c r="AS89" s="331"/>
      <c r="AT89" s="331"/>
      <c r="AU89" s="300"/>
      <c r="AV89" s="313"/>
      <c r="AW89" s="258"/>
      <c r="AX89" s="194"/>
      <c r="AY89" s="61"/>
      <c r="AZ89" s="61"/>
      <c r="BA89" s="81"/>
      <c r="BB89" s="81"/>
      <c r="BC89" s="61"/>
      <c r="BD89" s="291"/>
      <c r="BE89" s="258"/>
      <c r="BF89" s="282"/>
      <c r="BG89" s="283"/>
      <c r="BH89" s="283"/>
      <c r="BI89" s="331"/>
      <c r="BJ89" s="331"/>
      <c r="BK89" s="300"/>
      <c r="BL89" s="313"/>
    </row>
    <row r="90" ht="22.5" customHeight="1">
      <c r="A90" s="263"/>
      <c r="B90" s="270">
        <v>46119.0</v>
      </c>
      <c r="C90" s="109" t="s">
        <v>2084</v>
      </c>
      <c r="D90" s="109" t="s">
        <v>2085</v>
      </c>
      <c r="E90" s="58" t="s">
        <v>10</v>
      </c>
      <c r="F90" s="58" t="s">
        <v>20</v>
      </c>
      <c r="G90" s="61"/>
      <c r="H90" s="269" t="b">
        <v>1</v>
      </c>
      <c r="I90" s="258"/>
      <c r="J90" s="270">
        <v>46114.0</v>
      </c>
      <c r="K90" s="109" t="s">
        <v>2075</v>
      </c>
      <c r="L90" s="109" t="s">
        <v>2076</v>
      </c>
      <c r="M90" s="58" t="s">
        <v>15</v>
      </c>
      <c r="N90" s="58" t="s">
        <v>14</v>
      </c>
      <c r="O90" s="61"/>
      <c r="P90" s="269" t="b">
        <v>1</v>
      </c>
      <c r="Q90" s="258"/>
      <c r="R90" s="270">
        <v>46125.0</v>
      </c>
      <c r="S90" s="109" t="s">
        <v>2086</v>
      </c>
      <c r="T90" s="109" t="s">
        <v>2087</v>
      </c>
      <c r="U90" s="58" t="s">
        <v>22</v>
      </c>
      <c r="V90" s="58" t="s">
        <v>12</v>
      </c>
      <c r="W90" s="61"/>
      <c r="X90" s="269" t="b">
        <v>1</v>
      </c>
      <c r="Y90" s="258"/>
      <c r="Z90" s="270">
        <v>46122.0</v>
      </c>
      <c r="AA90" s="109" t="s">
        <v>2088</v>
      </c>
      <c r="AB90" s="109" t="s">
        <v>2089</v>
      </c>
      <c r="AC90" s="58" t="s">
        <v>11</v>
      </c>
      <c r="AD90" s="58" t="s">
        <v>14</v>
      </c>
      <c r="AE90" s="61"/>
      <c r="AF90" s="269" t="b">
        <v>1</v>
      </c>
      <c r="AH90" s="314">
        <v>46133.0</v>
      </c>
      <c r="AI90" s="302" t="s">
        <v>2090</v>
      </c>
      <c r="AJ90" s="277" t="s">
        <v>2091</v>
      </c>
      <c r="AK90" s="303" t="s">
        <v>22</v>
      </c>
      <c r="AL90" s="303" t="s">
        <v>958</v>
      </c>
      <c r="AM90" s="290"/>
      <c r="AN90" s="281" t="b">
        <v>1</v>
      </c>
      <c r="AO90" s="258"/>
      <c r="AP90" s="282"/>
      <c r="AQ90" s="300"/>
      <c r="AR90" s="283"/>
      <c r="AS90" s="331"/>
      <c r="AT90" s="331"/>
      <c r="AU90" s="300"/>
      <c r="AV90" s="313"/>
      <c r="AW90" s="258"/>
      <c r="AX90" s="194"/>
      <c r="AY90" s="61"/>
      <c r="AZ90" s="61"/>
      <c r="BA90" s="81"/>
      <c r="BB90" s="81"/>
      <c r="BC90" s="61"/>
      <c r="BD90" s="291"/>
      <c r="BE90" s="258"/>
      <c r="BF90" s="282"/>
      <c r="BG90" s="300"/>
      <c r="BH90" s="283"/>
      <c r="BI90" s="331"/>
      <c r="BJ90" s="331"/>
      <c r="BK90" s="300"/>
      <c r="BL90" s="313"/>
    </row>
    <row r="91" ht="22.5" customHeight="1">
      <c r="A91" s="263"/>
      <c r="B91" s="270">
        <v>46119.0</v>
      </c>
      <c r="C91" s="109" t="s">
        <v>2092</v>
      </c>
      <c r="D91" s="109" t="s">
        <v>2093</v>
      </c>
      <c r="E91" s="58" t="s">
        <v>950</v>
      </c>
      <c r="F91" s="58" t="s">
        <v>14</v>
      </c>
      <c r="G91" s="61"/>
      <c r="H91" s="269" t="b">
        <v>1</v>
      </c>
      <c r="I91" s="258"/>
      <c r="J91" s="270">
        <v>46114.0</v>
      </c>
      <c r="K91" s="109" t="s">
        <v>2094</v>
      </c>
      <c r="L91" s="109" t="s">
        <v>2095</v>
      </c>
      <c r="M91" s="58" t="s">
        <v>15</v>
      </c>
      <c r="N91" s="58" t="s">
        <v>14</v>
      </c>
      <c r="O91" s="61"/>
      <c r="P91" s="269" t="b">
        <v>1</v>
      </c>
      <c r="Q91" s="258"/>
      <c r="R91" s="270">
        <v>46125.0</v>
      </c>
      <c r="S91" s="109" t="s">
        <v>2096</v>
      </c>
      <c r="T91" s="109" t="s">
        <v>2097</v>
      </c>
      <c r="U91" s="58" t="s">
        <v>22</v>
      </c>
      <c r="V91" s="58" t="s">
        <v>12</v>
      </c>
      <c r="W91" s="61"/>
      <c r="X91" s="269" t="b">
        <v>1</v>
      </c>
      <c r="Y91" s="258"/>
      <c r="Z91" s="270">
        <v>46122.0</v>
      </c>
      <c r="AA91" s="109" t="s">
        <v>2098</v>
      </c>
      <c r="AB91" s="109" t="s">
        <v>2099</v>
      </c>
      <c r="AC91" s="58" t="s">
        <v>23</v>
      </c>
      <c r="AD91" s="58" t="s">
        <v>14</v>
      </c>
      <c r="AE91" s="61"/>
      <c r="AF91" s="269" t="b">
        <v>1</v>
      </c>
      <c r="AH91" s="314">
        <v>46133.0</v>
      </c>
      <c r="AI91" s="302" t="s">
        <v>2100</v>
      </c>
      <c r="AJ91" s="277" t="s">
        <v>2101</v>
      </c>
      <c r="AK91" s="303" t="s">
        <v>22</v>
      </c>
      <c r="AL91" s="303" t="s">
        <v>958</v>
      </c>
      <c r="AM91" s="290"/>
      <c r="AN91" s="281" t="b">
        <v>1</v>
      </c>
      <c r="AO91" s="258"/>
      <c r="AP91" s="282"/>
      <c r="AQ91" s="300"/>
      <c r="AR91" s="300"/>
      <c r="AS91" s="345"/>
      <c r="AT91" s="331"/>
      <c r="AU91" s="300"/>
      <c r="AV91" s="313"/>
      <c r="AW91" s="258"/>
      <c r="AX91" s="194"/>
      <c r="AY91" s="61"/>
      <c r="AZ91" s="61"/>
      <c r="BA91" s="81"/>
      <c r="BB91" s="81"/>
      <c r="BC91" s="61"/>
      <c r="BD91" s="291"/>
      <c r="BE91" s="258"/>
      <c r="BF91" s="282"/>
      <c r="BG91" s="300"/>
      <c r="BH91" s="300"/>
      <c r="BI91" s="345"/>
      <c r="BJ91" s="331"/>
      <c r="BK91" s="300"/>
      <c r="BL91" s="313"/>
    </row>
    <row r="92" ht="22.5" customHeight="1">
      <c r="A92" s="263"/>
      <c r="B92" s="270">
        <v>46119.0</v>
      </c>
      <c r="C92" s="109" t="s">
        <v>2102</v>
      </c>
      <c r="D92" s="109" t="s">
        <v>2103</v>
      </c>
      <c r="E92" s="58" t="s">
        <v>32</v>
      </c>
      <c r="F92" s="271" t="s">
        <v>9</v>
      </c>
      <c r="G92" s="61"/>
      <c r="H92" s="269" t="b">
        <v>1</v>
      </c>
      <c r="I92" s="258"/>
      <c r="J92" s="270">
        <v>46114.0</v>
      </c>
      <c r="K92" s="109" t="s">
        <v>2104</v>
      </c>
      <c r="L92" s="109" t="s">
        <v>2105</v>
      </c>
      <c r="M92" s="58" t="s">
        <v>15</v>
      </c>
      <c r="N92" s="58" t="s">
        <v>14</v>
      </c>
      <c r="O92" s="61"/>
      <c r="P92" s="269" t="b">
        <v>1</v>
      </c>
      <c r="Q92" s="258"/>
      <c r="R92" s="270">
        <v>46125.0</v>
      </c>
      <c r="S92" s="109" t="s">
        <v>2106</v>
      </c>
      <c r="T92" s="109" t="s">
        <v>2107</v>
      </c>
      <c r="U92" s="58" t="s">
        <v>22</v>
      </c>
      <c r="V92" s="58" t="s">
        <v>12</v>
      </c>
      <c r="W92" s="61"/>
      <c r="X92" s="269" t="b">
        <v>1</v>
      </c>
      <c r="Y92" s="258"/>
      <c r="Z92" s="270">
        <v>46122.0</v>
      </c>
      <c r="AA92" s="109" t="s">
        <v>2108</v>
      </c>
      <c r="AB92" s="109" t="s">
        <v>2109</v>
      </c>
      <c r="AC92" s="58" t="s">
        <v>11</v>
      </c>
      <c r="AD92" s="58" t="s">
        <v>14</v>
      </c>
      <c r="AE92" s="61"/>
      <c r="AF92" s="269" t="b">
        <v>1</v>
      </c>
      <c r="AH92" s="314">
        <v>46133.0</v>
      </c>
      <c r="AI92" s="302" t="s">
        <v>2110</v>
      </c>
      <c r="AJ92" s="277" t="s">
        <v>2111</v>
      </c>
      <c r="AK92" s="303" t="s">
        <v>22</v>
      </c>
      <c r="AL92" s="303" t="s">
        <v>14</v>
      </c>
      <c r="AM92" s="290"/>
      <c r="AN92" s="281" t="b">
        <v>1</v>
      </c>
      <c r="AO92" s="258"/>
      <c r="AP92" s="282"/>
      <c r="AQ92" s="300"/>
      <c r="AR92" s="300"/>
      <c r="AS92" s="345"/>
      <c r="AT92" s="331"/>
      <c r="AU92" s="300"/>
      <c r="AV92" s="313"/>
      <c r="AW92" s="258"/>
      <c r="AX92" s="194"/>
      <c r="AY92" s="61"/>
      <c r="AZ92" s="61"/>
      <c r="BA92" s="81"/>
      <c r="BB92" s="81"/>
      <c r="BC92" s="61"/>
      <c r="BD92" s="291"/>
      <c r="BE92" s="258"/>
      <c r="BF92" s="282"/>
      <c r="BG92" s="300"/>
      <c r="BH92" s="300"/>
      <c r="BI92" s="345"/>
      <c r="BJ92" s="331"/>
      <c r="BK92" s="300"/>
      <c r="BL92" s="313"/>
    </row>
    <row r="93" ht="22.5" customHeight="1">
      <c r="A93" s="263"/>
      <c r="B93" s="292">
        <v>46119.0</v>
      </c>
      <c r="C93" s="109" t="s">
        <v>2112</v>
      </c>
      <c r="D93" s="109" t="s">
        <v>2113</v>
      </c>
      <c r="E93" s="58" t="s">
        <v>950</v>
      </c>
      <c r="F93" s="271" t="s">
        <v>9</v>
      </c>
      <c r="G93" s="61"/>
      <c r="H93" s="269" t="b">
        <v>1</v>
      </c>
      <c r="I93" s="258"/>
      <c r="J93" s="270">
        <v>46114.0</v>
      </c>
      <c r="K93" s="109" t="s">
        <v>2114</v>
      </c>
      <c r="L93" s="109" t="s">
        <v>2115</v>
      </c>
      <c r="M93" s="58" t="s">
        <v>15</v>
      </c>
      <c r="N93" s="58" t="s">
        <v>14</v>
      </c>
      <c r="O93" s="61"/>
      <c r="P93" s="269" t="b">
        <v>1</v>
      </c>
      <c r="Q93" s="258"/>
      <c r="R93" s="270">
        <v>46125.0</v>
      </c>
      <c r="S93" s="109" t="s">
        <v>2116</v>
      </c>
      <c r="T93" s="109" t="s">
        <v>2117</v>
      </c>
      <c r="U93" s="58" t="s">
        <v>22</v>
      </c>
      <c r="V93" s="58" t="s">
        <v>12</v>
      </c>
      <c r="W93" s="109" t="s">
        <v>2118</v>
      </c>
      <c r="X93" s="269" t="b">
        <v>0</v>
      </c>
      <c r="Y93" s="258"/>
      <c r="Z93" s="270">
        <v>46122.0</v>
      </c>
      <c r="AA93" s="109" t="s">
        <v>2119</v>
      </c>
      <c r="AB93" s="109" t="s">
        <v>2120</v>
      </c>
      <c r="AC93" s="58" t="s">
        <v>11</v>
      </c>
      <c r="AD93" s="58" t="s">
        <v>14</v>
      </c>
      <c r="AE93" s="61"/>
      <c r="AF93" s="269" t="b">
        <v>1</v>
      </c>
      <c r="AH93" s="314">
        <v>46133.0</v>
      </c>
      <c r="AI93" s="302" t="s">
        <v>2121</v>
      </c>
      <c r="AJ93" s="277" t="s">
        <v>2122</v>
      </c>
      <c r="AK93" s="303" t="s">
        <v>22</v>
      </c>
      <c r="AL93" s="303" t="s">
        <v>14</v>
      </c>
      <c r="AM93" s="290"/>
      <c r="AN93" s="281" t="b">
        <v>1</v>
      </c>
      <c r="AO93" s="258"/>
      <c r="AP93" s="346"/>
      <c r="AQ93" s="300"/>
      <c r="AR93" s="300"/>
      <c r="AS93" s="345"/>
      <c r="AT93" s="331"/>
      <c r="AU93" s="300"/>
      <c r="AV93" s="313"/>
      <c r="AW93" s="258"/>
      <c r="AX93" s="194"/>
      <c r="AY93" s="61"/>
      <c r="AZ93" s="61"/>
      <c r="BA93" s="81"/>
      <c r="BB93" s="81"/>
      <c r="BC93" s="61"/>
      <c r="BD93" s="291"/>
      <c r="BE93" s="258"/>
      <c r="BF93" s="346"/>
      <c r="BG93" s="300"/>
      <c r="BH93" s="300"/>
      <c r="BI93" s="345"/>
      <c r="BJ93" s="331"/>
      <c r="BK93" s="300"/>
      <c r="BL93" s="313"/>
    </row>
    <row r="94" ht="22.5" customHeight="1">
      <c r="A94" s="263"/>
      <c r="B94" s="194"/>
      <c r="C94" s="61"/>
      <c r="D94" s="61"/>
      <c r="E94" s="81"/>
      <c r="F94" s="81"/>
      <c r="G94" s="61"/>
      <c r="H94" s="269" t="b">
        <v>0</v>
      </c>
      <c r="I94" s="258"/>
      <c r="J94" s="270">
        <v>46114.0</v>
      </c>
      <c r="K94" s="109" t="s">
        <v>2123</v>
      </c>
      <c r="L94" s="109" t="s">
        <v>2124</v>
      </c>
      <c r="M94" s="58" t="s">
        <v>15</v>
      </c>
      <c r="N94" s="58" t="s">
        <v>14</v>
      </c>
      <c r="O94" s="61"/>
      <c r="P94" s="269" t="b">
        <v>1</v>
      </c>
      <c r="Q94" s="258"/>
      <c r="R94" s="270">
        <v>46126.0</v>
      </c>
      <c r="S94" s="312" t="s">
        <v>2125</v>
      </c>
      <c r="T94" s="109" t="s">
        <v>2126</v>
      </c>
      <c r="U94" s="58" t="s">
        <v>22</v>
      </c>
      <c r="V94" s="58" t="s">
        <v>958</v>
      </c>
      <c r="W94" s="61"/>
      <c r="X94" s="269" t="b">
        <v>1</v>
      </c>
      <c r="Y94" s="258"/>
      <c r="Z94" s="270">
        <v>46122.0</v>
      </c>
      <c r="AA94" s="109" t="s">
        <v>2127</v>
      </c>
      <c r="AB94" s="109" t="s">
        <v>2128</v>
      </c>
      <c r="AC94" s="58" t="s">
        <v>23</v>
      </c>
      <c r="AD94" s="58" t="s">
        <v>14</v>
      </c>
      <c r="AE94" s="109" t="s">
        <v>2129</v>
      </c>
      <c r="AF94" s="298"/>
      <c r="AH94" s="314">
        <v>46133.0</v>
      </c>
      <c r="AI94" s="302" t="s">
        <v>2130</v>
      </c>
      <c r="AJ94" s="277" t="s">
        <v>2131</v>
      </c>
      <c r="AK94" s="303" t="s">
        <v>22</v>
      </c>
      <c r="AL94" s="303" t="s">
        <v>14</v>
      </c>
      <c r="AM94" s="290"/>
      <c r="AN94" s="281" t="b">
        <v>1</v>
      </c>
      <c r="AO94" s="258"/>
      <c r="AP94" s="346"/>
      <c r="AQ94" s="300"/>
      <c r="AR94" s="300"/>
      <c r="AS94" s="345"/>
      <c r="AT94" s="345"/>
      <c r="AU94" s="300"/>
      <c r="AV94" s="313"/>
      <c r="AW94" s="258"/>
      <c r="AX94" s="194"/>
      <c r="AY94" s="61"/>
      <c r="AZ94" s="61"/>
      <c r="BA94" s="81"/>
      <c r="BB94" s="81"/>
      <c r="BC94" s="61"/>
      <c r="BD94" s="291"/>
      <c r="BE94" s="258"/>
      <c r="BF94" s="346"/>
      <c r="BG94" s="300"/>
      <c r="BH94" s="300"/>
      <c r="BI94" s="345"/>
      <c r="BJ94" s="345"/>
      <c r="BK94" s="300"/>
      <c r="BL94" s="313"/>
    </row>
    <row r="95" ht="22.5" customHeight="1">
      <c r="A95" s="263"/>
      <c r="B95" s="194"/>
      <c r="C95" s="61"/>
      <c r="D95" s="61"/>
      <c r="E95" s="81"/>
      <c r="F95" s="81"/>
      <c r="G95" s="61"/>
      <c r="H95" s="269" t="b">
        <v>0</v>
      </c>
      <c r="I95" s="258"/>
      <c r="J95" s="270">
        <v>46119.0</v>
      </c>
      <c r="K95" s="109" t="s">
        <v>2132</v>
      </c>
      <c r="L95" s="347" t="s">
        <v>2133</v>
      </c>
      <c r="M95" s="271" t="s">
        <v>11</v>
      </c>
      <c r="N95" s="271" t="s">
        <v>20</v>
      </c>
      <c r="O95" s="61"/>
      <c r="P95" s="269" t="b">
        <v>1</v>
      </c>
      <c r="Q95" s="258"/>
      <c r="R95" s="270">
        <v>46126.0</v>
      </c>
      <c r="S95" s="312" t="s">
        <v>2134</v>
      </c>
      <c r="T95" s="109" t="s">
        <v>2135</v>
      </c>
      <c r="U95" s="58" t="s">
        <v>22</v>
      </c>
      <c r="V95" s="58" t="s">
        <v>958</v>
      </c>
      <c r="W95" s="61"/>
      <c r="X95" s="269" t="b">
        <v>1</v>
      </c>
      <c r="Y95" s="258"/>
      <c r="Z95" s="270">
        <v>46122.0</v>
      </c>
      <c r="AA95" s="109" t="s">
        <v>2136</v>
      </c>
      <c r="AB95" s="317" t="s">
        <v>2137</v>
      </c>
      <c r="AC95" s="58" t="s">
        <v>23</v>
      </c>
      <c r="AD95" s="58" t="s">
        <v>14</v>
      </c>
      <c r="AE95" s="61"/>
      <c r="AF95" s="269" t="b">
        <v>1</v>
      </c>
      <c r="AH95" s="314">
        <v>46133.0</v>
      </c>
      <c r="AI95" s="302" t="s">
        <v>2138</v>
      </c>
      <c r="AJ95" s="277" t="s">
        <v>2139</v>
      </c>
      <c r="AK95" s="303" t="s">
        <v>22</v>
      </c>
      <c r="AL95" s="303" t="s">
        <v>14</v>
      </c>
      <c r="AM95" s="290"/>
      <c r="AN95" s="281" t="b">
        <v>1</v>
      </c>
      <c r="AO95" s="258"/>
      <c r="AP95" s="346"/>
      <c r="AQ95" s="300"/>
      <c r="AR95" s="300"/>
      <c r="AS95" s="345"/>
      <c r="AT95" s="345"/>
      <c r="AU95" s="300"/>
      <c r="AV95" s="313"/>
      <c r="AW95" s="258"/>
      <c r="AX95" s="194"/>
      <c r="AY95" s="61"/>
      <c r="AZ95" s="61"/>
      <c r="BA95" s="81"/>
      <c r="BB95" s="81"/>
      <c r="BC95" s="61"/>
      <c r="BD95" s="291"/>
      <c r="BE95" s="258"/>
      <c r="BF95" s="346"/>
      <c r="BG95" s="300"/>
      <c r="BH95" s="300"/>
      <c r="BI95" s="345"/>
      <c r="BJ95" s="345"/>
      <c r="BK95" s="300"/>
      <c r="BL95" s="313"/>
    </row>
    <row r="96" ht="22.5" customHeight="1">
      <c r="A96" s="263"/>
      <c r="B96" s="194"/>
      <c r="C96" s="61"/>
      <c r="D96" s="61"/>
      <c r="E96" s="81"/>
      <c r="F96" s="81"/>
      <c r="G96" s="61"/>
      <c r="H96" s="269" t="b">
        <v>0</v>
      </c>
      <c r="I96" s="258"/>
      <c r="J96" s="270">
        <v>46119.0</v>
      </c>
      <c r="K96" s="109" t="s">
        <v>2140</v>
      </c>
      <c r="L96" s="348" t="s">
        <v>2141</v>
      </c>
      <c r="M96" s="271" t="s">
        <v>11</v>
      </c>
      <c r="N96" s="271" t="s">
        <v>20</v>
      </c>
      <c r="O96" s="61"/>
      <c r="P96" s="269" t="b">
        <v>1</v>
      </c>
      <c r="Q96" s="258"/>
      <c r="R96" s="270">
        <v>46126.0</v>
      </c>
      <c r="S96" s="312" t="s">
        <v>2142</v>
      </c>
      <c r="T96" s="109" t="s">
        <v>2143</v>
      </c>
      <c r="U96" s="58" t="s">
        <v>22</v>
      </c>
      <c r="V96" s="58" t="s">
        <v>958</v>
      </c>
      <c r="W96" s="61"/>
      <c r="X96" s="269" t="b">
        <v>1</v>
      </c>
      <c r="Y96" s="258"/>
      <c r="Z96" s="270">
        <v>46125.0</v>
      </c>
      <c r="AA96" s="109" t="s">
        <v>2144</v>
      </c>
      <c r="AB96" s="109" t="s">
        <v>2145</v>
      </c>
      <c r="AC96" s="58" t="s">
        <v>25</v>
      </c>
      <c r="AD96" s="58" t="s">
        <v>17</v>
      </c>
      <c r="AE96" s="61"/>
      <c r="AF96" s="269" t="b">
        <v>1</v>
      </c>
      <c r="AH96" s="314">
        <v>46133.0</v>
      </c>
      <c r="AI96" s="302" t="s">
        <v>2146</v>
      </c>
      <c r="AJ96" s="277" t="s">
        <v>2147</v>
      </c>
      <c r="AK96" s="303" t="s">
        <v>22</v>
      </c>
      <c r="AL96" s="303" t="s">
        <v>958</v>
      </c>
      <c r="AM96" s="290"/>
      <c r="AN96" s="281" t="b">
        <v>1</v>
      </c>
      <c r="AO96" s="258"/>
      <c r="AP96" s="346"/>
      <c r="AQ96" s="300"/>
      <c r="AR96" s="300"/>
      <c r="AS96" s="345"/>
      <c r="AT96" s="345"/>
      <c r="AU96" s="300"/>
      <c r="AV96" s="313"/>
      <c r="AW96" s="258"/>
      <c r="AX96" s="194"/>
      <c r="AY96" s="61"/>
      <c r="AZ96" s="61"/>
      <c r="BA96" s="81"/>
      <c r="BB96" s="81"/>
      <c r="BC96" s="61"/>
      <c r="BD96" s="291"/>
      <c r="BE96" s="258"/>
      <c r="BF96" s="346"/>
      <c r="BG96" s="300"/>
      <c r="BH96" s="300"/>
      <c r="BI96" s="345"/>
      <c r="BJ96" s="345"/>
      <c r="BK96" s="300"/>
      <c r="BL96" s="313"/>
    </row>
    <row r="97" ht="22.5" customHeight="1">
      <c r="A97" s="263"/>
      <c r="B97" s="194"/>
      <c r="C97" s="61"/>
      <c r="D97" s="61"/>
      <c r="E97" s="81"/>
      <c r="F97" s="81"/>
      <c r="G97" s="61"/>
      <c r="H97" s="269" t="b">
        <v>0</v>
      </c>
      <c r="I97" s="258"/>
      <c r="J97" s="270">
        <v>46119.0</v>
      </c>
      <c r="K97" s="109" t="s">
        <v>2148</v>
      </c>
      <c r="L97" s="109" t="s">
        <v>2149</v>
      </c>
      <c r="M97" s="271" t="s">
        <v>11</v>
      </c>
      <c r="N97" s="271" t="s">
        <v>20</v>
      </c>
      <c r="O97" s="61"/>
      <c r="P97" s="269" t="b">
        <v>1</v>
      </c>
      <c r="Q97" s="258"/>
      <c r="R97" s="270">
        <v>46126.0</v>
      </c>
      <c r="S97" s="312" t="s">
        <v>2150</v>
      </c>
      <c r="T97" s="109" t="s">
        <v>2151</v>
      </c>
      <c r="U97" s="58" t="s">
        <v>22</v>
      </c>
      <c r="V97" s="58" t="s">
        <v>958</v>
      </c>
      <c r="W97" s="61"/>
      <c r="X97" s="269" t="b">
        <v>1</v>
      </c>
      <c r="Y97" s="258"/>
      <c r="Z97" s="282">
        <v>46125.0</v>
      </c>
      <c r="AA97" s="283" t="s">
        <v>2152</v>
      </c>
      <c r="AB97" s="283" t="s">
        <v>2153</v>
      </c>
      <c r="AC97" s="299" t="s">
        <v>11</v>
      </c>
      <c r="AD97" s="285" t="s">
        <v>20</v>
      </c>
      <c r="AE97" s="283" t="s">
        <v>2154</v>
      </c>
      <c r="AF97" s="269" t="b">
        <v>1</v>
      </c>
      <c r="AH97" s="314">
        <v>46133.0</v>
      </c>
      <c r="AI97" s="302" t="s">
        <v>2155</v>
      </c>
      <c r="AJ97" s="277" t="s">
        <v>2156</v>
      </c>
      <c r="AK97" s="303" t="s">
        <v>22</v>
      </c>
      <c r="AL97" s="303" t="s">
        <v>14</v>
      </c>
      <c r="AM97" s="290"/>
      <c r="AN97" s="281" t="b">
        <v>1</v>
      </c>
      <c r="AO97" s="258"/>
      <c r="AP97" s="346"/>
      <c r="AQ97" s="300"/>
      <c r="AR97" s="300"/>
      <c r="AS97" s="345"/>
      <c r="AT97" s="345"/>
      <c r="AU97" s="300"/>
      <c r="AV97" s="313"/>
      <c r="AW97" s="258"/>
      <c r="AX97" s="194"/>
      <c r="AY97" s="61"/>
      <c r="AZ97" s="61"/>
      <c r="BA97" s="81"/>
      <c r="BB97" s="81"/>
      <c r="BC97" s="61"/>
      <c r="BD97" s="291"/>
      <c r="BE97" s="258"/>
      <c r="BF97" s="346"/>
      <c r="BG97" s="300"/>
      <c r="BH97" s="300"/>
      <c r="BI97" s="345"/>
      <c r="BJ97" s="345"/>
      <c r="BK97" s="300"/>
      <c r="BL97" s="313"/>
    </row>
    <row r="98" ht="22.5" customHeight="1">
      <c r="A98" s="263"/>
      <c r="B98" s="194"/>
      <c r="C98" s="61"/>
      <c r="D98" s="61"/>
      <c r="E98" s="81"/>
      <c r="F98" s="81"/>
      <c r="G98" s="61"/>
      <c r="H98" s="269" t="b">
        <v>0</v>
      </c>
      <c r="I98" s="258"/>
      <c r="J98" s="270"/>
      <c r="K98" s="109"/>
      <c r="L98" s="109"/>
      <c r="M98" s="58"/>
      <c r="N98" s="58"/>
      <c r="O98" s="61"/>
      <c r="P98" s="269" t="b">
        <v>0</v>
      </c>
      <c r="Q98" s="258"/>
      <c r="R98" s="270">
        <v>46126.0</v>
      </c>
      <c r="S98" s="312" t="s">
        <v>2157</v>
      </c>
      <c r="T98" s="109" t="s">
        <v>2158</v>
      </c>
      <c r="U98" s="58" t="s">
        <v>22</v>
      </c>
      <c r="V98" s="58" t="s">
        <v>958</v>
      </c>
      <c r="W98" s="61"/>
      <c r="X98" s="269" t="b">
        <v>1</v>
      </c>
      <c r="Y98" s="258"/>
      <c r="Z98" s="194"/>
      <c r="AA98" s="61"/>
      <c r="AB98" s="61"/>
      <c r="AC98" s="81"/>
      <c r="AD98" s="81"/>
      <c r="AE98" s="61"/>
      <c r="AF98" s="298"/>
      <c r="AH98" s="314">
        <v>46133.0</v>
      </c>
      <c r="AI98" s="302" t="s">
        <v>2159</v>
      </c>
      <c r="AJ98" s="277" t="s">
        <v>2160</v>
      </c>
      <c r="AK98" s="303" t="s">
        <v>16</v>
      </c>
      <c r="AL98" s="303" t="s">
        <v>12</v>
      </c>
      <c r="AM98" s="290"/>
      <c r="AN98" s="281" t="b">
        <v>1</v>
      </c>
      <c r="AO98" s="258"/>
      <c r="AP98" s="346"/>
      <c r="AQ98" s="300"/>
      <c r="AR98" s="300"/>
      <c r="AS98" s="345"/>
      <c r="AT98" s="345"/>
      <c r="AU98" s="300"/>
      <c r="AV98" s="313"/>
      <c r="AW98" s="258"/>
      <c r="AX98" s="194"/>
      <c r="AY98" s="61"/>
      <c r="AZ98" s="61"/>
      <c r="BA98" s="81"/>
      <c r="BB98" s="81"/>
      <c r="BC98" s="61"/>
      <c r="BD98" s="291"/>
      <c r="BE98" s="258"/>
      <c r="BF98" s="346"/>
      <c r="BG98" s="300"/>
      <c r="BH98" s="300"/>
      <c r="BI98" s="345"/>
      <c r="BJ98" s="345"/>
      <c r="BK98" s="300"/>
      <c r="BL98" s="313"/>
    </row>
    <row r="99" ht="22.5" customHeight="1">
      <c r="A99" s="263"/>
      <c r="B99" s="194"/>
      <c r="C99" s="61"/>
      <c r="D99" s="61"/>
      <c r="E99" s="81"/>
      <c r="F99" s="81"/>
      <c r="G99" s="61"/>
      <c r="H99" s="269" t="b">
        <v>0</v>
      </c>
      <c r="I99" s="258"/>
      <c r="J99" s="270"/>
      <c r="K99" s="109"/>
      <c r="L99" s="109"/>
      <c r="M99" s="58"/>
      <c r="N99" s="58"/>
      <c r="O99" s="61"/>
      <c r="P99" s="269" t="b">
        <v>0</v>
      </c>
      <c r="Q99" s="258"/>
      <c r="R99" s="270">
        <v>46127.0</v>
      </c>
      <c r="S99" s="312" t="s">
        <v>2161</v>
      </c>
      <c r="T99" s="109" t="s">
        <v>2162</v>
      </c>
      <c r="U99" s="58" t="s">
        <v>950</v>
      </c>
      <c r="V99" s="58" t="s">
        <v>12</v>
      </c>
      <c r="W99" s="61"/>
      <c r="X99" s="269" t="b">
        <v>1</v>
      </c>
      <c r="Y99" s="258"/>
      <c r="Z99" s="194"/>
      <c r="AA99" s="61"/>
      <c r="AB99" s="61"/>
      <c r="AC99" s="81"/>
      <c r="AD99" s="81"/>
      <c r="AE99" s="61"/>
      <c r="AF99" s="298"/>
      <c r="AH99" s="314">
        <v>46133.0</v>
      </c>
      <c r="AI99" s="302" t="s">
        <v>2163</v>
      </c>
      <c r="AJ99" s="277" t="s">
        <v>2164</v>
      </c>
      <c r="AK99" s="303" t="s">
        <v>16</v>
      </c>
      <c r="AL99" s="303" t="s">
        <v>12</v>
      </c>
      <c r="AM99" s="290"/>
      <c r="AN99" s="281" t="b">
        <v>1</v>
      </c>
      <c r="AO99" s="258"/>
      <c r="AP99" s="346"/>
      <c r="AQ99" s="300"/>
      <c r="AR99" s="300"/>
      <c r="AS99" s="345"/>
      <c r="AT99" s="345"/>
      <c r="AU99" s="300"/>
      <c r="AV99" s="313"/>
      <c r="AW99" s="258"/>
      <c r="AX99" s="194"/>
      <c r="AY99" s="61"/>
      <c r="AZ99" s="61"/>
      <c r="BA99" s="81"/>
      <c r="BB99" s="81"/>
      <c r="BC99" s="61"/>
      <c r="BD99" s="291"/>
      <c r="BE99" s="258"/>
      <c r="BF99" s="346"/>
      <c r="BG99" s="300"/>
      <c r="BH99" s="300"/>
      <c r="BI99" s="345"/>
      <c r="BJ99" s="345"/>
      <c r="BK99" s="300"/>
      <c r="BL99" s="313"/>
    </row>
    <row r="100" ht="22.5" customHeight="1">
      <c r="A100" s="263"/>
      <c r="B100" s="194"/>
      <c r="C100" s="61"/>
      <c r="D100" s="61"/>
      <c r="E100" s="81"/>
      <c r="F100" s="81"/>
      <c r="G100" s="61"/>
      <c r="H100" s="269" t="b">
        <v>0</v>
      </c>
      <c r="I100" s="258"/>
      <c r="J100" s="270"/>
      <c r="K100" s="61"/>
      <c r="L100" s="61"/>
      <c r="M100" s="81"/>
      <c r="N100" s="58"/>
      <c r="O100" s="61"/>
      <c r="P100" s="269" t="b">
        <v>0</v>
      </c>
      <c r="Q100" s="258"/>
      <c r="R100" s="270">
        <v>46127.0</v>
      </c>
      <c r="S100" s="109" t="s">
        <v>2165</v>
      </c>
      <c r="T100" s="109" t="s">
        <v>2166</v>
      </c>
      <c r="U100" s="58" t="s">
        <v>19</v>
      </c>
      <c r="V100" s="58" t="s">
        <v>12</v>
      </c>
      <c r="W100" s="61"/>
      <c r="X100" s="269" t="b">
        <v>1</v>
      </c>
      <c r="Y100" s="258"/>
      <c r="Z100" s="194"/>
      <c r="AA100" s="61"/>
      <c r="AB100" s="61"/>
      <c r="AC100" s="81"/>
      <c r="AD100" s="81"/>
      <c r="AE100" s="61"/>
      <c r="AF100" s="298"/>
      <c r="AH100" s="314">
        <v>46133.0</v>
      </c>
      <c r="AI100" s="302" t="s">
        <v>2167</v>
      </c>
      <c r="AJ100" s="277" t="s">
        <v>2168</v>
      </c>
      <c r="AK100" s="303" t="s">
        <v>16</v>
      </c>
      <c r="AL100" s="303" t="s">
        <v>12</v>
      </c>
      <c r="AM100" s="290"/>
      <c r="AN100" s="281" t="b">
        <v>1</v>
      </c>
      <c r="AO100" s="258"/>
      <c r="AP100" s="346"/>
      <c r="AQ100" s="300"/>
      <c r="AR100" s="300"/>
      <c r="AS100" s="345"/>
      <c r="AT100" s="345"/>
      <c r="AU100" s="300"/>
      <c r="AV100" s="313"/>
      <c r="AW100" s="258"/>
      <c r="AX100" s="194"/>
      <c r="AY100" s="61"/>
      <c r="AZ100" s="61"/>
      <c r="BA100" s="81"/>
      <c r="BB100" s="81"/>
      <c r="BC100" s="61"/>
      <c r="BD100" s="291"/>
      <c r="BE100" s="258"/>
      <c r="BF100" s="346"/>
      <c r="BG100" s="300"/>
      <c r="BH100" s="300"/>
      <c r="BI100" s="345"/>
      <c r="BJ100" s="345"/>
      <c r="BK100" s="300"/>
      <c r="BL100" s="313"/>
    </row>
    <row r="101" ht="22.5" customHeight="1">
      <c r="A101" s="263"/>
      <c r="B101" s="194"/>
      <c r="C101" s="61"/>
      <c r="D101" s="61"/>
      <c r="E101" s="81"/>
      <c r="F101" s="81"/>
      <c r="G101" s="61"/>
      <c r="H101" s="269" t="b">
        <v>0</v>
      </c>
      <c r="I101" s="258"/>
      <c r="J101" s="270"/>
      <c r="K101" s="61"/>
      <c r="L101" s="61"/>
      <c r="M101" s="81"/>
      <c r="N101" s="58"/>
      <c r="O101" s="61"/>
      <c r="P101" s="269" t="b">
        <v>0</v>
      </c>
      <c r="Q101" s="258"/>
      <c r="R101" s="270">
        <v>46127.0</v>
      </c>
      <c r="S101" s="109" t="s">
        <v>2169</v>
      </c>
      <c r="T101" s="109" t="s">
        <v>2170</v>
      </c>
      <c r="U101" s="58" t="s">
        <v>24</v>
      </c>
      <c r="V101" s="58" t="s">
        <v>12</v>
      </c>
      <c r="W101" s="61"/>
      <c r="X101" s="269" t="b">
        <v>1</v>
      </c>
      <c r="Y101" s="258"/>
      <c r="Z101" s="194"/>
      <c r="AA101" s="61"/>
      <c r="AB101" s="61"/>
      <c r="AC101" s="81"/>
      <c r="AD101" s="81"/>
      <c r="AE101" s="61"/>
      <c r="AF101" s="298"/>
      <c r="AH101" s="314">
        <v>46133.0</v>
      </c>
      <c r="AI101" s="302" t="s">
        <v>2171</v>
      </c>
      <c r="AJ101" s="277" t="s">
        <v>2172</v>
      </c>
      <c r="AK101" s="303" t="s">
        <v>16</v>
      </c>
      <c r="AL101" s="303" t="s">
        <v>12</v>
      </c>
      <c r="AM101" s="290"/>
      <c r="AN101" s="281" t="b">
        <v>1</v>
      </c>
      <c r="AO101" s="258"/>
      <c r="AP101" s="346"/>
      <c r="AQ101" s="300"/>
      <c r="AR101" s="300"/>
      <c r="AS101" s="345"/>
      <c r="AT101" s="345"/>
      <c r="AU101" s="300"/>
      <c r="AV101" s="313"/>
      <c r="AW101" s="258"/>
      <c r="AX101" s="194"/>
      <c r="AY101" s="61"/>
      <c r="AZ101" s="61"/>
      <c r="BA101" s="81"/>
      <c r="BB101" s="81"/>
      <c r="BC101" s="61"/>
      <c r="BD101" s="291"/>
      <c r="BE101" s="258"/>
      <c r="BF101" s="346"/>
      <c r="BG101" s="300"/>
      <c r="BH101" s="300"/>
      <c r="BI101" s="345"/>
      <c r="BJ101" s="345"/>
      <c r="BK101" s="300"/>
      <c r="BL101" s="313"/>
    </row>
    <row r="102" ht="22.5" customHeight="1">
      <c r="A102" s="263"/>
      <c r="B102" s="194"/>
      <c r="C102" s="61"/>
      <c r="D102" s="61"/>
      <c r="E102" s="81"/>
      <c r="F102" s="81"/>
      <c r="G102" s="61"/>
      <c r="H102" s="269" t="b">
        <v>0</v>
      </c>
      <c r="I102" s="258"/>
      <c r="J102" s="270"/>
      <c r="K102" s="61"/>
      <c r="L102" s="61"/>
      <c r="M102" s="81"/>
      <c r="N102" s="58"/>
      <c r="O102" s="61"/>
      <c r="P102" s="269" t="b">
        <v>0</v>
      </c>
      <c r="Q102" s="258"/>
      <c r="R102" s="270">
        <v>46127.0</v>
      </c>
      <c r="S102" s="109" t="s">
        <v>2173</v>
      </c>
      <c r="T102" s="109" t="s">
        <v>2174</v>
      </c>
      <c r="U102" s="58" t="s">
        <v>24</v>
      </c>
      <c r="V102" s="58" t="s">
        <v>12</v>
      </c>
      <c r="W102" s="61"/>
      <c r="X102" s="269" t="b">
        <v>1</v>
      </c>
      <c r="Y102" s="258"/>
      <c r="Z102" s="194"/>
      <c r="AA102" s="61"/>
      <c r="AB102" s="61"/>
      <c r="AC102" s="81"/>
      <c r="AD102" s="81"/>
      <c r="AE102" s="61"/>
      <c r="AF102" s="298"/>
      <c r="AH102" s="314">
        <v>46133.0</v>
      </c>
      <c r="AI102" s="302" t="s">
        <v>2175</v>
      </c>
      <c r="AJ102" s="277" t="s">
        <v>2176</v>
      </c>
      <c r="AK102" s="303" t="s">
        <v>44</v>
      </c>
      <c r="AL102" s="303" t="s">
        <v>12</v>
      </c>
      <c r="AM102" s="290"/>
      <c r="AN102" s="281" t="b">
        <v>1</v>
      </c>
      <c r="AO102" s="258"/>
      <c r="AP102" s="346"/>
      <c r="AQ102" s="300"/>
      <c r="AR102" s="300"/>
      <c r="AS102" s="345"/>
      <c r="AT102" s="345"/>
      <c r="AU102" s="300"/>
      <c r="AV102" s="313"/>
      <c r="AW102" s="258"/>
      <c r="AX102" s="194"/>
      <c r="AY102" s="61"/>
      <c r="AZ102" s="61"/>
      <c r="BA102" s="81"/>
      <c r="BB102" s="81"/>
      <c r="BC102" s="61"/>
      <c r="BD102" s="291"/>
      <c r="BE102" s="258"/>
      <c r="BF102" s="346"/>
      <c r="BG102" s="300"/>
      <c r="BH102" s="300"/>
      <c r="BI102" s="345"/>
      <c r="BJ102" s="345"/>
      <c r="BK102" s="300"/>
      <c r="BL102" s="313"/>
    </row>
    <row r="103" ht="22.5" customHeight="1">
      <c r="A103" s="263"/>
      <c r="B103" s="194"/>
      <c r="C103" s="61"/>
      <c r="D103" s="61"/>
      <c r="E103" s="81"/>
      <c r="F103" s="81"/>
      <c r="G103" s="61"/>
      <c r="H103" s="269" t="b">
        <v>0</v>
      </c>
      <c r="I103" s="258"/>
      <c r="J103" s="270"/>
      <c r="K103" s="61"/>
      <c r="L103" s="61"/>
      <c r="M103" s="81"/>
      <c r="N103" s="58"/>
      <c r="O103" s="61"/>
      <c r="P103" s="269" t="b">
        <v>0</v>
      </c>
      <c r="Q103" s="258"/>
      <c r="R103" s="270">
        <v>46127.0</v>
      </c>
      <c r="S103" s="109" t="s">
        <v>2177</v>
      </c>
      <c r="T103" s="109" t="s">
        <v>2178</v>
      </c>
      <c r="U103" s="58" t="s">
        <v>44</v>
      </c>
      <c r="V103" s="58" t="s">
        <v>12</v>
      </c>
      <c r="W103" s="61"/>
      <c r="X103" s="269" t="b">
        <v>1</v>
      </c>
      <c r="Y103" s="258"/>
      <c r="Z103" s="194"/>
      <c r="AA103" s="61"/>
      <c r="AB103" s="61"/>
      <c r="AC103" s="81"/>
      <c r="AD103" s="81"/>
      <c r="AE103" s="61"/>
      <c r="AF103" s="298"/>
      <c r="AH103" s="314">
        <v>46133.0</v>
      </c>
      <c r="AI103" s="302" t="s">
        <v>2179</v>
      </c>
      <c r="AJ103" s="277" t="s">
        <v>2180</v>
      </c>
      <c r="AK103" s="303" t="s">
        <v>24</v>
      </c>
      <c r="AL103" s="303" t="s">
        <v>12</v>
      </c>
      <c r="AM103" s="290"/>
      <c r="AN103" s="281" t="b">
        <v>1</v>
      </c>
      <c r="AO103" s="258"/>
      <c r="AP103" s="346"/>
      <c r="AQ103" s="300"/>
      <c r="AR103" s="300"/>
      <c r="AS103" s="345"/>
      <c r="AT103" s="345"/>
      <c r="AU103" s="300"/>
      <c r="AV103" s="313"/>
      <c r="AW103" s="258"/>
      <c r="AX103" s="194"/>
      <c r="AY103" s="61"/>
      <c r="AZ103" s="61"/>
      <c r="BA103" s="81"/>
      <c r="BB103" s="81"/>
      <c r="BC103" s="61"/>
      <c r="BD103" s="291"/>
      <c r="BE103" s="258"/>
      <c r="BF103" s="346"/>
      <c r="BG103" s="300"/>
      <c r="BH103" s="300"/>
      <c r="BI103" s="345"/>
      <c r="BJ103" s="345"/>
      <c r="BK103" s="300"/>
      <c r="BL103" s="313"/>
    </row>
    <row r="104" ht="22.5" customHeight="1">
      <c r="A104" s="263"/>
      <c r="B104" s="194"/>
      <c r="C104" s="61"/>
      <c r="D104" s="61"/>
      <c r="E104" s="81"/>
      <c r="F104" s="81"/>
      <c r="G104" s="61"/>
      <c r="H104" s="269" t="b">
        <v>0</v>
      </c>
      <c r="I104" s="258"/>
      <c r="J104" s="270"/>
      <c r="K104" s="61"/>
      <c r="L104" s="61"/>
      <c r="M104" s="81"/>
      <c r="N104" s="58"/>
      <c r="O104" s="61"/>
      <c r="P104" s="269" t="b">
        <v>0</v>
      </c>
      <c r="Q104" s="258"/>
      <c r="R104" s="270">
        <v>46128.0</v>
      </c>
      <c r="S104" s="109" t="s">
        <v>2181</v>
      </c>
      <c r="T104" s="109" t="s">
        <v>2182</v>
      </c>
      <c r="U104" s="58" t="s">
        <v>24</v>
      </c>
      <c r="V104" s="58" t="s">
        <v>959</v>
      </c>
      <c r="W104" s="61"/>
      <c r="X104" s="269" t="b">
        <v>0</v>
      </c>
      <c r="Y104" s="258"/>
      <c r="Z104" s="194"/>
      <c r="AA104" s="61"/>
      <c r="AB104" s="61"/>
      <c r="AC104" s="81"/>
      <c r="AD104" s="81"/>
      <c r="AE104" s="61"/>
      <c r="AF104" s="298"/>
      <c r="AH104" s="314">
        <v>46133.0</v>
      </c>
      <c r="AI104" s="302" t="s">
        <v>2183</v>
      </c>
      <c r="AJ104" s="277" t="s">
        <v>2184</v>
      </c>
      <c r="AK104" s="303" t="s">
        <v>24</v>
      </c>
      <c r="AL104" s="303" t="s">
        <v>12</v>
      </c>
      <c r="AM104" s="290"/>
      <c r="AN104" s="281" t="b">
        <v>1</v>
      </c>
      <c r="AO104" s="258"/>
      <c r="AP104" s="346"/>
      <c r="AQ104" s="300"/>
      <c r="AR104" s="300"/>
      <c r="AS104" s="345"/>
      <c r="AT104" s="345"/>
      <c r="AU104" s="300"/>
      <c r="AV104" s="313"/>
      <c r="AW104" s="258"/>
      <c r="AX104" s="194"/>
      <c r="AY104" s="61"/>
      <c r="AZ104" s="61"/>
      <c r="BA104" s="81"/>
      <c r="BB104" s="81"/>
      <c r="BC104" s="61"/>
      <c r="BD104" s="291"/>
      <c r="BE104" s="258"/>
      <c r="BF104" s="346"/>
      <c r="BG104" s="300"/>
      <c r="BH104" s="300"/>
      <c r="BI104" s="345"/>
      <c r="BJ104" s="345"/>
      <c r="BK104" s="300"/>
      <c r="BL104" s="313"/>
    </row>
    <row r="105" ht="22.5" customHeight="1">
      <c r="A105" s="263"/>
      <c r="B105" s="194"/>
      <c r="C105" s="61"/>
      <c r="D105" s="61"/>
      <c r="E105" s="81"/>
      <c r="F105" s="81"/>
      <c r="G105" s="61"/>
      <c r="H105" s="269" t="b">
        <v>0</v>
      </c>
      <c r="I105" s="258"/>
      <c r="J105" s="270"/>
      <c r="K105" s="61"/>
      <c r="L105" s="61"/>
      <c r="M105" s="81"/>
      <c r="N105" s="58"/>
      <c r="O105" s="61"/>
      <c r="P105" s="269" t="b">
        <v>0</v>
      </c>
      <c r="Q105" s="258"/>
      <c r="R105" s="194"/>
      <c r="S105" s="61"/>
      <c r="T105" s="61"/>
      <c r="U105" s="81"/>
      <c r="V105" s="81"/>
      <c r="W105" s="61"/>
      <c r="X105" s="269" t="b">
        <v>0</v>
      </c>
      <c r="Y105" s="258"/>
      <c r="Z105" s="194"/>
      <c r="AA105" s="61"/>
      <c r="AB105" s="61"/>
      <c r="AC105" s="81"/>
      <c r="AD105" s="81"/>
      <c r="AE105" s="61"/>
      <c r="AF105" s="298"/>
      <c r="AH105" s="314">
        <v>46133.0</v>
      </c>
      <c r="AI105" s="302" t="s">
        <v>2185</v>
      </c>
      <c r="AJ105" s="277" t="s">
        <v>2186</v>
      </c>
      <c r="AK105" s="303" t="s">
        <v>24</v>
      </c>
      <c r="AL105" s="303" t="s">
        <v>12</v>
      </c>
      <c r="AM105" s="290"/>
      <c r="AN105" s="281" t="b">
        <v>1</v>
      </c>
      <c r="AO105" s="258"/>
      <c r="AP105" s="346"/>
      <c r="AQ105" s="300"/>
      <c r="AR105" s="300"/>
      <c r="AS105" s="345"/>
      <c r="AT105" s="345"/>
      <c r="AU105" s="300"/>
      <c r="AV105" s="313"/>
      <c r="AW105" s="258"/>
      <c r="AX105" s="194"/>
      <c r="AY105" s="61"/>
      <c r="AZ105" s="61"/>
      <c r="BA105" s="81"/>
      <c r="BB105" s="81"/>
      <c r="BC105" s="61"/>
      <c r="BD105" s="291"/>
      <c r="BE105" s="258"/>
      <c r="BF105" s="346"/>
      <c r="BG105" s="300"/>
      <c r="BH105" s="300"/>
      <c r="BI105" s="345"/>
      <c r="BJ105" s="345"/>
      <c r="BK105" s="300"/>
      <c r="BL105" s="313"/>
    </row>
    <row r="106" ht="22.5" customHeight="1">
      <c r="A106" s="263"/>
      <c r="B106" s="194"/>
      <c r="C106" s="61"/>
      <c r="D106" s="61"/>
      <c r="E106" s="81"/>
      <c r="F106" s="81"/>
      <c r="G106" s="61"/>
      <c r="H106" s="269" t="b">
        <v>0</v>
      </c>
      <c r="I106" s="258"/>
      <c r="J106" s="270"/>
      <c r="K106" s="61"/>
      <c r="L106" s="61"/>
      <c r="M106" s="81"/>
      <c r="N106" s="58"/>
      <c r="O106" s="61"/>
      <c r="P106" s="269" t="b">
        <v>0</v>
      </c>
      <c r="Q106" s="258"/>
      <c r="R106" s="194"/>
      <c r="S106" s="61"/>
      <c r="T106" s="61"/>
      <c r="U106" s="81"/>
      <c r="V106" s="81"/>
      <c r="W106" s="61"/>
      <c r="X106" s="269" t="b">
        <v>0</v>
      </c>
      <c r="Y106" s="258"/>
      <c r="Z106" s="194"/>
      <c r="AA106" s="61"/>
      <c r="AB106" s="61"/>
      <c r="AC106" s="81"/>
      <c r="AD106" s="81"/>
      <c r="AE106" s="61"/>
      <c r="AF106" s="298"/>
      <c r="AH106" s="314">
        <v>46133.0</v>
      </c>
      <c r="AI106" s="302" t="s">
        <v>2187</v>
      </c>
      <c r="AJ106" s="277" t="s">
        <v>2188</v>
      </c>
      <c r="AK106" s="303" t="s">
        <v>44</v>
      </c>
      <c r="AL106" s="303" t="s">
        <v>12</v>
      </c>
      <c r="AM106" s="290"/>
      <c r="AN106" s="281" t="b">
        <v>1</v>
      </c>
      <c r="AO106" s="258"/>
      <c r="AP106" s="346"/>
      <c r="AQ106" s="300"/>
      <c r="AR106" s="300"/>
      <c r="AS106" s="345"/>
      <c r="AT106" s="345"/>
      <c r="AU106" s="300"/>
      <c r="AV106" s="313"/>
      <c r="AW106" s="258"/>
      <c r="AX106" s="194"/>
      <c r="AY106" s="61"/>
      <c r="AZ106" s="61"/>
      <c r="BA106" s="81"/>
      <c r="BB106" s="81"/>
      <c r="BC106" s="61"/>
      <c r="BD106" s="291"/>
      <c r="BE106" s="258"/>
      <c r="BF106" s="346"/>
      <c r="BG106" s="300"/>
      <c r="BH106" s="300"/>
      <c r="BI106" s="345"/>
      <c r="BJ106" s="345"/>
      <c r="BK106" s="300"/>
      <c r="BL106" s="313"/>
    </row>
    <row r="107" ht="22.5" customHeight="1">
      <c r="A107" s="263"/>
      <c r="B107" s="194"/>
      <c r="C107" s="61"/>
      <c r="D107" s="61"/>
      <c r="E107" s="81"/>
      <c r="F107" s="81"/>
      <c r="G107" s="61"/>
      <c r="H107" s="269" t="b">
        <v>0</v>
      </c>
      <c r="I107" s="258"/>
      <c r="J107" s="270"/>
      <c r="K107" s="109"/>
      <c r="L107" s="109"/>
      <c r="M107" s="58"/>
      <c r="N107" s="58"/>
      <c r="O107" s="61"/>
      <c r="P107" s="269" t="b">
        <v>0</v>
      </c>
      <c r="Q107" s="258"/>
      <c r="R107" s="194"/>
      <c r="S107" s="61"/>
      <c r="T107" s="61"/>
      <c r="U107" s="81"/>
      <c r="V107" s="81"/>
      <c r="W107" s="61"/>
      <c r="X107" s="269" t="b">
        <v>0</v>
      </c>
      <c r="Y107" s="258"/>
      <c r="Z107" s="194"/>
      <c r="AA107" s="61"/>
      <c r="AB107" s="61"/>
      <c r="AC107" s="81"/>
      <c r="AD107" s="81"/>
      <c r="AE107" s="61"/>
      <c r="AF107" s="298"/>
      <c r="AH107" s="314">
        <v>46133.0</v>
      </c>
      <c r="AI107" s="302" t="s">
        <v>2189</v>
      </c>
      <c r="AJ107" s="277" t="s">
        <v>2190</v>
      </c>
      <c r="AK107" s="303" t="s">
        <v>24</v>
      </c>
      <c r="AL107" s="303" t="s">
        <v>12</v>
      </c>
      <c r="AM107" s="290"/>
      <c r="AN107" s="281" t="b">
        <v>1</v>
      </c>
      <c r="AO107" s="258"/>
      <c r="AP107" s="346"/>
      <c r="AQ107" s="300"/>
      <c r="AR107" s="300"/>
      <c r="AS107" s="345"/>
      <c r="AT107" s="345"/>
      <c r="AU107" s="300"/>
      <c r="AV107" s="313"/>
      <c r="AW107" s="258"/>
      <c r="AX107" s="194"/>
      <c r="AY107" s="61"/>
      <c r="AZ107" s="61"/>
      <c r="BA107" s="81"/>
      <c r="BB107" s="81"/>
      <c r="BC107" s="61"/>
      <c r="BD107" s="291"/>
      <c r="BE107" s="258"/>
      <c r="BF107" s="346"/>
      <c r="BG107" s="300"/>
      <c r="BH107" s="300"/>
      <c r="BI107" s="345"/>
      <c r="BJ107" s="345"/>
      <c r="BK107" s="300"/>
      <c r="BL107" s="313"/>
    </row>
    <row r="108" ht="22.5" customHeight="1">
      <c r="A108" s="263"/>
      <c r="B108" s="194"/>
      <c r="C108" s="61"/>
      <c r="D108" s="61"/>
      <c r="E108" s="81"/>
      <c r="F108" s="81"/>
      <c r="G108" s="61"/>
      <c r="H108" s="269" t="b">
        <v>0</v>
      </c>
      <c r="I108" s="258"/>
      <c r="J108" s="270"/>
      <c r="K108" s="109"/>
      <c r="L108" s="297"/>
      <c r="M108" s="58"/>
      <c r="N108" s="58"/>
      <c r="O108" s="61"/>
      <c r="P108" s="269" t="b">
        <v>0</v>
      </c>
      <c r="Q108" s="258"/>
      <c r="R108" s="194"/>
      <c r="S108" s="61"/>
      <c r="T108" s="61"/>
      <c r="U108" s="81"/>
      <c r="V108" s="81"/>
      <c r="W108" s="61"/>
      <c r="X108" s="269" t="b">
        <v>0</v>
      </c>
      <c r="Y108" s="258"/>
      <c r="Z108" s="194"/>
      <c r="AA108" s="61"/>
      <c r="AB108" s="61"/>
      <c r="AC108" s="81"/>
      <c r="AD108" s="81"/>
      <c r="AE108" s="61"/>
      <c r="AF108" s="298"/>
      <c r="AH108" s="314">
        <v>46133.0</v>
      </c>
      <c r="AI108" s="302" t="s">
        <v>2191</v>
      </c>
      <c r="AJ108" s="277" t="s">
        <v>2192</v>
      </c>
      <c r="AK108" s="303" t="s">
        <v>22</v>
      </c>
      <c r="AL108" s="303" t="s">
        <v>9</v>
      </c>
      <c r="AM108" s="290"/>
      <c r="AN108" s="281" t="b">
        <v>1</v>
      </c>
      <c r="AO108" s="258"/>
      <c r="AP108" s="346"/>
      <c r="AQ108" s="300"/>
      <c r="AR108" s="300"/>
      <c r="AS108" s="345"/>
      <c r="AT108" s="345"/>
      <c r="AU108" s="300"/>
      <c r="AV108" s="313"/>
      <c r="AW108" s="258"/>
      <c r="AX108" s="194"/>
      <c r="AY108" s="61"/>
      <c r="AZ108" s="61"/>
      <c r="BA108" s="81"/>
      <c r="BB108" s="81"/>
      <c r="BC108" s="61"/>
      <c r="BD108" s="291"/>
      <c r="BE108" s="258"/>
      <c r="BF108" s="346"/>
      <c r="BG108" s="300"/>
      <c r="BH108" s="300"/>
      <c r="BI108" s="345"/>
      <c r="BJ108" s="345"/>
      <c r="BK108" s="300"/>
      <c r="BL108" s="313"/>
    </row>
    <row r="109" ht="22.5" customHeight="1">
      <c r="A109" s="263"/>
      <c r="B109" s="194"/>
      <c r="C109" s="61"/>
      <c r="D109" s="61"/>
      <c r="E109" s="81"/>
      <c r="F109" s="81"/>
      <c r="G109" s="61"/>
      <c r="H109" s="269" t="b">
        <v>0</v>
      </c>
      <c r="I109" s="258"/>
      <c r="J109" s="194"/>
      <c r="K109" s="61"/>
      <c r="L109" s="61"/>
      <c r="M109" s="81"/>
      <c r="N109" s="81"/>
      <c r="O109" s="61"/>
      <c r="P109" s="269" t="b">
        <v>0</v>
      </c>
      <c r="Q109" s="258"/>
      <c r="R109" s="194"/>
      <c r="S109" s="61"/>
      <c r="T109" s="61"/>
      <c r="U109" s="81"/>
      <c r="V109" s="81"/>
      <c r="W109" s="61"/>
      <c r="X109" s="269" t="b">
        <v>0</v>
      </c>
      <c r="Y109" s="258"/>
      <c r="Z109" s="194"/>
      <c r="AA109" s="61"/>
      <c r="AB109" s="61"/>
      <c r="AC109" s="81"/>
      <c r="AD109" s="81"/>
      <c r="AE109" s="61"/>
      <c r="AF109" s="298"/>
      <c r="AH109" s="314">
        <v>46133.0</v>
      </c>
      <c r="AI109" s="302" t="s">
        <v>2193</v>
      </c>
      <c r="AJ109" s="277" t="s">
        <v>2194</v>
      </c>
      <c r="AK109" s="303" t="s">
        <v>22</v>
      </c>
      <c r="AL109" s="303" t="s">
        <v>9</v>
      </c>
      <c r="AM109" s="290"/>
      <c r="AN109" s="281" t="b">
        <v>1</v>
      </c>
      <c r="AO109" s="258"/>
      <c r="AP109" s="346"/>
      <c r="AQ109" s="300"/>
      <c r="AR109" s="300"/>
      <c r="AS109" s="345"/>
      <c r="AT109" s="345"/>
      <c r="AU109" s="300"/>
      <c r="AV109" s="313"/>
      <c r="AW109" s="258"/>
      <c r="AX109" s="194"/>
      <c r="AY109" s="61"/>
      <c r="AZ109" s="61"/>
      <c r="BA109" s="81"/>
      <c r="BB109" s="81"/>
      <c r="BC109" s="61"/>
      <c r="BD109" s="291"/>
      <c r="BE109" s="258"/>
      <c r="BF109" s="346"/>
      <c r="BG109" s="300"/>
      <c r="BH109" s="300"/>
      <c r="BI109" s="345"/>
      <c r="BJ109" s="345"/>
      <c r="BK109" s="300"/>
      <c r="BL109" s="313"/>
    </row>
    <row r="110" ht="22.5" customHeight="1">
      <c r="A110" s="263"/>
      <c r="B110" s="194"/>
      <c r="C110" s="61"/>
      <c r="D110" s="61"/>
      <c r="E110" s="81"/>
      <c r="F110" s="81"/>
      <c r="G110" s="61"/>
      <c r="H110" s="269" t="b">
        <v>0</v>
      </c>
      <c r="I110" s="258"/>
      <c r="J110" s="194"/>
      <c r="K110" s="61"/>
      <c r="L110" s="61"/>
      <c r="M110" s="81"/>
      <c r="N110" s="81"/>
      <c r="O110" s="61"/>
      <c r="P110" s="269" t="b">
        <v>0</v>
      </c>
      <c r="Q110" s="258"/>
      <c r="R110" s="194"/>
      <c r="S110" s="61"/>
      <c r="T110" s="61"/>
      <c r="U110" s="81"/>
      <c r="V110" s="81"/>
      <c r="W110" s="61"/>
      <c r="X110" s="269" t="b">
        <v>0</v>
      </c>
      <c r="Y110" s="258"/>
      <c r="Z110" s="194"/>
      <c r="AA110" s="61"/>
      <c r="AB110" s="61"/>
      <c r="AC110" s="81"/>
      <c r="AD110" s="81"/>
      <c r="AE110" s="61"/>
      <c r="AF110" s="298"/>
      <c r="AH110" s="314">
        <v>46134.0</v>
      </c>
      <c r="AI110" s="302" t="s">
        <v>2195</v>
      </c>
      <c r="AJ110" s="277" t="s">
        <v>2196</v>
      </c>
      <c r="AK110" s="303" t="s">
        <v>16</v>
      </c>
      <c r="AL110" s="303" t="s">
        <v>9</v>
      </c>
      <c r="AM110" s="290"/>
      <c r="AN110" s="281" t="b">
        <v>1</v>
      </c>
      <c r="AO110" s="258"/>
      <c r="AP110" s="346"/>
      <c r="AQ110" s="300"/>
      <c r="AR110" s="300"/>
      <c r="AS110" s="345"/>
      <c r="AT110" s="345"/>
      <c r="AU110" s="300"/>
      <c r="AV110" s="313"/>
      <c r="AW110" s="258"/>
      <c r="AX110" s="194"/>
      <c r="AY110" s="61"/>
      <c r="AZ110" s="61"/>
      <c r="BA110" s="81"/>
      <c r="BB110" s="81"/>
      <c r="BC110" s="61"/>
      <c r="BD110" s="291"/>
      <c r="BE110" s="258"/>
      <c r="BF110" s="346"/>
      <c r="BG110" s="300"/>
      <c r="BH110" s="300"/>
      <c r="BI110" s="345"/>
      <c r="BJ110" s="345"/>
      <c r="BK110" s="300"/>
      <c r="BL110" s="313"/>
    </row>
    <row r="111" ht="22.5" customHeight="1">
      <c r="A111" s="263"/>
      <c r="B111" s="194"/>
      <c r="C111" s="61"/>
      <c r="D111" s="61"/>
      <c r="E111" s="81"/>
      <c r="F111" s="81"/>
      <c r="G111" s="61"/>
      <c r="H111" s="269" t="b">
        <v>0</v>
      </c>
      <c r="I111" s="258"/>
      <c r="J111" s="194"/>
      <c r="K111" s="61"/>
      <c r="L111" s="61"/>
      <c r="M111" s="81"/>
      <c r="N111" s="81"/>
      <c r="O111" s="61"/>
      <c r="P111" s="269" t="b">
        <v>0</v>
      </c>
      <c r="Q111" s="258"/>
      <c r="R111" s="194"/>
      <c r="S111" s="61"/>
      <c r="T111" s="61"/>
      <c r="U111" s="81"/>
      <c r="V111" s="81"/>
      <c r="W111" s="61"/>
      <c r="X111" s="269" t="b">
        <v>0</v>
      </c>
      <c r="Y111" s="258"/>
      <c r="Z111" s="194"/>
      <c r="AA111" s="61"/>
      <c r="AB111" s="61"/>
      <c r="AC111" s="81"/>
      <c r="AD111" s="81"/>
      <c r="AE111" s="61"/>
      <c r="AF111" s="298"/>
      <c r="AH111" s="314">
        <v>46134.0</v>
      </c>
      <c r="AI111" s="302" t="s">
        <v>2197</v>
      </c>
      <c r="AJ111" s="277" t="s">
        <v>2198</v>
      </c>
      <c r="AK111" s="303" t="s">
        <v>24</v>
      </c>
      <c r="AL111" s="303" t="s">
        <v>9</v>
      </c>
      <c r="AM111" s="290"/>
      <c r="AN111" s="281" t="b">
        <v>1</v>
      </c>
      <c r="AO111" s="258"/>
      <c r="AP111" s="346"/>
      <c r="AQ111" s="300"/>
      <c r="AR111" s="300"/>
      <c r="AS111" s="345"/>
      <c r="AT111" s="345"/>
      <c r="AU111" s="300"/>
      <c r="AV111" s="313"/>
      <c r="AW111" s="258"/>
      <c r="AX111" s="314">
        <v>46140.0</v>
      </c>
      <c r="AY111" s="302" t="s">
        <v>2199</v>
      </c>
      <c r="AZ111" s="277" t="s">
        <v>2200</v>
      </c>
      <c r="BA111" s="303" t="s">
        <v>22</v>
      </c>
      <c r="BB111" s="303" t="s">
        <v>20</v>
      </c>
      <c r="BC111" s="290"/>
      <c r="BD111" s="281" t="b">
        <v>1</v>
      </c>
      <c r="BE111" s="258"/>
      <c r="BF111" s="346"/>
      <c r="BG111" s="300"/>
      <c r="BH111" s="300"/>
      <c r="BI111" s="345"/>
      <c r="BJ111" s="345"/>
      <c r="BK111" s="300"/>
      <c r="BL111" s="313"/>
    </row>
    <row r="112" ht="22.5" customHeight="1">
      <c r="A112" s="263"/>
      <c r="B112" s="194"/>
      <c r="C112" s="61"/>
      <c r="D112" s="61"/>
      <c r="E112" s="81"/>
      <c r="F112" s="81"/>
      <c r="G112" s="61"/>
      <c r="H112" s="269" t="b">
        <v>0</v>
      </c>
      <c r="I112" s="258"/>
      <c r="J112" s="194"/>
      <c r="K112" s="61"/>
      <c r="L112" s="61"/>
      <c r="M112" s="81"/>
      <c r="N112" s="81"/>
      <c r="O112" s="61"/>
      <c r="P112" s="269" t="b">
        <v>0</v>
      </c>
      <c r="Q112" s="258"/>
      <c r="R112" s="194"/>
      <c r="S112" s="61"/>
      <c r="T112" s="61"/>
      <c r="U112" s="81"/>
      <c r="V112" s="81"/>
      <c r="W112" s="61"/>
      <c r="X112" s="269" t="b">
        <v>0</v>
      </c>
      <c r="Y112" s="258"/>
      <c r="Z112" s="194"/>
      <c r="AA112" s="61"/>
      <c r="AB112" s="61"/>
      <c r="AC112" s="81"/>
      <c r="AD112" s="81"/>
      <c r="AE112" s="61"/>
      <c r="AF112" s="269" t="b">
        <v>0</v>
      </c>
      <c r="AH112" s="314">
        <v>46134.0</v>
      </c>
      <c r="AI112" s="302" t="s">
        <v>2201</v>
      </c>
      <c r="AJ112" s="277" t="s">
        <v>2202</v>
      </c>
      <c r="AK112" s="303" t="s">
        <v>19</v>
      </c>
      <c r="AL112" s="303" t="s">
        <v>9</v>
      </c>
      <c r="AM112" s="290"/>
      <c r="AN112" s="281" t="b">
        <v>1</v>
      </c>
      <c r="AO112" s="258"/>
      <c r="AP112" s="346"/>
      <c r="AQ112" s="300"/>
      <c r="AR112" s="300"/>
      <c r="AS112" s="345"/>
      <c r="AT112" s="345"/>
      <c r="AU112" s="300"/>
      <c r="AV112" s="313"/>
      <c r="AW112" s="258"/>
      <c r="AX112" s="314">
        <v>46140.0</v>
      </c>
      <c r="AY112" s="302" t="s">
        <v>2203</v>
      </c>
      <c r="AZ112" s="277" t="s">
        <v>2204</v>
      </c>
      <c r="BA112" s="303" t="s">
        <v>22</v>
      </c>
      <c r="BB112" s="303" t="s">
        <v>20</v>
      </c>
      <c r="BC112" s="290"/>
      <c r="BD112" s="281" t="b">
        <v>1</v>
      </c>
      <c r="BE112" s="258"/>
      <c r="BF112" s="346"/>
      <c r="BG112" s="300"/>
      <c r="BH112" s="300"/>
      <c r="BI112" s="345"/>
      <c r="BJ112" s="345"/>
      <c r="BK112" s="300"/>
      <c r="BL112" s="313"/>
    </row>
    <row r="113" ht="22.5" customHeight="1">
      <c r="A113" s="263"/>
      <c r="B113" s="194"/>
      <c r="C113" s="61"/>
      <c r="D113" s="61"/>
      <c r="E113" s="81"/>
      <c r="F113" s="81"/>
      <c r="G113" s="61"/>
      <c r="H113" s="269" t="b">
        <v>0</v>
      </c>
      <c r="I113" s="258"/>
      <c r="J113" s="194"/>
      <c r="K113" s="61"/>
      <c r="L113" s="61"/>
      <c r="M113" s="81"/>
      <c r="N113" s="81"/>
      <c r="O113" s="61"/>
      <c r="P113" s="269" t="b">
        <v>0</v>
      </c>
      <c r="Q113" s="258"/>
      <c r="R113" s="194"/>
      <c r="S113" s="61"/>
      <c r="T113" s="61"/>
      <c r="U113" s="81"/>
      <c r="V113" s="81"/>
      <c r="W113" s="61"/>
      <c r="X113" s="269" t="b">
        <v>0</v>
      </c>
      <c r="Y113" s="258"/>
      <c r="Z113" s="194"/>
      <c r="AA113" s="61"/>
      <c r="AB113" s="61"/>
      <c r="AC113" s="81"/>
      <c r="AD113" s="81"/>
      <c r="AE113" s="61"/>
      <c r="AF113" s="269" t="b">
        <v>0</v>
      </c>
      <c r="AH113" s="314">
        <v>46134.0</v>
      </c>
      <c r="AI113" s="302" t="s">
        <v>2205</v>
      </c>
      <c r="AJ113" s="277" t="s">
        <v>2206</v>
      </c>
      <c r="AK113" s="303" t="s">
        <v>16</v>
      </c>
      <c r="AL113" s="303" t="s">
        <v>9</v>
      </c>
      <c r="AM113" s="290"/>
      <c r="AN113" s="281" t="b">
        <v>1</v>
      </c>
      <c r="AO113" s="258"/>
      <c r="AP113" s="346"/>
      <c r="AQ113" s="300"/>
      <c r="AR113" s="300"/>
      <c r="AS113" s="345"/>
      <c r="AT113" s="345"/>
      <c r="AU113" s="300"/>
      <c r="AV113" s="313"/>
      <c r="AW113" s="258"/>
      <c r="AX113" s="314">
        <v>46140.0</v>
      </c>
      <c r="AY113" s="302" t="s">
        <v>2207</v>
      </c>
      <c r="AZ113" s="277" t="s">
        <v>2208</v>
      </c>
      <c r="BA113" s="303" t="s">
        <v>22</v>
      </c>
      <c r="BB113" s="303" t="s">
        <v>20</v>
      </c>
      <c r="BC113" s="290"/>
      <c r="BD113" s="281" t="b">
        <v>1</v>
      </c>
      <c r="BE113" s="258"/>
      <c r="BF113" s="346"/>
      <c r="BG113" s="300"/>
      <c r="BH113" s="300"/>
      <c r="BI113" s="345"/>
      <c r="BJ113" s="345"/>
      <c r="BK113" s="300"/>
      <c r="BL113" s="313"/>
    </row>
    <row r="114" ht="22.5" customHeight="1">
      <c r="A114" s="263"/>
      <c r="B114" s="194"/>
      <c r="C114" s="61"/>
      <c r="D114" s="61"/>
      <c r="E114" s="81"/>
      <c r="F114" s="81"/>
      <c r="G114" s="61"/>
      <c r="H114" s="269" t="b">
        <v>0</v>
      </c>
      <c r="I114" s="258"/>
      <c r="J114" s="194"/>
      <c r="K114" s="61"/>
      <c r="L114" s="61"/>
      <c r="M114" s="81"/>
      <c r="N114" s="81"/>
      <c r="O114" s="61"/>
      <c r="P114" s="269" t="b">
        <v>0</v>
      </c>
      <c r="Q114" s="258"/>
      <c r="R114" s="194"/>
      <c r="S114" s="61"/>
      <c r="T114" s="61"/>
      <c r="U114" s="81"/>
      <c r="V114" s="81"/>
      <c r="W114" s="61"/>
      <c r="X114" s="269" t="b">
        <v>0</v>
      </c>
      <c r="Y114" s="258"/>
      <c r="Z114" s="194"/>
      <c r="AA114" s="61"/>
      <c r="AB114" s="61"/>
      <c r="AC114" s="81"/>
      <c r="AD114" s="81"/>
      <c r="AE114" s="61"/>
      <c r="AF114" s="269" t="b">
        <v>0</v>
      </c>
      <c r="AH114" s="314">
        <v>46134.0</v>
      </c>
      <c r="AI114" s="302" t="s">
        <v>2209</v>
      </c>
      <c r="AJ114" s="277" t="s">
        <v>2210</v>
      </c>
      <c r="AK114" s="303" t="s">
        <v>44</v>
      </c>
      <c r="AL114" s="303" t="s">
        <v>9</v>
      </c>
      <c r="AM114" s="290"/>
      <c r="AN114" s="281" t="b">
        <v>1</v>
      </c>
      <c r="AO114" s="258"/>
      <c r="AP114" s="346"/>
      <c r="AQ114" s="300"/>
      <c r="AR114" s="300"/>
      <c r="AS114" s="345"/>
      <c r="AT114" s="345"/>
      <c r="AU114" s="300"/>
      <c r="AV114" s="313"/>
      <c r="AW114" s="258"/>
      <c r="AX114" s="314">
        <v>46140.0</v>
      </c>
      <c r="AY114" s="302" t="s">
        <v>2211</v>
      </c>
      <c r="AZ114" s="277" t="s">
        <v>2212</v>
      </c>
      <c r="BA114" s="303" t="s">
        <v>22</v>
      </c>
      <c r="BB114" s="303" t="s">
        <v>20</v>
      </c>
      <c r="BC114" s="290"/>
      <c r="BD114" s="281" t="b">
        <v>1</v>
      </c>
      <c r="BE114" s="258"/>
      <c r="BF114" s="346"/>
      <c r="BG114" s="300"/>
      <c r="BH114" s="300"/>
      <c r="BI114" s="345"/>
      <c r="BJ114" s="345"/>
      <c r="BK114" s="300"/>
      <c r="BL114" s="313"/>
    </row>
    <row r="115" ht="22.5" customHeight="1">
      <c r="A115" s="263"/>
      <c r="B115" s="194"/>
      <c r="C115" s="61"/>
      <c r="D115" s="61"/>
      <c r="E115" s="81"/>
      <c r="F115" s="81"/>
      <c r="G115" s="61"/>
      <c r="H115" s="269" t="b">
        <v>0</v>
      </c>
      <c r="I115" s="258"/>
      <c r="J115" s="194"/>
      <c r="K115" s="61"/>
      <c r="L115" s="61"/>
      <c r="M115" s="81"/>
      <c r="N115" s="81"/>
      <c r="O115" s="61"/>
      <c r="P115" s="269" t="b">
        <v>0</v>
      </c>
      <c r="Q115" s="258"/>
      <c r="R115" s="194"/>
      <c r="S115" s="61"/>
      <c r="T115" s="61"/>
      <c r="U115" s="81"/>
      <c r="V115" s="81"/>
      <c r="W115" s="61"/>
      <c r="X115" s="269" t="b">
        <v>0</v>
      </c>
      <c r="Y115" s="258"/>
      <c r="Z115" s="194"/>
      <c r="AA115" s="61"/>
      <c r="AB115" s="61"/>
      <c r="AC115" s="81"/>
      <c r="AD115" s="81"/>
      <c r="AE115" s="61"/>
      <c r="AF115" s="269" t="b">
        <v>0</v>
      </c>
      <c r="AH115" s="314">
        <v>46134.0</v>
      </c>
      <c r="AI115" s="302" t="s">
        <v>2213</v>
      </c>
      <c r="AJ115" s="277" t="s">
        <v>2214</v>
      </c>
      <c r="AK115" s="303" t="s">
        <v>44</v>
      </c>
      <c r="AL115" s="303" t="s">
        <v>9</v>
      </c>
      <c r="AM115" s="290"/>
      <c r="AN115" s="281" t="b">
        <v>1</v>
      </c>
      <c r="AO115" s="258"/>
      <c r="AP115" s="346"/>
      <c r="AQ115" s="300"/>
      <c r="AR115" s="300"/>
      <c r="AS115" s="345"/>
      <c r="AT115" s="345"/>
      <c r="AU115" s="300"/>
      <c r="AV115" s="313"/>
      <c r="AW115" s="258"/>
      <c r="AX115" s="314">
        <v>46140.0</v>
      </c>
      <c r="AY115" s="302" t="s">
        <v>2215</v>
      </c>
      <c r="AZ115" s="277" t="s">
        <v>2216</v>
      </c>
      <c r="BA115" s="303" t="s">
        <v>22</v>
      </c>
      <c r="BB115" s="303" t="s">
        <v>20</v>
      </c>
      <c r="BC115" s="290"/>
      <c r="BD115" s="281" t="b">
        <v>1</v>
      </c>
      <c r="BE115" s="258"/>
      <c r="BF115" s="346"/>
      <c r="BG115" s="300"/>
      <c r="BH115" s="300"/>
      <c r="BI115" s="345"/>
      <c r="BJ115" s="345"/>
      <c r="BK115" s="300"/>
      <c r="BL115" s="313"/>
    </row>
    <row r="116" ht="22.5" customHeight="1">
      <c r="A116" s="263"/>
      <c r="B116" s="194"/>
      <c r="C116" s="61"/>
      <c r="D116" s="61"/>
      <c r="E116" s="81"/>
      <c r="F116" s="81"/>
      <c r="G116" s="61"/>
      <c r="H116" s="269" t="b">
        <v>0</v>
      </c>
      <c r="I116" s="258"/>
      <c r="J116" s="194"/>
      <c r="K116" s="61"/>
      <c r="L116" s="61"/>
      <c r="M116" s="81"/>
      <c r="N116" s="81"/>
      <c r="O116" s="61"/>
      <c r="P116" s="269" t="b">
        <v>0</v>
      </c>
      <c r="Q116" s="258"/>
      <c r="R116" s="194"/>
      <c r="S116" s="61"/>
      <c r="T116" s="61"/>
      <c r="U116" s="81"/>
      <c r="V116" s="81"/>
      <c r="W116" s="61"/>
      <c r="X116" s="269" t="b">
        <v>0</v>
      </c>
      <c r="Y116" s="258"/>
      <c r="Z116" s="194"/>
      <c r="AA116" s="61"/>
      <c r="AB116" s="61"/>
      <c r="AC116" s="81"/>
      <c r="AD116" s="81"/>
      <c r="AE116" s="61"/>
      <c r="AF116" s="269" t="b">
        <v>0</v>
      </c>
      <c r="AH116" s="314">
        <v>46134.0</v>
      </c>
      <c r="AI116" s="302" t="s">
        <v>2217</v>
      </c>
      <c r="AJ116" s="277" t="s">
        <v>2218</v>
      </c>
      <c r="AK116" s="303" t="s">
        <v>16</v>
      </c>
      <c r="AL116" s="303" t="s">
        <v>9</v>
      </c>
      <c r="AM116" s="290"/>
      <c r="AN116" s="281" t="b">
        <v>1</v>
      </c>
      <c r="AO116" s="258"/>
      <c r="AP116" s="346"/>
      <c r="AQ116" s="300"/>
      <c r="AR116" s="300"/>
      <c r="AS116" s="345"/>
      <c r="AT116" s="345"/>
      <c r="AU116" s="300"/>
      <c r="AV116" s="313"/>
      <c r="AW116" s="258"/>
      <c r="AX116" s="314">
        <v>46140.0</v>
      </c>
      <c r="AY116" s="302" t="s">
        <v>2219</v>
      </c>
      <c r="AZ116" s="277" t="s">
        <v>2220</v>
      </c>
      <c r="BA116" s="303" t="s">
        <v>22</v>
      </c>
      <c r="BB116" s="303" t="s">
        <v>20</v>
      </c>
      <c r="BC116" s="290"/>
      <c r="BD116" s="281" t="b">
        <v>1</v>
      </c>
      <c r="BE116" s="258"/>
      <c r="BF116" s="346"/>
      <c r="BG116" s="300"/>
      <c r="BH116" s="300"/>
      <c r="BI116" s="345"/>
      <c r="BJ116" s="345"/>
      <c r="BK116" s="300"/>
      <c r="BL116" s="313"/>
    </row>
    <row r="117" ht="22.5" customHeight="1">
      <c r="A117" s="263"/>
      <c r="B117" s="194"/>
      <c r="C117" s="61"/>
      <c r="D117" s="61"/>
      <c r="E117" s="81"/>
      <c r="F117" s="81"/>
      <c r="G117" s="61"/>
      <c r="H117" s="269" t="b">
        <v>0</v>
      </c>
      <c r="I117" s="258"/>
      <c r="J117" s="194"/>
      <c r="K117" s="61"/>
      <c r="L117" s="61"/>
      <c r="M117" s="81"/>
      <c r="N117" s="81"/>
      <c r="O117" s="61"/>
      <c r="P117" s="269" t="b">
        <v>0</v>
      </c>
      <c r="Q117" s="258"/>
      <c r="R117" s="194"/>
      <c r="S117" s="61"/>
      <c r="T117" s="61"/>
      <c r="U117" s="81"/>
      <c r="V117" s="81"/>
      <c r="W117" s="61"/>
      <c r="X117" s="269" t="b">
        <v>0</v>
      </c>
      <c r="Y117" s="258"/>
      <c r="Z117" s="194"/>
      <c r="AA117" s="61"/>
      <c r="AB117" s="61"/>
      <c r="AC117" s="81"/>
      <c r="AD117" s="81"/>
      <c r="AE117" s="61"/>
      <c r="AF117" s="269" t="b">
        <v>0</v>
      </c>
      <c r="AH117" s="314">
        <v>46134.0</v>
      </c>
      <c r="AI117" s="302" t="s">
        <v>2221</v>
      </c>
      <c r="AJ117" s="277" t="s">
        <v>2222</v>
      </c>
      <c r="AK117" s="303" t="s">
        <v>16</v>
      </c>
      <c r="AL117" s="303" t="s">
        <v>9</v>
      </c>
      <c r="AM117" s="290"/>
      <c r="AN117" s="281" t="b">
        <v>1</v>
      </c>
      <c r="AO117" s="258"/>
      <c r="AP117" s="346"/>
      <c r="AQ117" s="300"/>
      <c r="AR117" s="300"/>
      <c r="AS117" s="345"/>
      <c r="AT117" s="345"/>
      <c r="AU117" s="300"/>
      <c r="AV117" s="313"/>
      <c r="AW117" s="258"/>
      <c r="AX117" s="314">
        <v>46140.0</v>
      </c>
      <c r="AY117" s="302" t="s">
        <v>2223</v>
      </c>
      <c r="AZ117" s="277" t="s">
        <v>2224</v>
      </c>
      <c r="BA117" s="303" t="s">
        <v>22</v>
      </c>
      <c r="BB117" s="303" t="s">
        <v>20</v>
      </c>
      <c r="BC117" s="290"/>
      <c r="BD117" s="281" t="b">
        <v>1</v>
      </c>
      <c r="BE117" s="258"/>
      <c r="BF117" s="346"/>
      <c r="BG117" s="300"/>
      <c r="BH117" s="300"/>
      <c r="BI117" s="345"/>
      <c r="BJ117" s="345"/>
      <c r="BK117" s="300"/>
      <c r="BL117" s="313"/>
    </row>
    <row r="118" ht="22.5" customHeight="1">
      <c r="A118" s="263"/>
      <c r="B118" s="194"/>
      <c r="C118" s="61"/>
      <c r="D118" s="61"/>
      <c r="E118" s="81"/>
      <c r="F118" s="81"/>
      <c r="G118" s="61"/>
      <c r="H118" s="269" t="b">
        <v>0</v>
      </c>
      <c r="I118" s="258"/>
      <c r="J118" s="194"/>
      <c r="K118" s="61"/>
      <c r="L118" s="61"/>
      <c r="M118" s="81"/>
      <c r="N118" s="81"/>
      <c r="O118" s="61"/>
      <c r="P118" s="269" t="b">
        <v>0</v>
      </c>
      <c r="Q118" s="258"/>
      <c r="R118" s="194"/>
      <c r="S118" s="61"/>
      <c r="T118" s="61"/>
      <c r="U118" s="81"/>
      <c r="V118" s="81"/>
      <c r="W118" s="61"/>
      <c r="X118" s="269" t="b">
        <v>0</v>
      </c>
      <c r="Y118" s="258"/>
      <c r="Z118" s="194"/>
      <c r="AA118" s="61"/>
      <c r="AB118" s="61"/>
      <c r="AC118" s="81"/>
      <c r="AD118" s="81"/>
      <c r="AE118" s="61"/>
      <c r="AF118" s="269" t="b">
        <v>0</v>
      </c>
      <c r="AH118" s="314">
        <v>46135.0</v>
      </c>
      <c r="AI118" s="302" t="s">
        <v>2225</v>
      </c>
      <c r="AJ118" s="277" t="s">
        <v>2226</v>
      </c>
      <c r="AK118" s="303" t="s">
        <v>10</v>
      </c>
      <c r="AL118" s="303" t="s">
        <v>12</v>
      </c>
      <c r="AM118" s="290"/>
      <c r="AN118" s="281" t="b">
        <v>1</v>
      </c>
      <c r="AO118" s="258"/>
      <c r="AP118" s="346"/>
      <c r="AQ118" s="300"/>
      <c r="AR118" s="300"/>
      <c r="AS118" s="345"/>
      <c r="AT118" s="345"/>
      <c r="AU118" s="300"/>
      <c r="AV118" s="313"/>
      <c r="AW118" s="258"/>
      <c r="AX118" s="314">
        <v>46140.0</v>
      </c>
      <c r="AY118" s="302" t="s">
        <v>2227</v>
      </c>
      <c r="AZ118" s="277" t="s">
        <v>2228</v>
      </c>
      <c r="BA118" s="303" t="s">
        <v>22</v>
      </c>
      <c r="BB118" s="303" t="s">
        <v>20</v>
      </c>
      <c r="BC118" s="290"/>
      <c r="BD118" s="281" t="b">
        <v>1</v>
      </c>
      <c r="BE118" s="258"/>
      <c r="BF118" s="346"/>
      <c r="BG118" s="300"/>
      <c r="BH118" s="300"/>
      <c r="BI118" s="345"/>
      <c r="BJ118" s="345"/>
      <c r="BK118" s="300"/>
      <c r="BL118" s="313"/>
    </row>
    <row r="119" ht="22.5" customHeight="1">
      <c r="A119" s="263"/>
      <c r="B119" s="194"/>
      <c r="C119" s="61"/>
      <c r="D119" s="61"/>
      <c r="E119" s="81"/>
      <c r="F119" s="81"/>
      <c r="G119" s="61"/>
      <c r="H119" s="269" t="b">
        <v>0</v>
      </c>
      <c r="I119" s="258"/>
      <c r="J119" s="194"/>
      <c r="K119" s="61"/>
      <c r="L119" s="61"/>
      <c r="M119" s="81"/>
      <c r="N119" s="81"/>
      <c r="O119" s="61"/>
      <c r="P119" s="269" t="b">
        <v>0</v>
      </c>
      <c r="Q119" s="258"/>
      <c r="R119" s="194"/>
      <c r="S119" s="61"/>
      <c r="T119" s="61"/>
      <c r="U119" s="81"/>
      <c r="V119" s="81"/>
      <c r="W119" s="61"/>
      <c r="X119" s="269" t="b">
        <v>0</v>
      </c>
      <c r="Y119" s="258"/>
      <c r="Z119" s="194"/>
      <c r="AA119" s="61"/>
      <c r="AB119" s="61"/>
      <c r="AC119" s="81"/>
      <c r="AD119" s="81"/>
      <c r="AE119" s="61"/>
      <c r="AF119" s="269" t="b">
        <v>0</v>
      </c>
      <c r="AH119" s="314">
        <v>46135.0</v>
      </c>
      <c r="AI119" s="302" t="s">
        <v>2229</v>
      </c>
      <c r="AJ119" s="277" t="s">
        <v>2230</v>
      </c>
      <c r="AK119" s="303" t="s">
        <v>10</v>
      </c>
      <c r="AL119" s="303" t="s">
        <v>12</v>
      </c>
      <c r="AM119" s="290"/>
      <c r="AN119" s="281" t="b">
        <v>1</v>
      </c>
      <c r="AO119" s="258"/>
      <c r="AP119" s="346"/>
      <c r="AQ119" s="300"/>
      <c r="AR119" s="300"/>
      <c r="AS119" s="345"/>
      <c r="AT119" s="345"/>
      <c r="AU119" s="300"/>
      <c r="AV119" s="313"/>
      <c r="AW119" s="258"/>
      <c r="AX119" s="314">
        <v>46140.0</v>
      </c>
      <c r="AY119" s="302" t="s">
        <v>2231</v>
      </c>
      <c r="AZ119" s="277" t="s">
        <v>2232</v>
      </c>
      <c r="BA119" s="303" t="s">
        <v>10</v>
      </c>
      <c r="BB119" s="303" t="s">
        <v>20</v>
      </c>
      <c r="BC119" s="290"/>
      <c r="BD119" s="281" t="b">
        <v>1</v>
      </c>
      <c r="BE119" s="258"/>
      <c r="BF119" s="346"/>
      <c r="BG119" s="300"/>
      <c r="BH119" s="300"/>
      <c r="BI119" s="345"/>
      <c r="BJ119" s="345"/>
      <c r="BK119" s="300"/>
      <c r="BL119" s="313"/>
    </row>
    <row r="120" ht="22.5" customHeight="1">
      <c r="A120" s="263"/>
      <c r="B120" s="194"/>
      <c r="C120" s="61"/>
      <c r="D120" s="61"/>
      <c r="E120" s="81"/>
      <c r="F120" s="81"/>
      <c r="G120" s="61"/>
      <c r="H120" s="269" t="b">
        <v>0</v>
      </c>
      <c r="I120" s="258"/>
      <c r="J120" s="194"/>
      <c r="K120" s="61"/>
      <c r="L120" s="61"/>
      <c r="M120" s="81"/>
      <c r="N120" s="81"/>
      <c r="O120" s="61"/>
      <c r="P120" s="269" t="b">
        <v>0</v>
      </c>
      <c r="Q120" s="258"/>
      <c r="R120" s="194"/>
      <c r="S120" s="61"/>
      <c r="T120" s="61"/>
      <c r="U120" s="81"/>
      <c r="V120" s="81"/>
      <c r="W120" s="61"/>
      <c r="X120" s="269" t="b">
        <v>0</v>
      </c>
      <c r="Y120" s="258"/>
      <c r="Z120" s="194"/>
      <c r="AA120" s="61"/>
      <c r="AB120" s="61"/>
      <c r="AC120" s="81"/>
      <c r="AD120" s="81"/>
      <c r="AE120" s="61"/>
      <c r="AF120" s="269" t="b">
        <v>0</v>
      </c>
      <c r="AH120" s="314">
        <v>46135.0</v>
      </c>
      <c r="AI120" s="302" t="s">
        <v>2233</v>
      </c>
      <c r="AJ120" s="277" t="s">
        <v>2234</v>
      </c>
      <c r="AK120" s="303" t="s">
        <v>10</v>
      </c>
      <c r="AL120" s="303" t="s">
        <v>12</v>
      </c>
      <c r="AM120" s="290"/>
      <c r="AN120" s="281" t="b">
        <v>1</v>
      </c>
      <c r="AO120" s="258"/>
      <c r="AP120" s="346"/>
      <c r="AQ120" s="300"/>
      <c r="AR120" s="300"/>
      <c r="AS120" s="345"/>
      <c r="AT120" s="345"/>
      <c r="AU120" s="300"/>
      <c r="AV120" s="286" t="b">
        <v>0</v>
      </c>
      <c r="AW120" s="258"/>
      <c r="AX120" s="314">
        <v>46140.0</v>
      </c>
      <c r="AY120" s="302" t="s">
        <v>2235</v>
      </c>
      <c r="AZ120" s="277" t="s">
        <v>2236</v>
      </c>
      <c r="BA120" s="303" t="s">
        <v>10</v>
      </c>
      <c r="BB120" s="303" t="s">
        <v>20</v>
      </c>
      <c r="BC120" s="290"/>
      <c r="BD120" s="281" t="b">
        <v>1</v>
      </c>
      <c r="BE120" s="258"/>
      <c r="BF120" s="346"/>
      <c r="BG120" s="300"/>
      <c r="BH120" s="300"/>
      <c r="BI120" s="345"/>
      <c r="BJ120" s="345"/>
      <c r="BK120" s="300"/>
      <c r="BL120" s="286" t="b">
        <v>0</v>
      </c>
    </row>
    <row r="121" ht="22.5" customHeight="1">
      <c r="A121" s="263"/>
      <c r="B121" s="194"/>
      <c r="C121" s="61"/>
      <c r="D121" s="61"/>
      <c r="E121" s="81"/>
      <c r="F121" s="81"/>
      <c r="G121" s="61"/>
      <c r="H121" s="269" t="b">
        <v>0</v>
      </c>
      <c r="I121" s="258"/>
      <c r="J121" s="194"/>
      <c r="K121" s="61"/>
      <c r="L121" s="61"/>
      <c r="M121" s="81"/>
      <c r="N121" s="81"/>
      <c r="O121" s="61"/>
      <c r="P121" s="269" t="b">
        <v>0</v>
      </c>
      <c r="Q121" s="258"/>
      <c r="R121" s="194"/>
      <c r="S121" s="61"/>
      <c r="T121" s="61"/>
      <c r="U121" s="81"/>
      <c r="V121" s="81"/>
      <c r="W121" s="61"/>
      <c r="X121" s="269" t="b">
        <v>0</v>
      </c>
      <c r="Y121" s="258"/>
      <c r="Z121" s="194"/>
      <c r="AA121" s="61"/>
      <c r="AB121" s="61"/>
      <c r="AC121" s="81"/>
      <c r="AD121" s="81"/>
      <c r="AE121" s="61"/>
      <c r="AF121" s="269" t="b">
        <v>0</v>
      </c>
      <c r="AH121" s="314">
        <v>46135.0</v>
      </c>
      <c r="AI121" s="302" t="s">
        <v>2237</v>
      </c>
      <c r="AJ121" s="277" t="s">
        <v>2238</v>
      </c>
      <c r="AK121" s="303" t="s">
        <v>10</v>
      </c>
      <c r="AL121" s="303" t="s">
        <v>12</v>
      </c>
      <c r="AM121" s="290"/>
      <c r="AN121" s="281" t="b">
        <v>1</v>
      </c>
      <c r="AO121" s="258"/>
      <c r="AP121" s="346"/>
      <c r="AQ121" s="300"/>
      <c r="AR121" s="300"/>
      <c r="AS121" s="345"/>
      <c r="AT121" s="345"/>
      <c r="AU121" s="300"/>
      <c r="AV121" s="286" t="b">
        <v>0</v>
      </c>
      <c r="AW121" s="258"/>
      <c r="AX121" s="314">
        <v>46140.0</v>
      </c>
      <c r="AY121" s="302" t="s">
        <v>2239</v>
      </c>
      <c r="AZ121" s="277" t="s">
        <v>2240</v>
      </c>
      <c r="BA121" s="303" t="s">
        <v>10</v>
      </c>
      <c r="BB121" s="303" t="s">
        <v>20</v>
      </c>
      <c r="BC121" s="290"/>
      <c r="BD121" s="281" t="b">
        <v>1</v>
      </c>
      <c r="BE121" s="258"/>
      <c r="BF121" s="346"/>
      <c r="BG121" s="300"/>
      <c r="BH121" s="300"/>
      <c r="BI121" s="345"/>
      <c r="BJ121" s="345"/>
      <c r="BK121" s="300"/>
      <c r="BL121" s="286" t="b">
        <v>0</v>
      </c>
    </row>
    <row r="122" ht="22.5" customHeight="1">
      <c r="A122" s="263"/>
      <c r="B122" s="194"/>
      <c r="C122" s="61"/>
      <c r="D122" s="61"/>
      <c r="E122" s="81"/>
      <c r="F122" s="81"/>
      <c r="G122" s="61"/>
      <c r="H122" s="269" t="b">
        <v>0</v>
      </c>
      <c r="I122" s="258"/>
      <c r="J122" s="194"/>
      <c r="K122" s="61"/>
      <c r="L122" s="61"/>
      <c r="M122" s="81"/>
      <c r="N122" s="81"/>
      <c r="O122" s="61"/>
      <c r="P122" s="269" t="b">
        <v>0</v>
      </c>
      <c r="Q122" s="258"/>
      <c r="R122" s="194"/>
      <c r="S122" s="61"/>
      <c r="T122" s="61"/>
      <c r="U122" s="81"/>
      <c r="V122" s="81"/>
      <c r="W122" s="61"/>
      <c r="X122" s="269" t="b">
        <v>0</v>
      </c>
      <c r="Y122" s="258"/>
      <c r="Z122" s="194"/>
      <c r="AA122" s="61"/>
      <c r="AB122" s="61"/>
      <c r="AC122" s="81"/>
      <c r="AD122" s="81"/>
      <c r="AE122" s="61"/>
      <c r="AF122" s="269" t="b">
        <v>0</v>
      </c>
      <c r="AH122" s="314">
        <v>46135.0</v>
      </c>
      <c r="AI122" s="302" t="s">
        <v>2241</v>
      </c>
      <c r="AJ122" s="277" t="s">
        <v>2242</v>
      </c>
      <c r="AK122" s="303" t="s">
        <v>10</v>
      </c>
      <c r="AL122" s="303" t="s">
        <v>12</v>
      </c>
      <c r="AM122" s="290"/>
      <c r="AN122" s="281" t="b">
        <v>1</v>
      </c>
      <c r="AO122" s="258"/>
      <c r="AP122" s="346"/>
      <c r="AQ122" s="300"/>
      <c r="AR122" s="300"/>
      <c r="AS122" s="345"/>
      <c r="AT122" s="345"/>
      <c r="AU122" s="300"/>
      <c r="AV122" s="286" t="b">
        <v>0</v>
      </c>
      <c r="AW122" s="258"/>
      <c r="AX122" s="314">
        <v>46140.0</v>
      </c>
      <c r="AY122" s="302" t="s">
        <v>2243</v>
      </c>
      <c r="AZ122" s="277" t="s">
        <v>2244</v>
      </c>
      <c r="BA122" s="303" t="s">
        <v>10</v>
      </c>
      <c r="BB122" s="303" t="s">
        <v>20</v>
      </c>
      <c r="BC122" s="290"/>
      <c r="BD122" s="281" t="b">
        <v>1</v>
      </c>
      <c r="BE122" s="258"/>
      <c r="BF122" s="346"/>
      <c r="BG122" s="300"/>
      <c r="BH122" s="300"/>
      <c r="BI122" s="345"/>
      <c r="BJ122" s="345"/>
      <c r="BK122" s="300"/>
      <c r="BL122" s="286" t="b">
        <v>0</v>
      </c>
    </row>
    <row r="123" ht="22.5" customHeight="1">
      <c r="A123" s="263"/>
      <c r="B123" s="194"/>
      <c r="C123" s="61"/>
      <c r="D123" s="61"/>
      <c r="E123" s="81"/>
      <c r="F123" s="81"/>
      <c r="G123" s="61"/>
      <c r="H123" s="269" t="b">
        <v>0</v>
      </c>
      <c r="I123" s="258"/>
      <c r="J123" s="194"/>
      <c r="K123" s="61"/>
      <c r="L123" s="61"/>
      <c r="M123" s="81"/>
      <c r="N123" s="81"/>
      <c r="O123" s="61"/>
      <c r="P123" s="269" t="b">
        <v>0</v>
      </c>
      <c r="Q123" s="258"/>
      <c r="R123" s="194"/>
      <c r="S123" s="61"/>
      <c r="T123" s="61"/>
      <c r="U123" s="81"/>
      <c r="V123" s="81"/>
      <c r="W123" s="61"/>
      <c r="X123" s="269" t="b">
        <v>0</v>
      </c>
      <c r="Y123" s="258"/>
      <c r="Z123" s="194"/>
      <c r="AA123" s="61"/>
      <c r="AB123" s="61"/>
      <c r="AC123" s="81"/>
      <c r="AD123" s="81"/>
      <c r="AE123" s="61"/>
      <c r="AF123" s="269" t="b">
        <v>0</v>
      </c>
      <c r="AH123" s="314">
        <v>46135.0</v>
      </c>
      <c r="AI123" s="302" t="s">
        <v>2245</v>
      </c>
      <c r="AJ123" s="277" t="s">
        <v>2246</v>
      </c>
      <c r="AK123" s="303" t="s">
        <v>10</v>
      </c>
      <c r="AL123" s="303" t="s">
        <v>12</v>
      </c>
      <c r="AM123" s="290"/>
      <c r="AN123" s="281" t="b">
        <v>1</v>
      </c>
      <c r="AO123" s="258"/>
      <c r="AP123" s="346"/>
      <c r="AQ123" s="300"/>
      <c r="AR123" s="300"/>
      <c r="AS123" s="345"/>
      <c r="AT123" s="345"/>
      <c r="AU123" s="300"/>
      <c r="AV123" s="286" t="b">
        <v>0</v>
      </c>
      <c r="AW123" s="258"/>
      <c r="AX123" s="314">
        <v>46140.0</v>
      </c>
      <c r="AY123" s="302" t="s">
        <v>2247</v>
      </c>
      <c r="AZ123" s="277" t="s">
        <v>2248</v>
      </c>
      <c r="BA123" s="303" t="s">
        <v>13</v>
      </c>
      <c r="BB123" s="303" t="s">
        <v>9</v>
      </c>
      <c r="BC123" s="290"/>
      <c r="BD123" s="281" t="b">
        <v>1</v>
      </c>
      <c r="BE123" s="258"/>
      <c r="BF123" s="346"/>
      <c r="BG123" s="300"/>
      <c r="BH123" s="300"/>
      <c r="BI123" s="345"/>
      <c r="BJ123" s="345"/>
      <c r="BK123" s="300"/>
      <c r="BL123" s="286" t="b">
        <v>0</v>
      </c>
    </row>
    <row r="124" ht="22.5" customHeight="1">
      <c r="A124" s="263"/>
      <c r="B124" s="194"/>
      <c r="C124" s="61"/>
      <c r="D124" s="61"/>
      <c r="E124" s="81"/>
      <c r="F124" s="81"/>
      <c r="G124" s="61"/>
      <c r="H124" s="269" t="b">
        <v>0</v>
      </c>
      <c r="I124" s="258"/>
      <c r="J124" s="194"/>
      <c r="K124" s="61"/>
      <c r="L124" s="61"/>
      <c r="M124" s="81"/>
      <c r="N124" s="81"/>
      <c r="O124" s="61"/>
      <c r="P124" s="269" t="b">
        <v>0</v>
      </c>
      <c r="Q124" s="258"/>
      <c r="R124" s="194"/>
      <c r="S124" s="61"/>
      <c r="T124" s="61"/>
      <c r="U124" s="81"/>
      <c r="V124" s="81"/>
      <c r="W124" s="61"/>
      <c r="X124" s="269" t="b">
        <v>0</v>
      </c>
      <c r="Y124" s="258"/>
      <c r="Z124" s="194"/>
      <c r="AA124" s="61"/>
      <c r="AB124" s="61"/>
      <c r="AC124" s="81"/>
      <c r="AD124" s="81"/>
      <c r="AE124" s="61"/>
      <c r="AF124" s="269" t="b">
        <v>0</v>
      </c>
      <c r="AH124" s="314">
        <v>46135.0</v>
      </c>
      <c r="AI124" s="302" t="s">
        <v>2249</v>
      </c>
      <c r="AJ124" s="277" t="s">
        <v>2250</v>
      </c>
      <c r="AK124" s="303" t="s">
        <v>10</v>
      </c>
      <c r="AL124" s="303" t="s">
        <v>12</v>
      </c>
      <c r="AM124" s="290"/>
      <c r="AN124" s="281" t="b">
        <v>1</v>
      </c>
      <c r="AO124" s="258"/>
      <c r="AP124" s="346"/>
      <c r="AQ124" s="300"/>
      <c r="AR124" s="300"/>
      <c r="AS124" s="345"/>
      <c r="AT124" s="345"/>
      <c r="AU124" s="300"/>
      <c r="AV124" s="286" t="b">
        <v>0</v>
      </c>
      <c r="AW124" s="258"/>
      <c r="AX124" s="314">
        <v>46140.0</v>
      </c>
      <c r="AY124" s="302" t="s">
        <v>2251</v>
      </c>
      <c r="AZ124" s="277" t="s">
        <v>2252</v>
      </c>
      <c r="BA124" s="303" t="s">
        <v>13</v>
      </c>
      <c r="BB124" s="303" t="s">
        <v>9</v>
      </c>
      <c r="BC124" s="302" t="s">
        <v>2253</v>
      </c>
      <c r="BD124" s="315"/>
      <c r="BE124" s="258"/>
      <c r="BF124" s="346"/>
      <c r="BG124" s="300"/>
      <c r="BH124" s="300"/>
      <c r="BI124" s="345"/>
      <c r="BJ124" s="345"/>
      <c r="BK124" s="300"/>
      <c r="BL124" s="286" t="b">
        <v>0</v>
      </c>
    </row>
    <row r="125" ht="22.5" customHeight="1">
      <c r="A125" s="263"/>
      <c r="B125" s="194"/>
      <c r="C125" s="61"/>
      <c r="D125" s="61"/>
      <c r="E125" s="81"/>
      <c r="F125" s="81"/>
      <c r="G125" s="61"/>
      <c r="H125" s="269" t="b">
        <v>0</v>
      </c>
      <c r="I125" s="258"/>
      <c r="J125" s="194"/>
      <c r="K125" s="61"/>
      <c r="L125" s="61"/>
      <c r="M125" s="81"/>
      <c r="N125" s="81"/>
      <c r="O125" s="61"/>
      <c r="P125" s="269" t="b">
        <v>0</v>
      </c>
      <c r="Q125" s="258"/>
      <c r="R125" s="194"/>
      <c r="S125" s="61"/>
      <c r="T125" s="61"/>
      <c r="U125" s="81"/>
      <c r="V125" s="81"/>
      <c r="W125" s="61"/>
      <c r="X125" s="269" t="b">
        <v>0</v>
      </c>
      <c r="Y125" s="258"/>
      <c r="Z125" s="194"/>
      <c r="AA125" s="61"/>
      <c r="AB125" s="61"/>
      <c r="AC125" s="81"/>
      <c r="AD125" s="81"/>
      <c r="AE125" s="61"/>
      <c r="AF125" s="269" t="b">
        <v>0</v>
      </c>
      <c r="AH125" s="314">
        <v>46135.0</v>
      </c>
      <c r="AI125" s="302" t="s">
        <v>2254</v>
      </c>
      <c r="AJ125" s="277" t="s">
        <v>2255</v>
      </c>
      <c r="AK125" s="303" t="s">
        <v>10</v>
      </c>
      <c r="AL125" s="303" t="s">
        <v>12</v>
      </c>
      <c r="AM125" s="290"/>
      <c r="AN125" s="281" t="b">
        <v>1</v>
      </c>
      <c r="AO125" s="258"/>
      <c r="AP125" s="346"/>
      <c r="AQ125" s="300"/>
      <c r="AR125" s="300"/>
      <c r="AS125" s="345"/>
      <c r="AT125" s="345"/>
      <c r="AU125" s="300"/>
      <c r="AV125" s="286" t="b">
        <v>0</v>
      </c>
      <c r="AW125" s="258"/>
      <c r="AX125" s="314">
        <v>46140.0</v>
      </c>
      <c r="AY125" s="302" t="s">
        <v>2256</v>
      </c>
      <c r="AZ125" s="277" t="s">
        <v>2257</v>
      </c>
      <c r="BA125" s="303" t="s">
        <v>19</v>
      </c>
      <c r="BB125" s="303" t="s">
        <v>9</v>
      </c>
      <c r="BC125" s="290"/>
      <c r="BD125" s="281" t="b">
        <v>1</v>
      </c>
      <c r="BE125" s="258"/>
      <c r="BF125" s="346"/>
      <c r="BG125" s="300"/>
      <c r="BH125" s="300"/>
      <c r="BI125" s="345"/>
      <c r="BJ125" s="345"/>
      <c r="BK125" s="300"/>
      <c r="BL125" s="286" t="b">
        <v>0</v>
      </c>
    </row>
    <row r="126" ht="22.5" customHeight="1">
      <c r="A126" s="263"/>
      <c r="B126" s="194"/>
      <c r="C126" s="61"/>
      <c r="D126" s="61"/>
      <c r="E126" s="81"/>
      <c r="F126" s="81"/>
      <c r="G126" s="61"/>
      <c r="H126" s="269" t="b">
        <v>0</v>
      </c>
      <c r="I126" s="258"/>
      <c r="J126" s="194"/>
      <c r="K126" s="61"/>
      <c r="L126" s="61"/>
      <c r="M126" s="81"/>
      <c r="N126" s="81"/>
      <c r="O126" s="61"/>
      <c r="P126" s="269" t="b">
        <v>0</v>
      </c>
      <c r="Q126" s="258"/>
      <c r="R126" s="194"/>
      <c r="S126" s="61"/>
      <c r="T126" s="61"/>
      <c r="U126" s="81"/>
      <c r="V126" s="81"/>
      <c r="W126" s="61"/>
      <c r="X126" s="269" t="b">
        <v>0</v>
      </c>
      <c r="Y126" s="258"/>
      <c r="Z126" s="194"/>
      <c r="AA126" s="61"/>
      <c r="AB126" s="61"/>
      <c r="AC126" s="81"/>
      <c r="AD126" s="81"/>
      <c r="AE126" s="61"/>
      <c r="AF126" s="269" t="b">
        <v>0</v>
      </c>
      <c r="AH126" s="314">
        <v>46135.0</v>
      </c>
      <c r="AI126" s="302" t="s">
        <v>2258</v>
      </c>
      <c r="AJ126" s="277" t="s">
        <v>2259</v>
      </c>
      <c r="AK126" s="303" t="s">
        <v>16</v>
      </c>
      <c r="AL126" s="303" t="s">
        <v>9</v>
      </c>
      <c r="AM126" s="290"/>
      <c r="AN126" s="281" t="b">
        <v>1</v>
      </c>
      <c r="AO126" s="258"/>
      <c r="AP126" s="346"/>
      <c r="AQ126" s="300"/>
      <c r="AR126" s="300"/>
      <c r="AS126" s="345"/>
      <c r="AT126" s="345"/>
      <c r="AU126" s="300"/>
      <c r="AV126" s="286" t="b">
        <v>0</v>
      </c>
      <c r="AW126" s="258"/>
      <c r="AX126" s="314">
        <v>46140.0</v>
      </c>
      <c r="AY126" s="302" t="s">
        <v>2260</v>
      </c>
      <c r="AZ126" s="277" t="s">
        <v>2261</v>
      </c>
      <c r="BA126" s="303" t="s">
        <v>19</v>
      </c>
      <c r="BB126" s="303" t="s">
        <v>9</v>
      </c>
      <c r="BC126" s="290"/>
      <c r="BD126" s="281" t="b">
        <v>1</v>
      </c>
      <c r="BE126" s="258"/>
      <c r="BF126" s="346"/>
      <c r="BG126" s="300"/>
      <c r="BH126" s="300"/>
      <c r="BI126" s="345"/>
      <c r="BJ126" s="345"/>
      <c r="BK126" s="300"/>
      <c r="BL126" s="286" t="b">
        <v>0</v>
      </c>
    </row>
    <row r="127" ht="22.5" customHeight="1">
      <c r="A127" s="263"/>
      <c r="B127" s="194"/>
      <c r="C127" s="61"/>
      <c r="D127" s="61"/>
      <c r="E127" s="81"/>
      <c r="F127" s="81"/>
      <c r="G127" s="61"/>
      <c r="H127" s="269" t="b">
        <v>0</v>
      </c>
      <c r="I127" s="258"/>
      <c r="J127" s="194"/>
      <c r="K127" s="61"/>
      <c r="L127" s="61"/>
      <c r="M127" s="81"/>
      <c r="N127" s="81"/>
      <c r="O127" s="61"/>
      <c r="P127" s="269" t="b">
        <v>0</v>
      </c>
      <c r="Q127" s="258"/>
      <c r="R127" s="194"/>
      <c r="S127" s="61"/>
      <c r="T127" s="61"/>
      <c r="U127" s="81"/>
      <c r="V127" s="81"/>
      <c r="W127" s="61"/>
      <c r="X127" s="269" t="b">
        <v>0</v>
      </c>
      <c r="Y127" s="258"/>
      <c r="Z127" s="194"/>
      <c r="AA127" s="61"/>
      <c r="AB127" s="61"/>
      <c r="AC127" s="81"/>
      <c r="AD127" s="81"/>
      <c r="AE127" s="61"/>
      <c r="AF127" s="269" t="b">
        <v>0</v>
      </c>
      <c r="AH127" s="314">
        <v>46135.0</v>
      </c>
      <c r="AI127" s="302" t="s">
        <v>2262</v>
      </c>
      <c r="AJ127" s="277" t="s">
        <v>2263</v>
      </c>
      <c r="AK127" s="303" t="s">
        <v>16</v>
      </c>
      <c r="AL127" s="303" t="s">
        <v>9</v>
      </c>
      <c r="AM127" s="290"/>
      <c r="AN127" s="281" t="b">
        <v>1</v>
      </c>
      <c r="AO127" s="258"/>
      <c r="AP127" s="346"/>
      <c r="AQ127" s="300"/>
      <c r="AR127" s="300"/>
      <c r="AS127" s="345"/>
      <c r="AT127" s="345"/>
      <c r="AU127" s="300"/>
      <c r="AV127" s="286" t="b">
        <v>0</v>
      </c>
      <c r="AW127" s="258"/>
      <c r="AX127" s="314">
        <v>46140.0</v>
      </c>
      <c r="AY127" s="302" t="s">
        <v>2264</v>
      </c>
      <c r="AZ127" s="277" t="s">
        <v>2265</v>
      </c>
      <c r="BA127" s="303" t="s">
        <v>22</v>
      </c>
      <c r="BB127" s="303" t="s">
        <v>9</v>
      </c>
      <c r="BC127" s="290"/>
      <c r="BD127" s="281" t="b">
        <v>1</v>
      </c>
      <c r="BE127" s="258"/>
      <c r="BF127" s="346"/>
      <c r="BG127" s="300"/>
      <c r="BH127" s="300"/>
      <c r="BI127" s="345"/>
      <c r="BJ127" s="345"/>
      <c r="BK127" s="300"/>
      <c r="BL127" s="286" t="b">
        <v>0</v>
      </c>
    </row>
    <row r="128" ht="22.5" customHeight="1">
      <c r="A128" s="263"/>
      <c r="B128" s="194"/>
      <c r="C128" s="61"/>
      <c r="D128" s="61"/>
      <c r="E128" s="81"/>
      <c r="F128" s="81"/>
      <c r="G128" s="61"/>
      <c r="H128" s="269" t="b">
        <v>0</v>
      </c>
      <c r="I128" s="258"/>
      <c r="J128" s="194"/>
      <c r="K128" s="61"/>
      <c r="L128" s="61"/>
      <c r="M128" s="81"/>
      <c r="N128" s="81"/>
      <c r="O128" s="61"/>
      <c r="P128" s="269" t="b">
        <v>0</v>
      </c>
      <c r="Q128" s="258"/>
      <c r="R128" s="194"/>
      <c r="S128" s="61"/>
      <c r="T128" s="61"/>
      <c r="U128" s="81"/>
      <c r="V128" s="81"/>
      <c r="W128" s="61"/>
      <c r="X128" s="269" t="b">
        <v>0</v>
      </c>
      <c r="Y128" s="258"/>
      <c r="Z128" s="194"/>
      <c r="AA128" s="61"/>
      <c r="AB128" s="61"/>
      <c r="AC128" s="81"/>
      <c r="AD128" s="81"/>
      <c r="AE128" s="61"/>
      <c r="AF128" s="269" t="b">
        <v>0</v>
      </c>
      <c r="AH128" s="314">
        <v>46134.0</v>
      </c>
      <c r="AI128" s="302" t="s">
        <v>2266</v>
      </c>
      <c r="AJ128" s="277" t="s">
        <v>2267</v>
      </c>
      <c r="AK128" s="303" t="s">
        <v>16</v>
      </c>
      <c r="AL128" s="303" t="s">
        <v>12</v>
      </c>
      <c r="AM128" s="290"/>
      <c r="AN128" s="281" t="b">
        <v>1</v>
      </c>
      <c r="AO128" s="258"/>
      <c r="AP128" s="346"/>
      <c r="AQ128" s="300"/>
      <c r="AR128" s="300"/>
      <c r="AS128" s="345"/>
      <c r="AT128" s="345"/>
      <c r="AU128" s="300"/>
      <c r="AV128" s="286" t="b">
        <v>0</v>
      </c>
      <c r="AW128" s="258"/>
      <c r="AX128" s="314">
        <v>46140.0</v>
      </c>
      <c r="AY128" s="302" t="s">
        <v>2268</v>
      </c>
      <c r="AZ128" s="277" t="s">
        <v>2269</v>
      </c>
      <c r="BA128" s="303" t="s">
        <v>22</v>
      </c>
      <c r="BB128" s="303" t="s">
        <v>9</v>
      </c>
      <c r="BC128" s="290"/>
      <c r="BD128" s="281" t="b">
        <v>1</v>
      </c>
      <c r="BE128" s="258"/>
      <c r="BF128" s="346"/>
      <c r="BG128" s="300"/>
      <c r="BH128" s="300"/>
      <c r="BI128" s="345"/>
      <c r="BJ128" s="345"/>
      <c r="BK128" s="300"/>
      <c r="BL128" s="286" t="b">
        <v>0</v>
      </c>
    </row>
    <row r="129" ht="22.5" customHeight="1">
      <c r="A129" s="263"/>
      <c r="B129" s="194"/>
      <c r="C129" s="61"/>
      <c r="D129" s="61"/>
      <c r="E129" s="81"/>
      <c r="F129" s="81"/>
      <c r="G129" s="61"/>
      <c r="H129" s="269" t="b">
        <v>0</v>
      </c>
      <c r="I129" s="258"/>
      <c r="J129" s="194"/>
      <c r="K129" s="61"/>
      <c r="L129" s="61"/>
      <c r="M129" s="81"/>
      <c r="N129" s="81"/>
      <c r="O129" s="61"/>
      <c r="P129" s="269" t="b">
        <v>0</v>
      </c>
      <c r="Q129" s="258"/>
      <c r="R129" s="194"/>
      <c r="S129" s="61"/>
      <c r="T129" s="61"/>
      <c r="U129" s="81"/>
      <c r="V129" s="81"/>
      <c r="W129" s="61"/>
      <c r="X129" s="269" t="b">
        <v>0</v>
      </c>
      <c r="Y129" s="258"/>
      <c r="Z129" s="194"/>
      <c r="AA129" s="61"/>
      <c r="AB129" s="61"/>
      <c r="AC129" s="81"/>
      <c r="AD129" s="81"/>
      <c r="AE129" s="61"/>
      <c r="AF129" s="269" t="b">
        <v>0</v>
      </c>
      <c r="AH129" s="314">
        <v>46134.0</v>
      </c>
      <c r="AI129" s="302" t="s">
        <v>2270</v>
      </c>
      <c r="AJ129" s="277" t="s">
        <v>2271</v>
      </c>
      <c r="AK129" s="303" t="s">
        <v>13</v>
      </c>
      <c r="AL129" s="303" t="s">
        <v>12</v>
      </c>
      <c r="AM129" s="290"/>
      <c r="AN129" s="281" t="b">
        <v>1</v>
      </c>
      <c r="AO129" s="258"/>
      <c r="AP129" s="346"/>
      <c r="AQ129" s="300"/>
      <c r="AR129" s="300"/>
      <c r="AS129" s="345"/>
      <c r="AT129" s="345"/>
      <c r="AU129" s="300"/>
      <c r="AV129" s="286" t="b">
        <v>0</v>
      </c>
      <c r="AW129" s="258"/>
      <c r="AX129" s="314">
        <v>46140.0</v>
      </c>
      <c r="AY129" s="302" t="s">
        <v>2272</v>
      </c>
      <c r="AZ129" s="277" t="s">
        <v>2273</v>
      </c>
      <c r="BA129" s="303" t="s">
        <v>32</v>
      </c>
      <c r="BB129" s="303" t="s">
        <v>9</v>
      </c>
      <c r="BC129" s="302" t="s">
        <v>2253</v>
      </c>
      <c r="BD129" s="315" t="b">
        <v>0</v>
      </c>
      <c r="BE129" s="258"/>
      <c r="BF129" s="346"/>
      <c r="BG129" s="300"/>
      <c r="BH129" s="300"/>
      <c r="BI129" s="345"/>
      <c r="BJ129" s="345"/>
      <c r="BK129" s="300"/>
      <c r="BL129" s="286" t="b">
        <v>0</v>
      </c>
    </row>
    <row r="130" ht="22.5" customHeight="1">
      <c r="A130" s="263"/>
      <c r="B130" s="194"/>
      <c r="C130" s="61"/>
      <c r="D130" s="61"/>
      <c r="E130" s="81"/>
      <c r="F130" s="81"/>
      <c r="G130" s="61"/>
      <c r="H130" s="269" t="b">
        <v>0</v>
      </c>
      <c r="I130" s="258"/>
      <c r="J130" s="194"/>
      <c r="K130" s="61"/>
      <c r="L130" s="61"/>
      <c r="M130" s="81"/>
      <c r="N130" s="81"/>
      <c r="O130" s="61"/>
      <c r="P130" s="269" t="b">
        <v>0</v>
      </c>
      <c r="Q130" s="258"/>
      <c r="R130" s="194"/>
      <c r="S130" s="61"/>
      <c r="T130" s="61"/>
      <c r="U130" s="81"/>
      <c r="V130" s="81"/>
      <c r="W130" s="61"/>
      <c r="X130" s="269" t="b">
        <v>0</v>
      </c>
      <c r="Y130" s="258"/>
      <c r="Z130" s="194"/>
      <c r="AA130" s="61"/>
      <c r="AB130" s="61"/>
      <c r="AC130" s="81"/>
      <c r="AD130" s="81"/>
      <c r="AE130" s="61"/>
      <c r="AF130" s="269" t="b">
        <v>0</v>
      </c>
      <c r="AH130" s="314">
        <v>46134.0</v>
      </c>
      <c r="AI130" s="302" t="s">
        <v>2274</v>
      </c>
      <c r="AJ130" s="277" t="s">
        <v>2275</v>
      </c>
      <c r="AK130" s="303" t="s">
        <v>16</v>
      </c>
      <c r="AL130" s="303" t="s">
        <v>12</v>
      </c>
      <c r="AM130" s="290"/>
      <c r="AN130" s="281" t="b">
        <v>1</v>
      </c>
      <c r="AO130" s="258"/>
      <c r="AP130" s="346"/>
      <c r="AQ130" s="300"/>
      <c r="AR130" s="300"/>
      <c r="AS130" s="345"/>
      <c r="AT130" s="345"/>
      <c r="AU130" s="300"/>
      <c r="AV130" s="286" t="b">
        <v>0</v>
      </c>
      <c r="AW130" s="258"/>
      <c r="AX130" s="314">
        <v>46141.0</v>
      </c>
      <c r="AY130" s="302" t="s">
        <v>2276</v>
      </c>
      <c r="AZ130" s="277" t="s">
        <v>2277</v>
      </c>
      <c r="BA130" s="303" t="s">
        <v>22</v>
      </c>
      <c r="BB130" s="303" t="s">
        <v>9</v>
      </c>
      <c r="BC130" s="302"/>
      <c r="BD130" s="281" t="b">
        <v>1</v>
      </c>
      <c r="BE130" s="258"/>
      <c r="BF130" s="346"/>
      <c r="BG130" s="300"/>
      <c r="BH130" s="300"/>
      <c r="BI130" s="345"/>
      <c r="BJ130" s="345"/>
      <c r="BK130" s="300"/>
      <c r="BL130" s="286" t="b">
        <v>0</v>
      </c>
    </row>
    <row r="131" ht="22.5" customHeight="1">
      <c r="A131" s="263"/>
      <c r="B131" s="194"/>
      <c r="C131" s="61"/>
      <c r="D131" s="61"/>
      <c r="E131" s="81"/>
      <c r="F131" s="81"/>
      <c r="G131" s="61"/>
      <c r="H131" s="269" t="b">
        <v>0</v>
      </c>
      <c r="I131" s="258"/>
      <c r="J131" s="194"/>
      <c r="K131" s="61"/>
      <c r="L131" s="61"/>
      <c r="M131" s="81"/>
      <c r="N131" s="81"/>
      <c r="O131" s="61"/>
      <c r="P131" s="269" t="b">
        <v>0</v>
      </c>
      <c r="Q131" s="258"/>
      <c r="R131" s="194"/>
      <c r="S131" s="61"/>
      <c r="T131" s="61"/>
      <c r="U131" s="81"/>
      <c r="V131" s="81"/>
      <c r="W131" s="61"/>
      <c r="X131" s="269" t="b">
        <v>0</v>
      </c>
      <c r="Y131" s="258"/>
      <c r="Z131" s="194"/>
      <c r="AA131" s="61"/>
      <c r="AB131" s="61"/>
      <c r="AC131" s="81"/>
      <c r="AD131" s="81"/>
      <c r="AE131" s="61"/>
      <c r="AF131" s="269" t="b">
        <v>0</v>
      </c>
      <c r="AH131" s="314">
        <v>46134.0</v>
      </c>
      <c r="AI131" s="302" t="s">
        <v>2278</v>
      </c>
      <c r="AJ131" s="277" t="s">
        <v>2279</v>
      </c>
      <c r="AK131" s="303" t="s">
        <v>16</v>
      </c>
      <c r="AL131" s="303" t="s">
        <v>12</v>
      </c>
      <c r="AM131" s="290"/>
      <c r="AN131" s="281" t="b">
        <v>1</v>
      </c>
      <c r="AO131" s="258"/>
      <c r="AP131" s="346"/>
      <c r="AQ131" s="300"/>
      <c r="AR131" s="300"/>
      <c r="AS131" s="345"/>
      <c r="AT131" s="345"/>
      <c r="AU131" s="300"/>
      <c r="AV131" s="286" t="b">
        <v>0</v>
      </c>
      <c r="AW131" s="258"/>
      <c r="AX131" s="314">
        <v>46141.0</v>
      </c>
      <c r="AY131" s="302" t="s">
        <v>2280</v>
      </c>
      <c r="AZ131" s="277" t="s">
        <v>2281</v>
      </c>
      <c r="BA131" s="303" t="s">
        <v>44</v>
      </c>
      <c r="BB131" s="303" t="s">
        <v>17</v>
      </c>
      <c r="BC131" s="290"/>
      <c r="BD131" s="281" t="b">
        <v>1</v>
      </c>
      <c r="BE131" s="258"/>
      <c r="BF131" s="346"/>
      <c r="BG131" s="300"/>
      <c r="BH131" s="300"/>
      <c r="BI131" s="345"/>
      <c r="BJ131" s="345"/>
      <c r="BK131" s="300"/>
      <c r="BL131" s="286" t="b">
        <v>0</v>
      </c>
    </row>
    <row r="132" ht="22.5" customHeight="1">
      <c r="A132" s="263"/>
      <c r="B132" s="194"/>
      <c r="C132" s="61"/>
      <c r="D132" s="61"/>
      <c r="E132" s="81"/>
      <c r="F132" s="81"/>
      <c r="G132" s="61"/>
      <c r="H132" s="269" t="b">
        <v>0</v>
      </c>
      <c r="I132" s="258"/>
      <c r="J132" s="194"/>
      <c r="K132" s="61"/>
      <c r="L132" s="61"/>
      <c r="M132" s="81"/>
      <c r="N132" s="81"/>
      <c r="O132" s="61"/>
      <c r="P132" s="269" t="b">
        <v>0</v>
      </c>
      <c r="Q132" s="258"/>
      <c r="R132" s="194"/>
      <c r="S132" s="61"/>
      <c r="T132" s="61"/>
      <c r="U132" s="81"/>
      <c r="V132" s="81"/>
      <c r="W132" s="61"/>
      <c r="X132" s="269" t="b">
        <v>0</v>
      </c>
      <c r="Y132" s="258"/>
      <c r="Z132" s="194"/>
      <c r="AA132" s="61"/>
      <c r="AB132" s="61"/>
      <c r="AC132" s="81"/>
      <c r="AD132" s="81"/>
      <c r="AE132" s="61"/>
      <c r="AF132" s="269" t="b">
        <v>0</v>
      </c>
      <c r="AH132" s="276">
        <v>46133.0</v>
      </c>
      <c r="AI132" s="277" t="s">
        <v>2282</v>
      </c>
      <c r="AJ132" s="277" t="s">
        <v>2283</v>
      </c>
      <c r="AK132" s="278" t="s">
        <v>22</v>
      </c>
      <c r="AL132" s="279" t="s">
        <v>20</v>
      </c>
      <c r="AM132" s="280"/>
      <c r="AN132" s="281" t="b">
        <v>1</v>
      </c>
      <c r="AO132" s="258"/>
      <c r="AP132" s="346"/>
      <c r="AQ132" s="300"/>
      <c r="AR132" s="300"/>
      <c r="AS132" s="345"/>
      <c r="AT132" s="345"/>
      <c r="AU132" s="300"/>
      <c r="AV132" s="286" t="b">
        <v>0</v>
      </c>
      <c r="AW132" s="258"/>
      <c r="AX132" s="314">
        <v>46141.0</v>
      </c>
      <c r="AY132" s="302" t="s">
        <v>2284</v>
      </c>
      <c r="AZ132" s="277" t="s">
        <v>2285</v>
      </c>
      <c r="BA132" s="303" t="s">
        <v>16</v>
      </c>
      <c r="BB132" s="303" t="s">
        <v>12</v>
      </c>
      <c r="BC132" s="290"/>
      <c r="BD132" s="281" t="b">
        <v>1</v>
      </c>
      <c r="BE132" s="258"/>
      <c r="BF132" s="346"/>
      <c r="BG132" s="300"/>
      <c r="BH132" s="300"/>
      <c r="BI132" s="345"/>
      <c r="BJ132" s="345"/>
      <c r="BK132" s="300"/>
      <c r="BL132" s="286" t="b">
        <v>0</v>
      </c>
    </row>
    <row r="133" ht="22.5" customHeight="1">
      <c r="A133" s="263"/>
      <c r="B133" s="194"/>
      <c r="C133" s="61"/>
      <c r="D133" s="61"/>
      <c r="E133" s="81"/>
      <c r="F133" s="81"/>
      <c r="G133" s="61"/>
      <c r="H133" s="269" t="b">
        <v>0</v>
      </c>
      <c r="I133" s="258"/>
      <c r="J133" s="194"/>
      <c r="K133" s="61"/>
      <c r="L133" s="61"/>
      <c r="M133" s="81"/>
      <c r="N133" s="81"/>
      <c r="O133" s="61"/>
      <c r="P133" s="269" t="b">
        <v>0</v>
      </c>
      <c r="Q133" s="258"/>
      <c r="R133" s="194"/>
      <c r="S133" s="61"/>
      <c r="T133" s="61"/>
      <c r="U133" s="81"/>
      <c r="V133" s="81"/>
      <c r="W133" s="61"/>
      <c r="X133" s="269" t="b">
        <v>0</v>
      </c>
      <c r="Y133" s="258"/>
      <c r="Z133" s="194"/>
      <c r="AA133" s="61"/>
      <c r="AB133" s="61"/>
      <c r="AC133" s="81"/>
      <c r="AD133" s="81"/>
      <c r="AE133" s="61"/>
      <c r="AF133" s="269" t="b">
        <v>0</v>
      </c>
      <c r="AH133" s="349"/>
      <c r="AI133" s="290"/>
      <c r="AJ133" s="277"/>
      <c r="AK133" s="350"/>
      <c r="AL133" s="350"/>
      <c r="AM133" s="290"/>
      <c r="AN133" s="281" t="b">
        <v>0</v>
      </c>
      <c r="AO133" s="258"/>
      <c r="AP133" s="346"/>
      <c r="AQ133" s="300"/>
      <c r="AR133" s="300"/>
      <c r="AS133" s="345"/>
      <c r="AT133" s="345"/>
      <c r="AU133" s="300"/>
      <c r="AV133" s="286" t="b">
        <v>0</v>
      </c>
      <c r="AW133" s="258"/>
      <c r="AX133" s="314">
        <v>46141.0</v>
      </c>
      <c r="AY133" s="302" t="s">
        <v>2286</v>
      </c>
      <c r="AZ133" s="277" t="s">
        <v>2287</v>
      </c>
      <c r="BA133" s="303" t="s">
        <v>22</v>
      </c>
      <c r="BB133" s="303" t="s">
        <v>12</v>
      </c>
      <c r="BC133" s="290"/>
      <c r="BD133" s="281" t="b">
        <v>1</v>
      </c>
      <c r="BE133" s="258"/>
      <c r="BF133" s="346"/>
      <c r="BG133" s="300"/>
      <c r="BH133" s="300"/>
      <c r="BI133" s="345"/>
      <c r="BJ133" s="345"/>
      <c r="BK133" s="300"/>
      <c r="BL133" s="286" t="b">
        <v>0</v>
      </c>
    </row>
    <row r="134" ht="22.5" customHeight="1">
      <c r="A134" s="263"/>
      <c r="B134" s="194"/>
      <c r="C134" s="61"/>
      <c r="D134" s="61"/>
      <c r="E134" s="81"/>
      <c r="F134" s="81"/>
      <c r="G134" s="61"/>
      <c r="H134" s="269" t="b">
        <v>0</v>
      </c>
      <c r="I134" s="258"/>
      <c r="J134" s="194"/>
      <c r="K134" s="61"/>
      <c r="L134" s="61"/>
      <c r="M134" s="81"/>
      <c r="N134" s="81"/>
      <c r="O134" s="61"/>
      <c r="P134" s="269" t="b">
        <v>0</v>
      </c>
      <c r="Q134" s="258"/>
      <c r="R134" s="194"/>
      <c r="S134" s="61"/>
      <c r="T134" s="61"/>
      <c r="U134" s="81"/>
      <c r="V134" s="81"/>
      <c r="W134" s="61"/>
      <c r="X134" s="269" t="b">
        <v>0</v>
      </c>
      <c r="Y134" s="258"/>
      <c r="Z134" s="194"/>
      <c r="AA134" s="61"/>
      <c r="AB134" s="61"/>
      <c r="AC134" s="81"/>
      <c r="AD134" s="81"/>
      <c r="AE134" s="61"/>
      <c r="AF134" s="269" t="b">
        <v>0</v>
      </c>
      <c r="AH134" s="349"/>
      <c r="AI134" s="290"/>
      <c r="AJ134" s="277"/>
      <c r="AK134" s="350"/>
      <c r="AL134" s="350"/>
      <c r="AM134" s="290"/>
      <c r="AN134" s="281" t="b">
        <v>0</v>
      </c>
      <c r="AO134" s="258"/>
      <c r="AP134" s="346"/>
      <c r="AQ134" s="300"/>
      <c r="AR134" s="300"/>
      <c r="AS134" s="345"/>
      <c r="AT134" s="345"/>
      <c r="AU134" s="300"/>
      <c r="AV134" s="286" t="b">
        <v>0</v>
      </c>
      <c r="AW134" s="258"/>
      <c r="AX134" s="314">
        <v>46141.0</v>
      </c>
      <c r="AY134" s="302" t="s">
        <v>2288</v>
      </c>
      <c r="AZ134" s="277" t="s">
        <v>2289</v>
      </c>
      <c r="BA134" s="303" t="s">
        <v>16</v>
      </c>
      <c r="BB134" s="303" t="s">
        <v>12</v>
      </c>
      <c r="BC134" s="302" t="s">
        <v>1447</v>
      </c>
      <c r="BD134" s="281" t="b">
        <v>0</v>
      </c>
      <c r="BE134" s="258"/>
      <c r="BF134" s="346"/>
      <c r="BG134" s="300"/>
      <c r="BH134" s="300"/>
      <c r="BI134" s="345"/>
      <c r="BJ134" s="345"/>
      <c r="BK134" s="300"/>
      <c r="BL134" s="286" t="b">
        <v>0</v>
      </c>
    </row>
    <row r="135" ht="22.5" customHeight="1">
      <c r="A135" s="263"/>
      <c r="B135" s="194"/>
      <c r="C135" s="61"/>
      <c r="D135" s="61"/>
      <c r="E135" s="81"/>
      <c r="F135" s="81"/>
      <c r="G135" s="61"/>
      <c r="H135" s="269" t="b">
        <v>0</v>
      </c>
      <c r="I135" s="258"/>
      <c r="J135" s="194"/>
      <c r="K135" s="61"/>
      <c r="L135" s="61"/>
      <c r="M135" s="81"/>
      <c r="N135" s="81"/>
      <c r="O135" s="61"/>
      <c r="P135" s="269" t="b">
        <v>0</v>
      </c>
      <c r="Q135" s="258"/>
      <c r="R135" s="194"/>
      <c r="S135" s="61"/>
      <c r="T135" s="61"/>
      <c r="U135" s="81"/>
      <c r="V135" s="81"/>
      <c r="W135" s="61"/>
      <c r="X135" s="269" t="b">
        <v>0</v>
      </c>
      <c r="Y135" s="258"/>
      <c r="Z135" s="194"/>
      <c r="AA135" s="61"/>
      <c r="AB135" s="61"/>
      <c r="AC135" s="81"/>
      <c r="AD135" s="81"/>
      <c r="AE135" s="61"/>
      <c r="AF135" s="269" t="b">
        <v>0</v>
      </c>
      <c r="AH135" s="349"/>
      <c r="AI135" s="290"/>
      <c r="AJ135" s="277"/>
      <c r="AK135" s="350"/>
      <c r="AL135" s="350"/>
      <c r="AM135" s="290"/>
      <c r="AN135" s="281" t="b">
        <v>0</v>
      </c>
      <c r="AO135" s="258"/>
      <c r="AP135" s="346"/>
      <c r="AQ135" s="300"/>
      <c r="AR135" s="300"/>
      <c r="AS135" s="345"/>
      <c r="AT135" s="345"/>
      <c r="AU135" s="300"/>
      <c r="AV135" s="286" t="b">
        <v>0</v>
      </c>
      <c r="AW135" s="258"/>
      <c r="AX135" s="314">
        <v>46141.0</v>
      </c>
      <c r="AY135" s="302" t="s">
        <v>2290</v>
      </c>
      <c r="AZ135" s="277" t="s">
        <v>2291</v>
      </c>
      <c r="BA135" s="303" t="s">
        <v>44</v>
      </c>
      <c r="BB135" s="303" t="s">
        <v>12</v>
      </c>
      <c r="BC135" s="290"/>
      <c r="BD135" s="281" t="b">
        <v>1</v>
      </c>
      <c r="BE135" s="258"/>
      <c r="BF135" s="346"/>
      <c r="BG135" s="300"/>
      <c r="BH135" s="300"/>
      <c r="BI135" s="345"/>
      <c r="BJ135" s="345"/>
      <c r="BK135" s="300"/>
      <c r="BL135" s="286" t="b">
        <v>0</v>
      </c>
    </row>
    <row r="136" ht="22.5" customHeight="1">
      <c r="A136" s="263"/>
      <c r="B136" s="194"/>
      <c r="C136" s="61"/>
      <c r="D136" s="61"/>
      <c r="E136" s="81"/>
      <c r="F136" s="81"/>
      <c r="G136" s="61"/>
      <c r="H136" s="269" t="b">
        <v>0</v>
      </c>
      <c r="I136" s="258"/>
      <c r="J136" s="194"/>
      <c r="K136" s="61"/>
      <c r="L136" s="61"/>
      <c r="M136" s="81"/>
      <c r="N136" s="81"/>
      <c r="O136" s="61"/>
      <c r="P136" s="269" t="b">
        <v>0</v>
      </c>
      <c r="Q136" s="258"/>
      <c r="R136" s="194"/>
      <c r="S136" s="61"/>
      <c r="T136" s="61"/>
      <c r="U136" s="81"/>
      <c r="V136" s="81"/>
      <c r="W136" s="61"/>
      <c r="X136" s="269" t="b">
        <v>0</v>
      </c>
      <c r="Y136" s="258"/>
      <c r="Z136" s="194"/>
      <c r="AA136" s="61"/>
      <c r="AB136" s="61"/>
      <c r="AC136" s="81"/>
      <c r="AD136" s="81"/>
      <c r="AE136" s="61"/>
      <c r="AF136" s="269" t="b">
        <v>0</v>
      </c>
      <c r="AH136" s="349"/>
      <c r="AI136" s="290"/>
      <c r="AJ136" s="277"/>
      <c r="AK136" s="350"/>
      <c r="AL136" s="350"/>
      <c r="AM136" s="290"/>
      <c r="AN136" s="281" t="b">
        <v>0</v>
      </c>
      <c r="AO136" s="258"/>
      <c r="AP136" s="346"/>
      <c r="AQ136" s="300"/>
      <c r="AR136" s="300"/>
      <c r="AS136" s="345"/>
      <c r="AT136" s="345"/>
      <c r="AU136" s="300"/>
      <c r="AV136" s="286" t="b">
        <v>0</v>
      </c>
      <c r="AW136" s="258"/>
      <c r="AX136" s="314">
        <v>46141.0</v>
      </c>
      <c r="AY136" s="302" t="s">
        <v>2292</v>
      </c>
      <c r="AZ136" s="277" t="s">
        <v>2293</v>
      </c>
      <c r="BA136" s="303" t="s">
        <v>10</v>
      </c>
      <c r="BB136" s="303" t="s">
        <v>12</v>
      </c>
      <c r="BC136" s="290"/>
      <c r="BD136" s="281" t="b">
        <v>1</v>
      </c>
      <c r="BE136" s="258"/>
      <c r="BF136" s="346"/>
      <c r="BG136" s="300"/>
      <c r="BH136" s="300"/>
      <c r="BI136" s="345"/>
      <c r="BJ136" s="345"/>
      <c r="BK136" s="300"/>
      <c r="BL136" s="286" t="b">
        <v>0</v>
      </c>
    </row>
    <row r="137" ht="22.5" customHeight="1">
      <c r="A137" s="263"/>
      <c r="B137" s="194"/>
      <c r="C137" s="61"/>
      <c r="D137" s="61"/>
      <c r="E137" s="81"/>
      <c r="F137" s="81"/>
      <c r="G137" s="61"/>
      <c r="H137" s="269" t="b">
        <v>0</v>
      </c>
      <c r="I137" s="258"/>
      <c r="J137" s="194"/>
      <c r="K137" s="61"/>
      <c r="L137" s="61"/>
      <c r="M137" s="81"/>
      <c r="N137" s="81"/>
      <c r="O137" s="61"/>
      <c r="P137" s="269" t="b">
        <v>0</v>
      </c>
      <c r="Q137" s="258"/>
      <c r="R137" s="194"/>
      <c r="S137" s="61"/>
      <c r="T137" s="61"/>
      <c r="U137" s="81"/>
      <c r="V137" s="81"/>
      <c r="W137" s="61"/>
      <c r="X137" s="269" t="b">
        <v>0</v>
      </c>
      <c r="Y137" s="258"/>
      <c r="Z137" s="194"/>
      <c r="AA137" s="61"/>
      <c r="AB137" s="61"/>
      <c r="AC137" s="81"/>
      <c r="AD137" s="81"/>
      <c r="AE137" s="61"/>
      <c r="AF137" s="269" t="b">
        <v>0</v>
      </c>
      <c r="AH137" s="349"/>
      <c r="AI137" s="290"/>
      <c r="AJ137" s="277"/>
      <c r="AK137" s="350"/>
      <c r="AL137" s="350"/>
      <c r="AM137" s="290"/>
      <c r="AN137" s="281" t="b">
        <v>0</v>
      </c>
      <c r="AO137" s="258"/>
      <c r="AP137" s="346"/>
      <c r="AQ137" s="300"/>
      <c r="AR137" s="300"/>
      <c r="AS137" s="345"/>
      <c r="AT137" s="345"/>
      <c r="AU137" s="300"/>
      <c r="AV137" s="286" t="b">
        <v>0</v>
      </c>
      <c r="AW137" s="258"/>
      <c r="AX137" s="194"/>
      <c r="AY137" s="61"/>
      <c r="AZ137" s="61"/>
      <c r="BA137" s="81"/>
      <c r="BB137" s="81"/>
      <c r="BC137" s="61"/>
      <c r="BD137" s="291"/>
      <c r="BE137" s="258"/>
      <c r="BF137" s="346"/>
      <c r="BG137" s="300"/>
      <c r="BH137" s="300"/>
      <c r="BI137" s="345"/>
      <c r="BJ137" s="345"/>
      <c r="BK137" s="300"/>
      <c r="BL137" s="286" t="b">
        <v>0</v>
      </c>
    </row>
    <row r="138" ht="22.5" customHeight="1">
      <c r="A138" s="263"/>
      <c r="B138" s="194"/>
      <c r="C138" s="61"/>
      <c r="D138" s="61"/>
      <c r="E138" s="81"/>
      <c r="F138" s="81"/>
      <c r="G138" s="61"/>
      <c r="H138" s="269" t="b">
        <v>0</v>
      </c>
      <c r="I138" s="258"/>
      <c r="J138" s="194"/>
      <c r="K138" s="61"/>
      <c r="L138" s="61"/>
      <c r="M138" s="81"/>
      <c r="N138" s="81"/>
      <c r="O138" s="61"/>
      <c r="P138" s="269" t="b">
        <v>0</v>
      </c>
      <c r="Q138" s="258"/>
      <c r="R138" s="194"/>
      <c r="S138" s="61"/>
      <c r="T138" s="61"/>
      <c r="U138" s="81"/>
      <c r="V138" s="81"/>
      <c r="W138" s="61"/>
      <c r="X138" s="269" t="b">
        <v>0</v>
      </c>
      <c r="Y138" s="258"/>
      <c r="Z138" s="194"/>
      <c r="AA138" s="61"/>
      <c r="AB138" s="61"/>
      <c r="AC138" s="81"/>
      <c r="AD138" s="81"/>
      <c r="AE138" s="61"/>
      <c r="AF138" s="269" t="b">
        <v>0</v>
      </c>
      <c r="AH138" s="349"/>
      <c r="AI138" s="290"/>
      <c r="AJ138" s="277"/>
      <c r="AK138" s="350"/>
      <c r="AL138" s="350"/>
      <c r="AM138" s="290"/>
      <c r="AN138" s="281" t="b">
        <v>0</v>
      </c>
      <c r="AO138" s="258"/>
      <c r="AP138" s="346"/>
      <c r="AQ138" s="300"/>
      <c r="AR138" s="300"/>
      <c r="AS138" s="345"/>
      <c r="AT138" s="345"/>
      <c r="AU138" s="300"/>
      <c r="AV138" s="286" t="b">
        <v>0</v>
      </c>
      <c r="AW138" s="258"/>
      <c r="AX138" s="314">
        <v>46141.0</v>
      </c>
      <c r="AY138" s="302" t="s">
        <v>2294</v>
      </c>
      <c r="AZ138" s="277" t="s">
        <v>2295</v>
      </c>
      <c r="BA138" s="303" t="s">
        <v>10</v>
      </c>
      <c r="BB138" s="303" t="s">
        <v>12</v>
      </c>
      <c r="BC138" s="290"/>
      <c r="BD138" s="281" t="b">
        <v>1</v>
      </c>
      <c r="BE138" s="258"/>
      <c r="BF138" s="346"/>
      <c r="BG138" s="300"/>
      <c r="BH138" s="300"/>
      <c r="BI138" s="345"/>
      <c r="BJ138" s="345"/>
      <c r="BK138" s="300"/>
      <c r="BL138" s="286" t="b">
        <v>0</v>
      </c>
    </row>
    <row r="139" ht="22.5" customHeight="1">
      <c r="A139" s="263"/>
      <c r="B139" s="194"/>
      <c r="C139" s="61"/>
      <c r="D139" s="61"/>
      <c r="E139" s="81"/>
      <c r="F139" s="81"/>
      <c r="G139" s="61"/>
      <c r="H139" s="269" t="b">
        <v>0</v>
      </c>
      <c r="I139" s="258"/>
      <c r="J139" s="194"/>
      <c r="K139" s="61"/>
      <c r="L139" s="61"/>
      <c r="M139" s="81"/>
      <c r="N139" s="81"/>
      <c r="O139" s="61"/>
      <c r="P139" s="269" t="b">
        <v>0</v>
      </c>
      <c r="Q139" s="258"/>
      <c r="R139" s="194"/>
      <c r="S139" s="61"/>
      <c r="T139" s="61"/>
      <c r="U139" s="81"/>
      <c r="V139" s="81"/>
      <c r="W139" s="61"/>
      <c r="X139" s="269" t="b">
        <v>0</v>
      </c>
      <c r="Y139" s="258"/>
      <c r="Z139" s="194"/>
      <c r="AA139" s="61"/>
      <c r="AB139" s="61"/>
      <c r="AC139" s="81"/>
      <c r="AD139" s="81"/>
      <c r="AE139" s="61"/>
      <c r="AF139" s="269" t="b">
        <v>0</v>
      </c>
      <c r="AH139" s="349"/>
      <c r="AI139" s="290"/>
      <c r="AJ139" s="277"/>
      <c r="AK139" s="350"/>
      <c r="AL139" s="350"/>
      <c r="AM139" s="290"/>
      <c r="AN139" s="281" t="b">
        <v>0</v>
      </c>
      <c r="AO139" s="258"/>
      <c r="AP139" s="346"/>
      <c r="AQ139" s="300"/>
      <c r="AR139" s="300"/>
      <c r="AS139" s="345"/>
      <c r="AT139" s="345"/>
      <c r="AU139" s="300"/>
      <c r="AV139" s="286" t="b">
        <v>0</v>
      </c>
      <c r="AW139" s="258"/>
      <c r="AX139" s="314">
        <v>46141.0</v>
      </c>
      <c r="AY139" s="302" t="s">
        <v>2296</v>
      </c>
      <c r="AZ139" s="277" t="s">
        <v>2297</v>
      </c>
      <c r="BA139" s="303" t="s">
        <v>10</v>
      </c>
      <c r="BB139" s="303" t="s">
        <v>12</v>
      </c>
      <c r="BC139" s="290"/>
      <c r="BD139" s="281" t="b">
        <v>1</v>
      </c>
      <c r="BE139" s="258"/>
      <c r="BF139" s="346"/>
      <c r="BG139" s="300"/>
      <c r="BH139" s="300"/>
      <c r="BI139" s="345"/>
      <c r="BJ139" s="345"/>
      <c r="BK139" s="300"/>
      <c r="BL139" s="286" t="b">
        <v>0</v>
      </c>
    </row>
    <row r="140" ht="22.5" customHeight="1">
      <c r="A140" s="263"/>
      <c r="B140" s="194"/>
      <c r="C140" s="61"/>
      <c r="D140" s="61"/>
      <c r="E140" s="81"/>
      <c r="F140" s="81"/>
      <c r="G140" s="61"/>
      <c r="H140" s="269" t="b">
        <v>0</v>
      </c>
      <c r="I140" s="258"/>
      <c r="J140" s="194"/>
      <c r="K140" s="61"/>
      <c r="L140" s="61"/>
      <c r="M140" s="81"/>
      <c r="N140" s="81"/>
      <c r="O140" s="61"/>
      <c r="P140" s="269" t="b">
        <v>0</v>
      </c>
      <c r="Q140" s="258"/>
      <c r="R140" s="194"/>
      <c r="S140" s="61"/>
      <c r="T140" s="61"/>
      <c r="U140" s="81"/>
      <c r="V140" s="81"/>
      <c r="W140" s="61"/>
      <c r="X140" s="269" t="b">
        <v>0</v>
      </c>
      <c r="Y140" s="258"/>
      <c r="Z140" s="194"/>
      <c r="AA140" s="61"/>
      <c r="AB140" s="61"/>
      <c r="AC140" s="81"/>
      <c r="AD140" s="81"/>
      <c r="AE140" s="61"/>
      <c r="AF140" s="269" t="b">
        <v>0</v>
      </c>
      <c r="AH140" s="349"/>
      <c r="AI140" s="290"/>
      <c r="AJ140" s="277"/>
      <c r="AK140" s="350"/>
      <c r="AL140" s="350"/>
      <c r="AM140" s="290"/>
      <c r="AN140" s="281" t="b">
        <v>0</v>
      </c>
      <c r="AO140" s="258"/>
      <c r="AP140" s="346"/>
      <c r="AQ140" s="300"/>
      <c r="AR140" s="300"/>
      <c r="AS140" s="345"/>
      <c r="AT140" s="345"/>
      <c r="AU140" s="300"/>
      <c r="AV140" s="286" t="b">
        <v>0</v>
      </c>
      <c r="AW140" s="258"/>
      <c r="AX140" s="314">
        <v>46141.0</v>
      </c>
      <c r="AY140" s="302" t="s">
        <v>2298</v>
      </c>
      <c r="AZ140" s="277" t="s">
        <v>2299</v>
      </c>
      <c r="BA140" s="303" t="s">
        <v>13</v>
      </c>
      <c r="BB140" s="303" t="s">
        <v>12</v>
      </c>
      <c r="BC140" s="290"/>
      <c r="BD140" s="281" t="b">
        <v>1</v>
      </c>
      <c r="BE140" s="258"/>
      <c r="BF140" s="346"/>
      <c r="BG140" s="300"/>
      <c r="BH140" s="300"/>
      <c r="BI140" s="345"/>
      <c r="BJ140" s="345"/>
      <c r="BK140" s="300"/>
      <c r="BL140" s="286" t="b">
        <v>0</v>
      </c>
    </row>
    <row r="141" ht="22.5" customHeight="1">
      <c r="A141" s="263"/>
      <c r="B141" s="194"/>
      <c r="C141" s="61"/>
      <c r="D141" s="61"/>
      <c r="E141" s="81"/>
      <c r="F141" s="81"/>
      <c r="G141" s="61"/>
      <c r="H141" s="269" t="b">
        <v>0</v>
      </c>
      <c r="I141" s="258"/>
      <c r="J141" s="194"/>
      <c r="K141" s="61"/>
      <c r="L141" s="61"/>
      <c r="M141" s="81"/>
      <c r="N141" s="81"/>
      <c r="O141" s="61"/>
      <c r="P141" s="269" t="b">
        <v>0</v>
      </c>
      <c r="Q141" s="258"/>
      <c r="R141" s="194"/>
      <c r="S141" s="61"/>
      <c r="T141" s="61"/>
      <c r="U141" s="81"/>
      <c r="V141" s="81"/>
      <c r="W141" s="61"/>
      <c r="X141" s="269" t="b">
        <v>0</v>
      </c>
      <c r="Y141" s="258"/>
      <c r="Z141" s="194"/>
      <c r="AA141" s="61"/>
      <c r="AB141" s="61"/>
      <c r="AC141" s="81"/>
      <c r="AD141" s="81"/>
      <c r="AE141" s="61"/>
      <c r="AF141" s="269" t="b">
        <v>0</v>
      </c>
      <c r="AH141" s="349"/>
      <c r="AI141" s="290"/>
      <c r="AJ141" s="277"/>
      <c r="AK141" s="350"/>
      <c r="AL141" s="350"/>
      <c r="AM141" s="290"/>
      <c r="AN141" s="281" t="b">
        <v>0</v>
      </c>
      <c r="AO141" s="258"/>
      <c r="AP141" s="346"/>
      <c r="AQ141" s="300"/>
      <c r="AR141" s="300"/>
      <c r="AS141" s="345"/>
      <c r="AT141" s="345"/>
      <c r="AU141" s="300"/>
      <c r="AV141" s="286" t="b">
        <v>0</v>
      </c>
      <c r="AW141" s="258"/>
      <c r="AX141" s="314">
        <v>46141.0</v>
      </c>
      <c r="AY141" s="302" t="s">
        <v>2300</v>
      </c>
      <c r="AZ141" s="277" t="s">
        <v>2301</v>
      </c>
      <c r="BA141" s="303" t="s">
        <v>13</v>
      </c>
      <c r="BB141" s="303" t="s">
        <v>12</v>
      </c>
      <c r="BC141" s="290"/>
      <c r="BD141" s="281" t="b">
        <v>1</v>
      </c>
      <c r="BE141" s="258"/>
      <c r="BF141" s="346"/>
      <c r="BG141" s="300"/>
      <c r="BH141" s="300"/>
      <c r="BI141" s="345"/>
      <c r="BJ141" s="345"/>
      <c r="BK141" s="300"/>
      <c r="BL141" s="286" t="b">
        <v>0</v>
      </c>
    </row>
    <row r="142" ht="22.5" customHeight="1">
      <c r="A142" s="263"/>
      <c r="B142" s="194"/>
      <c r="C142" s="61"/>
      <c r="D142" s="61"/>
      <c r="E142" s="81"/>
      <c r="F142" s="81"/>
      <c r="G142" s="61"/>
      <c r="H142" s="269" t="b">
        <v>0</v>
      </c>
      <c r="I142" s="258"/>
      <c r="J142" s="194"/>
      <c r="K142" s="61"/>
      <c r="L142" s="61"/>
      <c r="M142" s="81"/>
      <c r="N142" s="81"/>
      <c r="O142" s="61"/>
      <c r="P142" s="269" t="b">
        <v>0</v>
      </c>
      <c r="Q142" s="258"/>
      <c r="R142" s="194"/>
      <c r="S142" s="61"/>
      <c r="T142" s="61"/>
      <c r="U142" s="81"/>
      <c r="V142" s="81"/>
      <c r="W142" s="61"/>
      <c r="X142" s="269" t="b">
        <v>0</v>
      </c>
      <c r="Y142" s="258"/>
      <c r="Z142" s="194"/>
      <c r="AA142" s="61"/>
      <c r="AB142" s="61"/>
      <c r="AC142" s="81"/>
      <c r="AD142" s="81"/>
      <c r="AE142" s="61"/>
      <c r="AF142" s="269" t="b">
        <v>0</v>
      </c>
      <c r="AH142" s="349"/>
      <c r="AI142" s="290"/>
      <c r="AJ142" s="277"/>
      <c r="AK142" s="350"/>
      <c r="AL142" s="350"/>
      <c r="AM142" s="290"/>
      <c r="AN142" s="281" t="b">
        <v>0</v>
      </c>
      <c r="AO142" s="258"/>
      <c r="AP142" s="346"/>
      <c r="AQ142" s="300"/>
      <c r="AR142" s="300"/>
      <c r="AS142" s="345"/>
      <c r="AT142" s="345"/>
      <c r="AU142" s="300"/>
      <c r="AV142" s="286" t="b">
        <v>0</v>
      </c>
      <c r="AW142" s="258"/>
      <c r="AX142" s="314">
        <v>46141.0</v>
      </c>
      <c r="AY142" s="302" t="s">
        <v>2302</v>
      </c>
      <c r="AZ142" s="277" t="s">
        <v>2303</v>
      </c>
      <c r="BA142" s="303" t="s">
        <v>24</v>
      </c>
      <c r="BB142" s="303" t="s">
        <v>20</v>
      </c>
      <c r="BC142" s="290"/>
      <c r="BD142" s="281" t="b">
        <v>1</v>
      </c>
      <c r="BE142" s="258"/>
      <c r="BF142" s="346"/>
      <c r="BG142" s="300"/>
      <c r="BH142" s="300"/>
      <c r="BI142" s="345"/>
      <c r="BJ142" s="345"/>
      <c r="BK142" s="300"/>
      <c r="BL142" s="286" t="b">
        <v>0</v>
      </c>
    </row>
    <row r="143" ht="22.5" customHeight="1">
      <c r="A143" s="263"/>
      <c r="B143" s="194"/>
      <c r="C143" s="61"/>
      <c r="D143" s="61"/>
      <c r="E143" s="81"/>
      <c r="F143" s="81"/>
      <c r="G143" s="61"/>
      <c r="H143" s="269" t="b">
        <v>0</v>
      </c>
      <c r="I143" s="258"/>
      <c r="J143" s="194"/>
      <c r="K143" s="61"/>
      <c r="L143" s="61"/>
      <c r="M143" s="81"/>
      <c r="N143" s="81"/>
      <c r="O143" s="61"/>
      <c r="P143" s="269" t="b">
        <v>0</v>
      </c>
      <c r="Q143" s="258"/>
      <c r="R143" s="194"/>
      <c r="S143" s="61"/>
      <c r="T143" s="61"/>
      <c r="U143" s="81"/>
      <c r="V143" s="81"/>
      <c r="W143" s="61"/>
      <c r="X143" s="269" t="b">
        <v>0</v>
      </c>
      <c r="Y143" s="258"/>
      <c r="Z143" s="194"/>
      <c r="AA143" s="61"/>
      <c r="AB143" s="61"/>
      <c r="AC143" s="81"/>
      <c r="AD143" s="81"/>
      <c r="AE143" s="61"/>
      <c r="AF143" s="269" t="b">
        <v>0</v>
      </c>
      <c r="AH143" s="349"/>
      <c r="AI143" s="290"/>
      <c r="AJ143" s="277"/>
      <c r="AK143" s="350"/>
      <c r="AL143" s="350"/>
      <c r="AM143" s="290"/>
      <c r="AN143" s="281" t="b">
        <v>0</v>
      </c>
      <c r="AO143" s="258"/>
      <c r="AP143" s="346"/>
      <c r="AQ143" s="300"/>
      <c r="AR143" s="300"/>
      <c r="AS143" s="345"/>
      <c r="AT143" s="345"/>
      <c r="AU143" s="300"/>
      <c r="AV143" s="286" t="b">
        <v>0</v>
      </c>
      <c r="AW143" s="258"/>
      <c r="AX143" s="314">
        <v>46141.0</v>
      </c>
      <c r="AY143" s="302" t="s">
        <v>2304</v>
      </c>
      <c r="AZ143" s="277" t="s">
        <v>2305</v>
      </c>
      <c r="BA143" s="303" t="s">
        <v>32</v>
      </c>
      <c r="BB143" s="303" t="s">
        <v>20</v>
      </c>
      <c r="BC143" s="302" t="s">
        <v>2306</v>
      </c>
      <c r="BD143" s="281" t="b">
        <v>0</v>
      </c>
      <c r="BE143" s="258"/>
      <c r="BF143" s="346"/>
      <c r="BG143" s="300"/>
      <c r="BH143" s="300"/>
      <c r="BI143" s="345"/>
      <c r="BJ143" s="345"/>
      <c r="BK143" s="300"/>
      <c r="BL143" s="286" t="b">
        <v>0</v>
      </c>
    </row>
    <row r="144" ht="22.5" customHeight="1">
      <c r="A144" s="263"/>
      <c r="B144" s="194"/>
      <c r="C144" s="61"/>
      <c r="D144" s="61"/>
      <c r="E144" s="81"/>
      <c r="F144" s="81"/>
      <c r="G144" s="61"/>
      <c r="H144" s="269" t="b">
        <v>0</v>
      </c>
      <c r="I144" s="258"/>
      <c r="J144" s="194"/>
      <c r="K144" s="61"/>
      <c r="L144" s="61"/>
      <c r="M144" s="81"/>
      <c r="N144" s="81"/>
      <c r="O144" s="61"/>
      <c r="P144" s="269" t="b">
        <v>0</v>
      </c>
      <c r="Q144" s="258"/>
      <c r="R144" s="194"/>
      <c r="S144" s="61"/>
      <c r="T144" s="61"/>
      <c r="U144" s="81"/>
      <c r="V144" s="81"/>
      <c r="W144" s="61"/>
      <c r="X144" s="269" t="b">
        <v>0</v>
      </c>
      <c r="Y144" s="258"/>
      <c r="Z144" s="194"/>
      <c r="AA144" s="61"/>
      <c r="AB144" s="61"/>
      <c r="AC144" s="81"/>
      <c r="AD144" s="81"/>
      <c r="AE144" s="61"/>
      <c r="AF144" s="269" t="b">
        <v>0</v>
      </c>
      <c r="AH144" s="349"/>
      <c r="AI144" s="290"/>
      <c r="AJ144" s="277"/>
      <c r="AK144" s="350"/>
      <c r="AL144" s="350"/>
      <c r="AM144" s="290"/>
      <c r="AN144" s="281" t="b">
        <v>0</v>
      </c>
      <c r="AO144" s="258"/>
      <c r="AP144" s="346"/>
      <c r="AQ144" s="300"/>
      <c r="AR144" s="300"/>
      <c r="AS144" s="345"/>
      <c r="AT144" s="345"/>
      <c r="AU144" s="300"/>
      <c r="AV144" s="286" t="b">
        <v>0</v>
      </c>
      <c r="AW144" s="258"/>
      <c r="AX144" s="314">
        <v>46141.0</v>
      </c>
      <c r="AY144" s="302" t="s">
        <v>2307</v>
      </c>
      <c r="AZ144" s="277" t="s">
        <v>2308</v>
      </c>
      <c r="BA144" s="303" t="s">
        <v>16</v>
      </c>
      <c r="BB144" s="303" t="s">
        <v>20</v>
      </c>
      <c r="BC144" s="290"/>
      <c r="BD144" s="281" t="b">
        <v>1</v>
      </c>
      <c r="BE144" s="258"/>
      <c r="BF144" s="346"/>
      <c r="BG144" s="300"/>
      <c r="BH144" s="300"/>
      <c r="BI144" s="345"/>
      <c r="BJ144" s="345"/>
      <c r="BK144" s="300"/>
      <c r="BL144" s="286" t="b">
        <v>0</v>
      </c>
    </row>
    <row r="145" ht="22.5" customHeight="1">
      <c r="A145" s="263"/>
      <c r="B145" s="194"/>
      <c r="C145" s="61"/>
      <c r="D145" s="61"/>
      <c r="E145" s="81"/>
      <c r="F145" s="81"/>
      <c r="G145" s="61"/>
      <c r="H145" s="269" t="b">
        <v>0</v>
      </c>
      <c r="I145" s="258"/>
      <c r="J145" s="194"/>
      <c r="K145" s="61"/>
      <c r="L145" s="61"/>
      <c r="M145" s="81"/>
      <c r="N145" s="81"/>
      <c r="O145" s="61"/>
      <c r="P145" s="269" t="b">
        <v>0</v>
      </c>
      <c r="Q145" s="258"/>
      <c r="R145" s="194"/>
      <c r="S145" s="61"/>
      <c r="T145" s="61"/>
      <c r="U145" s="81"/>
      <c r="V145" s="81"/>
      <c r="W145" s="61"/>
      <c r="X145" s="269" t="b">
        <v>0</v>
      </c>
      <c r="Y145" s="258"/>
      <c r="Z145" s="194"/>
      <c r="AA145" s="61"/>
      <c r="AB145" s="61"/>
      <c r="AC145" s="81"/>
      <c r="AD145" s="81"/>
      <c r="AE145" s="61"/>
      <c r="AF145" s="269" t="b">
        <v>0</v>
      </c>
      <c r="AH145" s="349"/>
      <c r="AI145" s="290"/>
      <c r="AJ145" s="277"/>
      <c r="AK145" s="350"/>
      <c r="AL145" s="350"/>
      <c r="AM145" s="290"/>
      <c r="AN145" s="281" t="b">
        <v>0</v>
      </c>
      <c r="AO145" s="258"/>
      <c r="AP145" s="346"/>
      <c r="AQ145" s="300"/>
      <c r="AR145" s="300"/>
      <c r="AS145" s="345"/>
      <c r="AT145" s="345"/>
      <c r="AU145" s="300"/>
      <c r="AV145" s="286" t="b">
        <v>0</v>
      </c>
      <c r="AW145" s="258"/>
      <c r="AX145" s="314">
        <v>46141.0</v>
      </c>
      <c r="AY145" s="302" t="s">
        <v>2309</v>
      </c>
      <c r="AZ145" s="277" t="s">
        <v>2310</v>
      </c>
      <c r="BA145" s="303" t="s">
        <v>16</v>
      </c>
      <c r="BB145" s="303" t="s">
        <v>20</v>
      </c>
      <c r="BC145" s="290"/>
      <c r="BD145" s="281" t="b">
        <v>1</v>
      </c>
      <c r="BE145" s="258"/>
      <c r="BF145" s="346"/>
      <c r="BG145" s="300"/>
      <c r="BH145" s="300"/>
      <c r="BI145" s="345"/>
      <c r="BJ145" s="345"/>
      <c r="BK145" s="300"/>
      <c r="BL145" s="286" t="b">
        <v>0</v>
      </c>
    </row>
    <row r="146" ht="22.5" customHeight="1">
      <c r="A146" s="263"/>
      <c r="B146" s="194"/>
      <c r="C146" s="61"/>
      <c r="D146" s="61"/>
      <c r="E146" s="81"/>
      <c r="F146" s="81"/>
      <c r="G146" s="61"/>
      <c r="H146" s="269" t="b">
        <v>0</v>
      </c>
      <c r="I146" s="258"/>
      <c r="J146" s="194"/>
      <c r="K146" s="61"/>
      <c r="L146" s="61"/>
      <c r="M146" s="81"/>
      <c r="N146" s="81"/>
      <c r="O146" s="61"/>
      <c r="P146" s="269" t="b">
        <v>0</v>
      </c>
      <c r="Q146" s="258"/>
      <c r="R146" s="194"/>
      <c r="S146" s="61"/>
      <c r="T146" s="61"/>
      <c r="U146" s="81"/>
      <c r="V146" s="81"/>
      <c r="W146" s="61"/>
      <c r="X146" s="269" t="b">
        <v>0</v>
      </c>
      <c r="Y146" s="258"/>
      <c r="Z146" s="194"/>
      <c r="AA146" s="61"/>
      <c r="AB146" s="61"/>
      <c r="AC146" s="81"/>
      <c r="AD146" s="81"/>
      <c r="AE146" s="61"/>
      <c r="AF146" s="269" t="b">
        <v>0</v>
      </c>
      <c r="AH146" s="349"/>
      <c r="AI146" s="290"/>
      <c r="AJ146" s="277"/>
      <c r="AK146" s="350"/>
      <c r="AL146" s="350"/>
      <c r="AM146" s="290"/>
      <c r="AN146" s="281" t="b">
        <v>0</v>
      </c>
      <c r="AO146" s="258"/>
      <c r="AP146" s="346"/>
      <c r="AQ146" s="300"/>
      <c r="AR146" s="300"/>
      <c r="AS146" s="345"/>
      <c r="AT146" s="345"/>
      <c r="AU146" s="300"/>
      <c r="AV146" s="286" t="b">
        <v>0</v>
      </c>
      <c r="AW146" s="258"/>
      <c r="AX146" s="314">
        <v>46141.0</v>
      </c>
      <c r="AY146" s="302" t="s">
        <v>2311</v>
      </c>
      <c r="AZ146" s="277" t="s">
        <v>2312</v>
      </c>
      <c r="BA146" s="303" t="s">
        <v>16</v>
      </c>
      <c r="BB146" s="303" t="s">
        <v>20</v>
      </c>
      <c r="BC146" s="290"/>
      <c r="BD146" s="281" t="b">
        <v>1</v>
      </c>
      <c r="BE146" s="258"/>
      <c r="BF146" s="346"/>
      <c r="BG146" s="300"/>
      <c r="BH146" s="300"/>
      <c r="BI146" s="345"/>
      <c r="BJ146" s="345"/>
      <c r="BK146" s="300"/>
      <c r="BL146" s="286" t="b">
        <v>0</v>
      </c>
    </row>
    <row r="147" ht="22.5" customHeight="1">
      <c r="A147" s="263"/>
      <c r="B147" s="194"/>
      <c r="C147" s="61"/>
      <c r="D147" s="61"/>
      <c r="E147" s="81"/>
      <c r="F147" s="81"/>
      <c r="G147" s="61"/>
      <c r="H147" s="269" t="b">
        <v>0</v>
      </c>
      <c r="I147" s="258"/>
      <c r="J147" s="194"/>
      <c r="K147" s="61"/>
      <c r="L147" s="61"/>
      <c r="M147" s="81"/>
      <c r="N147" s="81"/>
      <c r="O147" s="61"/>
      <c r="P147" s="269" t="b">
        <v>0</v>
      </c>
      <c r="Q147" s="258"/>
      <c r="R147" s="194"/>
      <c r="S147" s="61"/>
      <c r="T147" s="61"/>
      <c r="U147" s="81"/>
      <c r="V147" s="81"/>
      <c r="W147" s="61"/>
      <c r="X147" s="269" t="b">
        <v>0</v>
      </c>
      <c r="Y147" s="258"/>
      <c r="Z147" s="194"/>
      <c r="AA147" s="61"/>
      <c r="AB147" s="61"/>
      <c r="AC147" s="81"/>
      <c r="AD147" s="81"/>
      <c r="AE147" s="61"/>
      <c r="AF147" s="269" t="b">
        <v>0</v>
      </c>
      <c r="AH147" s="349"/>
      <c r="AI147" s="290"/>
      <c r="AJ147" s="277"/>
      <c r="AK147" s="350"/>
      <c r="AL147" s="350"/>
      <c r="AM147" s="290"/>
      <c r="AN147" s="281" t="b">
        <v>0</v>
      </c>
      <c r="AO147" s="258"/>
      <c r="AP147" s="346"/>
      <c r="AQ147" s="300"/>
      <c r="AR147" s="300"/>
      <c r="AS147" s="345"/>
      <c r="AT147" s="345"/>
      <c r="AU147" s="300"/>
      <c r="AV147" s="286" t="b">
        <v>0</v>
      </c>
      <c r="AW147" s="258"/>
      <c r="AX147" s="314">
        <v>46141.0</v>
      </c>
      <c r="AY147" s="302" t="s">
        <v>2313</v>
      </c>
      <c r="AZ147" s="277" t="s">
        <v>2314</v>
      </c>
      <c r="BA147" s="303" t="s">
        <v>16</v>
      </c>
      <c r="BB147" s="303" t="s">
        <v>20</v>
      </c>
      <c r="BC147" s="290"/>
      <c r="BD147" s="281" t="b">
        <v>1</v>
      </c>
      <c r="BE147" s="258"/>
      <c r="BF147" s="346"/>
      <c r="BG147" s="300"/>
      <c r="BH147" s="300"/>
      <c r="BI147" s="345"/>
      <c r="BJ147" s="345"/>
      <c r="BK147" s="300"/>
      <c r="BL147" s="286" t="b">
        <v>0</v>
      </c>
    </row>
    <row r="148" ht="22.5" customHeight="1">
      <c r="A148" s="263"/>
      <c r="B148" s="194"/>
      <c r="C148" s="61"/>
      <c r="D148" s="61"/>
      <c r="E148" s="81"/>
      <c r="F148" s="81"/>
      <c r="G148" s="61"/>
      <c r="H148" s="269" t="b">
        <v>0</v>
      </c>
      <c r="I148" s="258"/>
      <c r="J148" s="194"/>
      <c r="K148" s="61"/>
      <c r="L148" s="61"/>
      <c r="M148" s="81"/>
      <c r="N148" s="81"/>
      <c r="O148" s="61"/>
      <c r="P148" s="269" t="b">
        <v>0</v>
      </c>
      <c r="Q148" s="258"/>
      <c r="R148" s="194"/>
      <c r="S148" s="61"/>
      <c r="T148" s="61"/>
      <c r="U148" s="81"/>
      <c r="V148" s="81"/>
      <c r="W148" s="61"/>
      <c r="X148" s="269" t="b">
        <v>0</v>
      </c>
      <c r="Y148" s="258"/>
      <c r="Z148" s="194"/>
      <c r="AA148" s="61"/>
      <c r="AB148" s="61"/>
      <c r="AC148" s="81"/>
      <c r="AD148" s="81"/>
      <c r="AE148" s="61"/>
      <c r="AF148" s="269" t="b">
        <v>0</v>
      </c>
      <c r="AH148" s="349"/>
      <c r="AI148" s="290"/>
      <c r="AJ148" s="277"/>
      <c r="AK148" s="350"/>
      <c r="AL148" s="350"/>
      <c r="AM148" s="290"/>
      <c r="AN148" s="281" t="b">
        <v>0</v>
      </c>
      <c r="AO148" s="258"/>
      <c r="AP148" s="346"/>
      <c r="AQ148" s="300"/>
      <c r="AR148" s="300"/>
      <c r="AS148" s="345"/>
      <c r="AT148" s="345"/>
      <c r="AU148" s="300"/>
      <c r="AV148" s="286" t="b">
        <v>0</v>
      </c>
      <c r="AW148" s="258"/>
      <c r="AX148" s="314">
        <v>46141.0</v>
      </c>
      <c r="AY148" s="302" t="s">
        <v>2315</v>
      </c>
      <c r="AZ148" s="277" t="s">
        <v>2316</v>
      </c>
      <c r="BA148" s="303" t="s">
        <v>22</v>
      </c>
      <c r="BB148" s="303" t="s">
        <v>20</v>
      </c>
      <c r="BC148" s="290"/>
      <c r="BD148" s="281" t="b">
        <v>1</v>
      </c>
      <c r="BE148" s="258"/>
      <c r="BF148" s="346"/>
      <c r="BG148" s="300"/>
      <c r="BH148" s="300"/>
      <c r="BI148" s="345"/>
      <c r="BJ148" s="345"/>
      <c r="BK148" s="300"/>
      <c r="BL148" s="286" t="b">
        <v>0</v>
      </c>
    </row>
    <row r="149" ht="22.5" customHeight="1">
      <c r="A149" s="263"/>
      <c r="B149" s="194"/>
      <c r="C149" s="61"/>
      <c r="D149" s="61"/>
      <c r="E149" s="81"/>
      <c r="F149" s="81"/>
      <c r="G149" s="61"/>
      <c r="H149" s="269" t="b">
        <v>0</v>
      </c>
      <c r="I149" s="258"/>
      <c r="J149" s="194"/>
      <c r="K149" s="61"/>
      <c r="L149" s="61"/>
      <c r="M149" s="81"/>
      <c r="N149" s="81"/>
      <c r="O149" s="61"/>
      <c r="P149" s="269" t="b">
        <v>0</v>
      </c>
      <c r="Q149" s="258"/>
      <c r="R149" s="194"/>
      <c r="S149" s="61"/>
      <c r="T149" s="61"/>
      <c r="U149" s="81"/>
      <c r="V149" s="81"/>
      <c r="W149" s="61"/>
      <c r="X149" s="269" t="b">
        <v>0</v>
      </c>
      <c r="Y149" s="258"/>
      <c r="Z149" s="194"/>
      <c r="AA149" s="61"/>
      <c r="AB149" s="61"/>
      <c r="AC149" s="81"/>
      <c r="AD149" s="81"/>
      <c r="AE149" s="61"/>
      <c r="AF149" s="269" t="b">
        <v>0</v>
      </c>
      <c r="AH149" s="349"/>
      <c r="AI149" s="290"/>
      <c r="AJ149" s="277"/>
      <c r="AK149" s="350"/>
      <c r="AL149" s="350"/>
      <c r="AM149" s="290"/>
      <c r="AN149" s="281" t="b">
        <v>0</v>
      </c>
      <c r="AO149" s="258"/>
      <c r="AP149" s="346"/>
      <c r="AQ149" s="300"/>
      <c r="AR149" s="300"/>
      <c r="AS149" s="345"/>
      <c r="AT149" s="345"/>
      <c r="AU149" s="300"/>
      <c r="AV149" s="286" t="b">
        <v>0</v>
      </c>
      <c r="AW149" s="258"/>
      <c r="AX149" s="314">
        <v>46141.0</v>
      </c>
      <c r="AY149" s="302" t="s">
        <v>2317</v>
      </c>
      <c r="AZ149" s="277" t="s">
        <v>2318</v>
      </c>
      <c r="BA149" s="303" t="s">
        <v>22</v>
      </c>
      <c r="BB149" s="303" t="s">
        <v>20</v>
      </c>
      <c r="BC149" s="290"/>
      <c r="BD149" s="281" t="b">
        <v>1</v>
      </c>
      <c r="BE149" s="258"/>
      <c r="BF149" s="346"/>
      <c r="BG149" s="300"/>
      <c r="BH149" s="300"/>
      <c r="BI149" s="345"/>
      <c r="BJ149" s="345"/>
      <c r="BK149" s="300"/>
      <c r="BL149" s="286" t="b">
        <v>0</v>
      </c>
    </row>
    <row r="150" ht="22.5" customHeight="1">
      <c r="A150" s="263"/>
      <c r="B150" s="194"/>
      <c r="C150" s="61"/>
      <c r="D150" s="61"/>
      <c r="E150" s="81"/>
      <c r="F150" s="81"/>
      <c r="G150" s="61"/>
      <c r="H150" s="269" t="b">
        <v>0</v>
      </c>
      <c r="I150" s="258"/>
      <c r="J150" s="194"/>
      <c r="K150" s="61"/>
      <c r="L150" s="61"/>
      <c r="M150" s="81"/>
      <c r="N150" s="81"/>
      <c r="O150" s="61"/>
      <c r="P150" s="269" t="b">
        <v>0</v>
      </c>
      <c r="Q150" s="258"/>
      <c r="R150" s="194"/>
      <c r="S150" s="61"/>
      <c r="T150" s="61"/>
      <c r="U150" s="81"/>
      <c r="V150" s="81"/>
      <c r="W150" s="61"/>
      <c r="X150" s="269" t="b">
        <v>0</v>
      </c>
      <c r="Y150" s="258"/>
      <c r="Z150" s="194"/>
      <c r="AA150" s="61"/>
      <c r="AB150" s="61"/>
      <c r="AC150" s="81"/>
      <c r="AD150" s="81"/>
      <c r="AE150" s="61"/>
      <c r="AF150" s="269" t="b">
        <v>0</v>
      </c>
      <c r="AH150" s="349"/>
      <c r="AI150" s="290"/>
      <c r="AJ150" s="277"/>
      <c r="AK150" s="350"/>
      <c r="AL150" s="350"/>
      <c r="AM150" s="290"/>
      <c r="AN150" s="281" t="b">
        <v>0</v>
      </c>
      <c r="AO150" s="258"/>
      <c r="AP150" s="346"/>
      <c r="AQ150" s="300"/>
      <c r="AR150" s="300"/>
      <c r="AS150" s="345"/>
      <c r="AT150" s="345"/>
      <c r="AU150" s="300"/>
      <c r="AV150" s="286" t="b">
        <v>0</v>
      </c>
      <c r="AW150" s="258"/>
      <c r="AX150" s="314">
        <v>46141.0</v>
      </c>
      <c r="AY150" s="302" t="s">
        <v>2319</v>
      </c>
      <c r="AZ150" s="277" t="s">
        <v>2320</v>
      </c>
      <c r="BA150" s="303" t="s">
        <v>22</v>
      </c>
      <c r="BB150" s="303" t="s">
        <v>20</v>
      </c>
      <c r="BC150" s="290"/>
      <c r="BD150" s="281" t="b">
        <v>1</v>
      </c>
      <c r="BE150" s="258"/>
      <c r="BF150" s="346"/>
      <c r="BG150" s="300"/>
      <c r="BH150" s="300"/>
      <c r="BI150" s="345"/>
      <c r="BJ150" s="345"/>
      <c r="BK150" s="300"/>
      <c r="BL150" s="286" t="b">
        <v>0</v>
      </c>
    </row>
    <row r="151" ht="22.5" customHeight="1">
      <c r="A151" s="263"/>
      <c r="B151" s="194"/>
      <c r="C151" s="61"/>
      <c r="D151" s="61"/>
      <c r="E151" s="81"/>
      <c r="F151" s="81"/>
      <c r="G151" s="61"/>
      <c r="H151" s="269" t="b">
        <v>0</v>
      </c>
      <c r="I151" s="258"/>
      <c r="J151" s="194"/>
      <c r="K151" s="61"/>
      <c r="L151" s="61"/>
      <c r="M151" s="81"/>
      <c r="N151" s="81"/>
      <c r="O151" s="61"/>
      <c r="P151" s="269" t="b">
        <v>0</v>
      </c>
      <c r="Q151" s="258"/>
      <c r="R151" s="194"/>
      <c r="S151" s="61"/>
      <c r="T151" s="61"/>
      <c r="U151" s="81"/>
      <c r="V151" s="81"/>
      <c r="W151" s="61"/>
      <c r="X151" s="269" t="b">
        <v>0</v>
      </c>
      <c r="Y151" s="258"/>
      <c r="Z151" s="194"/>
      <c r="AA151" s="61"/>
      <c r="AB151" s="61"/>
      <c r="AC151" s="81"/>
      <c r="AD151" s="81"/>
      <c r="AE151" s="61"/>
      <c r="AF151" s="269" t="b">
        <v>0</v>
      </c>
      <c r="AH151" s="349"/>
      <c r="AI151" s="290"/>
      <c r="AJ151" s="277"/>
      <c r="AK151" s="350"/>
      <c r="AL151" s="350"/>
      <c r="AM151" s="290"/>
      <c r="AN151" s="281" t="b">
        <v>0</v>
      </c>
      <c r="AO151" s="258"/>
      <c r="AP151" s="346"/>
      <c r="AQ151" s="300"/>
      <c r="AR151" s="300"/>
      <c r="AS151" s="345"/>
      <c r="AT151" s="345"/>
      <c r="AU151" s="300"/>
      <c r="AV151" s="286" t="b">
        <v>0</v>
      </c>
      <c r="AW151" s="258"/>
      <c r="AX151" s="314">
        <v>46141.0</v>
      </c>
      <c r="AY151" s="302" t="s">
        <v>2321</v>
      </c>
      <c r="AZ151" s="277" t="s">
        <v>2322</v>
      </c>
      <c r="BA151" s="303" t="s">
        <v>22</v>
      </c>
      <c r="BB151" s="303" t="s">
        <v>20</v>
      </c>
      <c r="BC151" s="290"/>
      <c r="BD151" s="281" t="b">
        <v>1</v>
      </c>
      <c r="BE151" s="258"/>
      <c r="BF151" s="346"/>
      <c r="BG151" s="300"/>
      <c r="BH151" s="300"/>
      <c r="BI151" s="345"/>
      <c r="BJ151" s="345"/>
      <c r="BK151" s="300"/>
      <c r="BL151" s="286" t="b">
        <v>0</v>
      </c>
    </row>
    <row r="152" ht="22.5" customHeight="1">
      <c r="A152" s="263"/>
      <c r="B152" s="194"/>
      <c r="C152" s="61"/>
      <c r="D152" s="61"/>
      <c r="E152" s="81"/>
      <c r="F152" s="81"/>
      <c r="G152" s="61"/>
      <c r="H152" s="269" t="b">
        <v>0</v>
      </c>
      <c r="I152" s="258"/>
      <c r="J152" s="194"/>
      <c r="K152" s="61"/>
      <c r="L152" s="61"/>
      <c r="M152" s="81"/>
      <c r="N152" s="81"/>
      <c r="O152" s="61"/>
      <c r="P152" s="269" t="b">
        <v>0</v>
      </c>
      <c r="Q152" s="258"/>
      <c r="R152" s="194"/>
      <c r="S152" s="61"/>
      <c r="T152" s="61"/>
      <c r="U152" s="81"/>
      <c r="V152" s="81"/>
      <c r="W152" s="61"/>
      <c r="X152" s="269" t="b">
        <v>0</v>
      </c>
      <c r="Y152" s="258"/>
      <c r="Z152" s="194"/>
      <c r="AA152" s="61"/>
      <c r="AB152" s="61"/>
      <c r="AC152" s="81"/>
      <c r="AD152" s="81"/>
      <c r="AE152" s="61"/>
      <c r="AF152" s="269" t="b">
        <v>0</v>
      </c>
      <c r="AH152" s="349"/>
      <c r="AI152" s="290"/>
      <c r="AJ152" s="277"/>
      <c r="AK152" s="350"/>
      <c r="AL152" s="350"/>
      <c r="AM152" s="290"/>
      <c r="AN152" s="281" t="b">
        <v>0</v>
      </c>
      <c r="AO152" s="258"/>
      <c r="AP152" s="346"/>
      <c r="AQ152" s="300"/>
      <c r="AR152" s="300"/>
      <c r="AS152" s="345"/>
      <c r="AT152" s="345"/>
      <c r="AU152" s="300"/>
      <c r="AV152" s="286" t="b">
        <v>0</v>
      </c>
      <c r="AW152" s="258"/>
      <c r="AX152" s="314">
        <v>46141.0</v>
      </c>
      <c r="AY152" s="302" t="s">
        <v>2323</v>
      </c>
      <c r="AZ152" s="277" t="s">
        <v>2324</v>
      </c>
      <c r="BA152" s="303" t="s">
        <v>22</v>
      </c>
      <c r="BB152" s="303" t="s">
        <v>20</v>
      </c>
      <c r="BC152" s="290"/>
      <c r="BD152" s="281" t="b">
        <v>1</v>
      </c>
      <c r="BE152" s="258"/>
      <c r="BF152" s="346"/>
      <c r="BG152" s="300"/>
      <c r="BH152" s="300"/>
      <c r="BI152" s="345"/>
      <c r="BJ152" s="345"/>
      <c r="BK152" s="300"/>
      <c r="BL152" s="286" t="b">
        <v>0</v>
      </c>
    </row>
    <row r="153" ht="22.5" customHeight="1">
      <c r="A153" s="263"/>
      <c r="B153" s="194"/>
      <c r="C153" s="61"/>
      <c r="D153" s="61"/>
      <c r="E153" s="81"/>
      <c r="F153" s="81"/>
      <c r="G153" s="61"/>
      <c r="H153" s="269" t="b">
        <v>0</v>
      </c>
      <c r="I153" s="258"/>
      <c r="J153" s="194"/>
      <c r="K153" s="61"/>
      <c r="L153" s="61"/>
      <c r="M153" s="81"/>
      <c r="N153" s="81"/>
      <c r="O153" s="61"/>
      <c r="P153" s="269" t="b">
        <v>0</v>
      </c>
      <c r="Q153" s="258"/>
      <c r="R153" s="194"/>
      <c r="S153" s="61"/>
      <c r="T153" s="61"/>
      <c r="U153" s="81"/>
      <c r="V153" s="81"/>
      <c r="W153" s="61"/>
      <c r="X153" s="269" t="b">
        <v>0</v>
      </c>
      <c r="Y153" s="258"/>
      <c r="Z153" s="194"/>
      <c r="AA153" s="61"/>
      <c r="AB153" s="61"/>
      <c r="AC153" s="81"/>
      <c r="AD153" s="81"/>
      <c r="AE153" s="61"/>
      <c r="AF153" s="269" t="b">
        <v>0</v>
      </c>
      <c r="AH153" s="349"/>
      <c r="AI153" s="290"/>
      <c r="AJ153" s="277"/>
      <c r="AK153" s="350"/>
      <c r="AL153" s="350"/>
      <c r="AM153" s="290"/>
      <c r="AN153" s="281" t="b">
        <v>0</v>
      </c>
      <c r="AO153" s="258"/>
      <c r="AP153" s="346"/>
      <c r="AQ153" s="300"/>
      <c r="AR153" s="300"/>
      <c r="AS153" s="345"/>
      <c r="AT153" s="345"/>
      <c r="AU153" s="300"/>
      <c r="AV153" s="286" t="b">
        <v>0</v>
      </c>
      <c r="AW153" s="258"/>
      <c r="AX153" s="314">
        <v>46141.0</v>
      </c>
      <c r="AY153" s="302" t="s">
        <v>2325</v>
      </c>
      <c r="AZ153" s="277" t="s">
        <v>2326</v>
      </c>
      <c r="BA153" s="303" t="s">
        <v>22</v>
      </c>
      <c r="BB153" s="303" t="s">
        <v>20</v>
      </c>
      <c r="BC153" s="290"/>
      <c r="BD153" s="281" t="b">
        <v>1</v>
      </c>
      <c r="BE153" s="258"/>
      <c r="BF153" s="346"/>
      <c r="BG153" s="300"/>
      <c r="BH153" s="300"/>
      <c r="BI153" s="345"/>
      <c r="BJ153" s="345"/>
      <c r="BK153" s="300"/>
      <c r="BL153" s="286" t="b">
        <v>0</v>
      </c>
    </row>
    <row r="154" ht="22.5" customHeight="1">
      <c r="A154" s="263"/>
      <c r="B154" s="194"/>
      <c r="C154" s="61"/>
      <c r="D154" s="61"/>
      <c r="E154" s="81"/>
      <c r="F154" s="81"/>
      <c r="G154" s="61"/>
      <c r="H154" s="269" t="b">
        <v>0</v>
      </c>
      <c r="I154" s="258"/>
      <c r="J154" s="194"/>
      <c r="K154" s="61"/>
      <c r="L154" s="61"/>
      <c r="M154" s="81"/>
      <c r="N154" s="81"/>
      <c r="O154" s="61"/>
      <c r="P154" s="269" t="b">
        <v>0</v>
      </c>
      <c r="Q154" s="258"/>
      <c r="R154" s="194"/>
      <c r="S154" s="61"/>
      <c r="T154" s="61"/>
      <c r="U154" s="81"/>
      <c r="V154" s="81"/>
      <c r="W154" s="61"/>
      <c r="X154" s="269" t="b">
        <v>0</v>
      </c>
      <c r="Y154" s="258"/>
      <c r="Z154" s="194"/>
      <c r="AA154" s="61"/>
      <c r="AB154" s="61"/>
      <c r="AC154" s="81"/>
      <c r="AD154" s="81"/>
      <c r="AE154" s="61"/>
      <c r="AF154" s="269" t="b">
        <v>0</v>
      </c>
      <c r="AH154" s="349"/>
      <c r="AI154" s="290"/>
      <c r="AJ154" s="277"/>
      <c r="AK154" s="350"/>
      <c r="AL154" s="350"/>
      <c r="AM154" s="290"/>
      <c r="AN154" s="281" t="b">
        <v>0</v>
      </c>
      <c r="AO154" s="258"/>
      <c r="AP154" s="346"/>
      <c r="AQ154" s="300"/>
      <c r="AR154" s="300"/>
      <c r="AS154" s="345"/>
      <c r="AT154" s="345"/>
      <c r="AU154" s="300"/>
      <c r="AV154" s="286" t="b">
        <v>0</v>
      </c>
      <c r="AW154" s="258"/>
      <c r="AX154" s="314">
        <v>46141.0</v>
      </c>
      <c r="AY154" s="302" t="s">
        <v>2327</v>
      </c>
      <c r="AZ154" s="277" t="s">
        <v>2328</v>
      </c>
      <c r="BA154" s="303" t="s">
        <v>22</v>
      </c>
      <c r="BB154" s="303" t="s">
        <v>20</v>
      </c>
      <c r="BC154" s="302" t="s">
        <v>2329</v>
      </c>
      <c r="BD154" s="281" t="b">
        <v>0</v>
      </c>
      <c r="BE154" s="258"/>
      <c r="BF154" s="346"/>
      <c r="BG154" s="300"/>
      <c r="BH154" s="300"/>
      <c r="BI154" s="345"/>
      <c r="BJ154" s="345"/>
      <c r="BK154" s="300"/>
      <c r="BL154" s="286" t="b">
        <v>0</v>
      </c>
    </row>
    <row r="155" ht="22.5" customHeight="1">
      <c r="A155" s="263"/>
      <c r="B155" s="194"/>
      <c r="C155" s="61"/>
      <c r="D155" s="61"/>
      <c r="E155" s="81"/>
      <c r="F155" s="81"/>
      <c r="G155" s="61"/>
      <c r="H155" s="269" t="b">
        <v>0</v>
      </c>
      <c r="I155" s="258"/>
      <c r="J155" s="194"/>
      <c r="K155" s="61"/>
      <c r="L155" s="61"/>
      <c r="M155" s="81"/>
      <c r="N155" s="81"/>
      <c r="O155" s="61"/>
      <c r="P155" s="269" t="b">
        <v>0</v>
      </c>
      <c r="Q155" s="258"/>
      <c r="R155" s="194"/>
      <c r="S155" s="61"/>
      <c r="T155" s="61"/>
      <c r="U155" s="81"/>
      <c r="V155" s="81"/>
      <c r="W155" s="61"/>
      <c r="X155" s="269" t="b">
        <v>0</v>
      </c>
      <c r="Y155" s="258"/>
      <c r="Z155" s="194"/>
      <c r="AA155" s="61"/>
      <c r="AB155" s="61"/>
      <c r="AC155" s="81"/>
      <c r="AD155" s="81"/>
      <c r="AE155" s="61"/>
      <c r="AF155" s="269" t="b">
        <v>0</v>
      </c>
      <c r="AH155" s="349"/>
      <c r="AI155" s="290"/>
      <c r="AJ155" s="277"/>
      <c r="AK155" s="350"/>
      <c r="AL155" s="350"/>
      <c r="AM155" s="290"/>
      <c r="AN155" s="281" t="b">
        <v>0</v>
      </c>
      <c r="AO155" s="258"/>
      <c r="AP155" s="346"/>
      <c r="AQ155" s="300"/>
      <c r="AR155" s="300"/>
      <c r="AS155" s="345"/>
      <c r="AT155" s="345"/>
      <c r="AU155" s="300"/>
      <c r="AV155" s="286" t="b">
        <v>0</v>
      </c>
      <c r="AW155" s="258"/>
      <c r="AX155" s="314">
        <v>46141.0</v>
      </c>
      <c r="AY155" s="302" t="s">
        <v>2330</v>
      </c>
      <c r="AZ155" s="277" t="s">
        <v>2331</v>
      </c>
      <c r="BA155" s="303" t="s">
        <v>22</v>
      </c>
      <c r="BB155" s="303" t="s">
        <v>20</v>
      </c>
      <c r="BC155" s="290"/>
      <c r="BD155" s="281" t="b">
        <v>1</v>
      </c>
      <c r="BE155" s="258"/>
      <c r="BF155" s="346"/>
      <c r="BG155" s="300"/>
      <c r="BH155" s="300"/>
      <c r="BI155" s="345"/>
      <c r="BJ155" s="345"/>
      <c r="BK155" s="300"/>
      <c r="BL155" s="286" t="b">
        <v>0</v>
      </c>
    </row>
    <row r="156" ht="22.5" customHeight="1">
      <c r="A156" s="263"/>
      <c r="B156" s="194"/>
      <c r="C156" s="61"/>
      <c r="D156" s="61"/>
      <c r="E156" s="81"/>
      <c r="F156" s="81"/>
      <c r="G156" s="61"/>
      <c r="H156" s="269" t="b">
        <v>0</v>
      </c>
      <c r="I156" s="258"/>
      <c r="J156" s="194"/>
      <c r="K156" s="61"/>
      <c r="L156" s="61"/>
      <c r="M156" s="81"/>
      <c r="N156" s="81"/>
      <c r="O156" s="61"/>
      <c r="P156" s="269" t="b">
        <v>0</v>
      </c>
      <c r="Q156" s="258"/>
      <c r="R156" s="194"/>
      <c r="S156" s="61"/>
      <c r="T156" s="61"/>
      <c r="U156" s="81"/>
      <c r="V156" s="81"/>
      <c r="W156" s="61"/>
      <c r="X156" s="269" t="b">
        <v>0</v>
      </c>
      <c r="Y156" s="258"/>
      <c r="Z156" s="194"/>
      <c r="AA156" s="61"/>
      <c r="AB156" s="61"/>
      <c r="AC156" s="81"/>
      <c r="AD156" s="81"/>
      <c r="AE156" s="61"/>
      <c r="AF156" s="269" t="b">
        <v>0</v>
      </c>
      <c r="AH156" s="349"/>
      <c r="AI156" s="290"/>
      <c r="AJ156" s="277"/>
      <c r="AK156" s="350"/>
      <c r="AL156" s="350"/>
      <c r="AM156" s="290"/>
      <c r="AN156" s="281" t="b">
        <v>0</v>
      </c>
      <c r="AO156" s="258"/>
      <c r="AP156" s="346"/>
      <c r="AQ156" s="300"/>
      <c r="AR156" s="300"/>
      <c r="AS156" s="345"/>
      <c r="AT156" s="345"/>
      <c r="AU156" s="300"/>
      <c r="AV156" s="286" t="b">
        <v>0</v>
      </c>
      <c r="AW156" s="258"/>
      <c r="AX156" s="314">
        <v>46141.0</v>
      </c>
      <c r="AY156" s="302" t="s">
        <v>2332</v>
      </c>
      <c r="AZ156" s="277" t="s">
        <v>2333</v>
      </c>
      <c r="BA156" s="303" t="s">
        <v>22</v>
      </c>
      <c r="BB156" s="303" t="s">
        <v>20</v>
      </c>
      <c r="BC156" s="290"/>
      <c r="BD156" s="281" t="b">
        <v>1</v>
      </c>
      <c r="BE156" s="258"/>
      <c r="BF156" s="346"/>
      <c r="BG156" s="300"/>
      <c r="BH156" s="300"/>
      <c r="BI156" s="345"/>
      <c r="BJ156" s="345"/>
      <c r="BK156" s="300"/>
      <c r="BL156" s="286" t="b">
        <v>0</v>
      </c>
    </row>
    <row r="157" ht="22.5" customHeight="1">
      <c r="A157" s="263"/>
      <c r="B157" s="194"/>
      <c r="C157" s="61"/>
      <c r="D157" s="61"/>
      <c r="E157" s="81"/>
      <c r="F157" s="81"/>
      <c r="G157" s="61"/>
      <c r="H157" s="269" t="b">
        <v>0</v>
      </c>
      <c r="I157" s="258"/>
      <c r="J157" s="194"/>
      <c r="K157" s="61"/>
      <c r="L157" s="61"/>
      <c r="M157" s="81"/>
      <c r="N157" s="81"/>
      <c r="O157" s="61"/>
      <c r="P157" s="269" t="b">
        <v>0</v>
      </c>
      <c r="Q157" s="258"/>
      <c r="R157" s="194"/>
      <c r="S157" s="61"/>
      <c r="T157" s="61"/>
      <c r="U157" s="81"/>
      <c r="V157" s="81"/>
      <c r="W157" s="61"/>
      <c r="X157" s="269" t="b">
        <v>0</v>
      </c>
      <c r="Y157" s="258"/>
      <c r="Z157" s="194"/>
      <c r="AA157" s="61"/>
      <c r="AB157" s="61"/>
      <c r="AC157" s="81"/>
      <c r="AD157" s="81"/>
      <c r="AE157" s="61"/>
      <c r="AF157" s="269" t="b">
        <v>0</v>
      </c>
      <c r="AH157" s="349"/>
      <c r="AI157" s="290"/>
      <c r="AJ157" s="277"/>
      <c r="AK157" s="350"/>
      <c r="AL157" s="350"/>
      <c r="AM157" s="290"/>
      <c r="AN157" s="281" t="b">
        <v>0</v>
      </c>
      <c r="AO157" s="258"/>
      <c r="AP157" s="346"/>
      <c r="AQ157" s="300"/>
      <c r="AR157" s="300"/>
      <c r="AS157" s="345"/>
      <c r="AT157" s="345"/>
      <c r="AU157" s="300"/>
      <c r="AV157" s="286" t="b">
        <v>0</v>
      </c>
      <c r="AW157" s="258"/>
      <c r="AX157" s="314">
        <v>46141.0</v>
      </c>
      <c r="AY157" s="302" t="s">
        <v>2334</v>
      </c>
      <c r="AZ157" s="277" t="s">
        <v>2335</v>
      </c>
      <c r="BA157" s="303" t="s">
        <v>22</v>
      </c>
      <c r="BB157" s="303" t="s">
        <v>14</v>
      </c>
      <c r="BC157" s="290"/>
      <c r="BD157" s="281" t="b">
        <v>1</v>
      </c>
      <c r="BE157" s="258"/>
      <c r="BF157" s="346"/>
      <c r="BG157" s="300"/>
      <c r="BH157" s="300"/>
      <c r="BI157" s="345"/>
      <c r="BJ157" s="345"/>
      <c r="BK157" s="300"/>
      <c r="BL157" s="286" t="b">
        <v>0</v>
      </c>
    </row>
    <row r="158" ht="22.5" customHeight="1">
      <c r="A158" s="263"/>
      <c r="B158" s="194"/>
      <c r="C158" s="61"/>
      <c r="D158" s="61"/>
      <c r="E158" s="81"/>
      <c r="F158" s="81"/>
      <c r="G158" s="61"/>
      <c r="H158" s="269" t="b">
        <v>0</v>
      </c>
      <c r="I158" s="258"/>
      <c r="J158" s="194"/>
      <c r="K158" s="61"/>
      <c r="L158" s="61"/>
      <c r="M158" s="81"/>
      <c r="N158" s="81"/>
      <c r="O158" s="61"/>
      <c r="P158" s="269" t="b">
        <v>0</v>
      </c>
      <c r="Q158" s="258"/>
      <c r="R158" s="194"/>
      <c r="S158" s="61"/>
      <c r="T158" s="61"/>
      <c r="U158" s="81"/>
      <c r="V158" s="81"/>
      <c r="W158" s="61"/>
      <c r="X158" s="269" t="b">
        <v>0</v>
      </c>
      <c r="Y158" s="258"/>
      <c r="Z158" s="194"/>
      <c r="AA158" s="61"/>
      <c r="AB158" s="61"/>
      <c r="AC158" s="81"/>
      <c r="AD158" s="81"/>
      <c r="AE158" s="61"/>
      <c r="AF158" s="269" t="b">
        <v>0</v>
      </c>
      <c r="AH158" s="349"/>
      <c r="AI158" s="290"/>
      <c r="AJ158" s="277"/>
      <c r="AK158" s="350"/>
      <c r="AL158" s="350"/>
      <c r="AM158" s="290"/>
      <c r="AN158" s="281" t="b">
        <v>0</v>
      </c>
      <c r="AO158" s="258"/>
      <c r="AP158" s="346"/>
      <c r="AQ158" s="300"/>
      <c r="AR158" s="300"/>
      <c r="AS158" s="345"/>
      <c r="AT158" s="345"/>
      <c r="AU158" s="300"/>
      <c r="AV158" s="286" t="b">
        <v>0</v>
      </c>
      <c r="AW158" s="258"/>
      <c r="AX158" s="194"/>
      <c r="AY158" s="61"/>
      <c r="AZ158" s="61"/>
      <c r="BA158" s="81"/>
      <c r="BB158" s="81"/>
      <c r="BC158" s="61"/>
      <c r="BD158" s="291"/>
      <c r="BE158" s="258"/>
      <c r="BF158" s="346"/>
      <c r="BG158" s="300"/>
      <c r="BH158" s="300"/>
      <c r="BI158" s="345"/>
      <c r="BJ158" s="345"/>
      <c r="BK158" s="300"/>
      <c r="BL158" s="286" t="b">
        <v>0</v>
      </c>
    </row>
    <row r="159" ht="22.5" customHeight="1">
      <c r="A159" s="263"/>
      <c r="B159" s="194"/>
      <c r="C159" s="61"/>
      <c r="D159" s="61"/>
      <c r="E159" s="81"/>
      <c r="F159" s="81"/>
      <c r="G159" s="61"/>
      <c r="H159" s="269" t="b">
        <v>0</v>
      </c>
      <c r="I159" s="258"/>
      <c r="J159" s="194"/>
      <c r="K159" s="61"/>
      <c r="L159" s="61"/>
      <c r="M159" s="81"/>
      <c r="N159" s="81"/>
      <c r="O159" s="61"/>
      <c r="P159" s="269" t="b">
        <v>0</v>
      </c>
      <c r="Q159" s="258"/>
      <c r="R159" s="194"/>
      <c r="S159" s="61"/>
      <c r="T159" s="61"/>
      <c r="U159" s="81"/>
      <c r="V159" s="81"/>
      <c r="W159" s="61"/>
      <c r="X159" s="269" t="b">
        <v>0</v>
      </c>
      <c r="Y159" s="258"/>
      <c r="Z159" s="194"/>
      <c r="AA159" s="61"/>
      <c r="AB159" s="61"/>
      <c r="AC159" s="81"/>
      <c r="AD159" s="81"/>
      <c r="AE159" s="61"/>
      <c r="AF159" s="269" t="b">
        <v>0</v>
      </c>
      <c r="AH159" s="349"/>
      <c r="AI159" s="290"/>
      <c r="AJ159" s="277"/>
      <c r="AK159" s="350"/>
      <c r="AL159" s="350"/>
      <c r="AM159" s="290"/>
      <c r="AN159" s="281" t="b">
        <v>0</v>
      </c>
      <c r="AO159" s="258"/>
      <c r="AP159" s="346"/>
      <c r="AQ159" s="300"/>
      <c r="AR159" s="300"/>
      <c r="AS159" s="345"/>
      <c r="AT159" s="345"/>
      <c r="AU159" s="300"/>
      <c r="AV159" s="286" t="b">
        <v>0</v>
      </c>
      <c r="AW159" s="258"/>
      <c r="AX159" s="194"/>
      <c r="AY159" s="61"/>
      <c r="AZ159" s="61"/>
      <c r="BA159" s="81"/>
      <c r="BB159" s="81"/>
      <c r="BC159" s="61"/>
      <c r="BD159" s="291"/>
      <c r="BE159" s="258"/>
      <c r="BF159" s="346"/>
      <c r="BG159" s="300"/>
      <c r="BH159" s="300"/>
      <c r="BI159" s="345"/>
      <c r="BJ159" s="345"/>
      <c r="BK159" s="300"/>
      <c r="BL159" s="286" t="b">
        <v>0</v>
      </c>
    </row>
    <row r="160" ht="22.5" customHeight="1">
      <c r="A160" s="263"/>
      <c r="B160" s="194"/>
      <c r="C160" s="61"/>
      <c r="D160" s="61"/>
      <c r="E160" s="81"/>
      <c r="F160" s="81"/>
      <c r="G160" s="61"/>
      <c r="H160" s="269" t="b">
        <v>0</v>
      </c>
      <c r="I160" s="258"/>
      <c r="J160" s="194"/>
      <c r="K160" s="61"/>
      <c r="L160" s="61"/>
      <c r="M160" s="81"/>
      <c r="N160" s="81"/>
      <c r="O160" s="61"/>
      <c r="P160" s="269" t="b">
        <v>0</v>
      </c>
      <c r="Q160" s="258"/>
      <c r="R160" s="194"/>
      <c r="S160" s="61"/>
      <c r="T160" s="61"/>
      <c r="U160" s="81"/>
      <c r="V160" s="81"/>
      <c r="W160" s="61"/>
      <c r="X160" s="269" t="b">
        <v>0</v>
      </c>
      <c r="Y160" s="258"/>
      <c r="Z160" s="194"/>
      <c r="AA160" s="61"/>
      <c r="AB160" s="61"/>
      <c r="AC160" s="81"/>
      <c r="AD160" s="81"/>
      <c r="AE160" s="61"/>
      <c r="AF160" s="269" t="b">
        <v>0</v>
      </c>
      <c r="AH160" s="349"/>
      <c r="AI160" s="290"/>
      <c r="AJ160" s="277"/>
      <c r="AK160" s="350"/>
      <c r="AL160" s="350"/>
      <c r="AM160" s="290"/>
      <c r="AN160" s="281" t="b">
        <v>0</v>
      </c>
      <c r="AO160" s="258"/>
      <c r="AP160" s="346"/>
      <c r="AQ160" s="300"/>
      <c r="AR160" s="300"/>
      <c r="AS160" s="345"/>
      <c r="AT160" s="345"/>
      <c r="AU160" s="300"/>
      <c r="AV160" s="286" t="b">
        <v>0</v>
      </c>
      <c r="AW160" s="258"/>
      <c r="AX160" s="194"/>
      <c r="AY160" s="61"/>
      <c r="AZ160" s="61"/>
      <c r="BA160" s="81"/>
      <c r="BB160" s="81"/>
      <c r="BC160" s="61"/>
      <c r="BD160" s="291"/>
      <c r="BE160" s="258"/>
      <c r="BF160" s="346"/>
      <c r="BG160" s="300"/>
      <c r="BH160" s="300"/>
      <c r="BI160" s="345"/>
      <c r="BJ160" s="345"/>
      <c r="BK160" s="300"/>
      <c r="BL160" s="286" t="b">
        <v>0</v>
      </c>
    </row>
    <row r="161" ht="22.5" customHeight="1">
      <c r="A161" s="263"/>
      <c r="B161" s="194"/>
      <c r="C161" s="61"/>
      <c r="D161" s="61"/>
      <c r="E161" s="81"/>
      <c r="F161" s="81"/>
      <c r="G161" s="61"/>
      <c r="H161" s="269" t="b">
        <v>0</v>
      </c>
      <c r="I161" s="258"/>
      <c r="J161" s="194"/>
      <c r="K161" s="61"/>
      <c r="L161" s="61"/>
      <c r="M161" s="81"/>
      <c r="N161" s="81"/>
      <c r="O161" s="61"/>
      <c r="P161" s="269" t="b">
        <v>0</v>
      </c>
      <c r="Q161" s="258"/>
      <c r="R161" s="194"/>
      <c r="S161" s="61"/>
      <c r="T161" s="61"/>
      <c r="U161" s="81"/>
      <c r="V161" s="81"/>
      <c r="W161" s="61"/>
      <c r="X161" s="269" t="b">
        <v>0</v>
      </c>
      <c r="Y161" s="258"/>
      <c r="Z161" s="194"/>
      <c r="AA161" s="61"/>
      <c r="AB161" s="61"/>
      <c r="AC161" s="81"/>
      <c r="AD161" s="81"/>
      <c r="AE161" s="61"/>
      <c r="AF161" s="269" t="b">
        <v>0</v>
      </c>
      <c r="AH161" s="349"/>
      <c r="AI161" s="290"/>
      <c r="AJ161" s="277"/>
      <c r="AK161" s="350"/>
      <c r="AL161" s="350"/>
      <c r="AM161" s="290"/>
      <c r="AN161" s="281" t="b">
        <v>0</v>
      </c>
      <c r="AO161" s="258"/>
      <c r="AP161" s="346"/>
      <c r="AQ161" s="300"/>
      <c r="AR161" s="300"/>
      <c r="AS161" s="345"/>
      <c r="AT161" s="345"/>
      <c r="AU161" s="300"/>
      <c r="AV161" s="286" t="b">
        <v>0</v>
      </c>
      <c r="AW161" s="258"/>
      <c r="AX161" s="194"/>
      <c r="AY161" s="61"/>
      <c r="AZ161" s="61"/>
      <c r="BA161" s="81"/>
      <c r="BB161" s="81"/>
      <c r="BC161" s="61"/>
      <c r="BD161" s="291"/>
      <c r="BE161" s="258"/>
      <c r="BF161" s="346"/>
      <c r="BG161" s="300"/>
      <c r="BH161" s="300"/>
      <c r="BI161" s="345"/>
      <c r="BJ161" s="345"/>
      <c r="BK161" s="300"/>
      <c r="BL161" s="286" t="b">
        <v>0</v>
      </c>
    </row>
    <row r="162" ht="22.5" customHeight="1">
      <c r="A162" s="263"/>
      <c r="B162" s="194"/>
      <c r="C162" s="61"/>
      <c r="D162" s="61"/>
      <c r="E162" s="81"/>
      <c r="F162" s="81"/>
      <c r="G162" s="61"/>
      <c r="H162" s="269" t="b">
        <v>0</v>
      </c>
      <c r="I162" s="258"/>
      <c r="J162" s="194"/>
      <c r="K162" s="61"/>
      <c r="L162" s="61"/>
      <c r="M162" s="81"/>
      <c r="N162" s="81"/>
      <c r="O162" s="61"/>
      <c r="P162" s="269" t="b">
        <v>0</v>
      </c>
      <c r="Q162" s="258"/>
      <c r="R162" s="194"/>
      <c r="S162" s="61"/>
      <c r="T162" s="61"/>
      <c r="U162" s="81"/>
      <c r="V162" s="81"/>
      <c r="W162" s="61"/>
      <c r="X162" s="269" t="b">
        <v>0</v>
      </c>
      <c r="Y162" s="258"/>
      <c r="Z162" s="194"/>
      <c r="AA162" s="61"/>
      <c r="AB162" s="61"/>
      <c r="AC162" s="81"/>
      <c r="AD162" s="81"/>
      <c r="AE162" s="61"/>
      <c r="AF162" s="269" t="b">
        <v>0</v>
      </c>
      <c r="AH162" s="349"/>
      <c r="AI162" s="290"/>
      <c r="AJ162" s="277"/>
      <c r="AK162" s="350"/>
      <c r="AL162" s="350"/>
      <c r="AM162" s="290"/>
      <c r="AN162" s="281" t="b">
        <v>0</v>
      </c>
      <c r="AO162" s="258"/>
      <c r="AP162" s="346"/>
      <c r="AQ162" s="300"/>
      <c r="AR162" s="300"/>
      <c r="AS162" s="345"/>
      <c r="AT162" s="345"/>
      <c r="AU162" s="300"/>
      <c r="AV162" s="286" t="b">
        <v>0</v>
      </c>
      <c r="AW162" s="258"/>
      <c r="AX162" s="194"/>
      <c r="AY162" s="61"/>
      <c r="AZ162" s="61"/>
      <c r="BA162" s="81"/>
      <c r="BB162" s="81"/>
      <c r="BC162" s="61"/>
      <c r="BD162" s="291"/>
      <c r="BE162" s="258"/>
      <c r="BF162" s="346"/>
      <c r="BG162" s="300"/>
      <c r="BH162" s="300"/>
      <c r="BI162" s="345"/>
      <c r="BJ162" s="345"/>
      <c r="BK162" s="300"/>
      <c r="BL162" s="286" t="b">
        <v>0</v>
      </c>
    </row>
    <row r="163" ht="22.5" customHeight="1">
      <c r="A163" s="263"/>
      <c r="B163" s="194"/>
      <c r="C163" s="61"/>
      <c r="D163" s="61"/>
      <c r="E163" s="81"/>
      <c r="F163" s="81"/>
      <c r="G163" s="61"/>
      <c r="H163" s="269" t="b">
        <v>0</v>
      </c>
      <c r="I163" s="258"/>
      <c r="J163" s="194"/>
      <c r="K163" s="61"/>
      <c r="L163" s="61"/>
      <c r="M163" s="81"/>
      <c r="N163" s="81"/>
      <c r="O163" s="61"/>
      <c r="P163" s="269" t="b">
        <v>0</v>
      </c>
      <c r="Q163" s="258"/>
      <c r="R163" s="194"/>
      <c r="S163" s="61"/>
      <c r="T163" s="61"/>
      <c r="U163" s="81"/>
      <c r="V163" s="81"/>
      <c r="W163" s="61"/>
      <c r="X163" s="269" t="b">
        <v>0</v>
      </c>
      <c r="Y163" s="258"/>
      <c r="Z163" s="194"/>
      <c r="AA163" s="61"/>
      <c r="AB163" s="61"/>
      <c r="AC163" s="81"/>
      <c r="AD163" s="81"/>
      <c r="AE163" s="61"/>
      <c r="AF163" s="269" t="b">
        <v>0</v>
      </c>
      <c r="AH163" s="349"/>
      <c r="AI163" s="290"/>
      <c r="AJ163" s="277"/>
      <c r="AK163" s="350"/>
      <c r="AL163" s="350"/>
      <c r="AM163" s="290"/>
      <c r="AN163" s="281" t="b">
        <v>0</v>
      </c>
      <c r="AO163" s="258"/>
      <c r="AP163" s="346"/>
      <c r="AQ163" s="300"/>
      <c r="AR163" s="300"/>
      <c r="AS163" s="345"/>
      <c r="AT163" s="345"/>
      <c r="AU163" s="300"/>
      <c r="AV163" s="286" t="b">
        <v>0</v>
      </c>
      <c r="AW163" s="258"/>
      <c r="AX163" s="194"/>
      <c r="AY163" s="61"/>
      <c r="AZ163" s="61"/>
      <c r="BA163" s="81"/>
      <c r="BB163" s="81"/>
      <c r="BC163" s="61"/>
      <c r="BD163" s="291"/>
      <c r="BE163" s="258"/>
      <c r="BF163" s="346"/>
      <c r="BG163" s="300"/>
      <c r="BH163" s="300"/>
      <c r="BI163" s="345"/>
      <c r="BJ163" s="345"/>
      <c r="BK163" s="300"/>
      <c r="BL163" s="286" t="b">
        <v>0</v>
      </c>
    </row>
    <row r="164" ht="22.5" customHeight="1">
      <c r="A164" s="263"/>
      <c r="B164" s="194"/>
      <c r="C164" s="61"/>
      <c r="D164" s="61"/>
      <c r="E164" s="81"/>
      <c r="F164" s="81"/>
      <c r="G164" s="61"/>
      <c r="H164" s="269" t="b">
        <v>0</v>
      </c>
      <c r="I164" s="258"/>
      <c r="J164" s="194"/>
      <c r="K164" s="61"/>
      <c r="L164" s="61"/>
      <c r="M164" s="81"/>
      <c r="N164" s="81"/>
      <c r="O164" s="61"/>
      <c r="P164" s="269" t="b">
        <v>0</v>
      </c>
      <c r="Q164" s="258"/>
      <c r="R164" s="194"/>
      <c r="S164" s="61"/>
      <c r="T164" s="61"/>
      <c r="U164" s="81"/>
      <c r="V164" s="81"/>
      <c r="W164" s="61"/>
      <c r="X164" s="269" t="b">
        <v>0</v>
      </c>
      <c r="Y164" s="258"/>
      <c r="Z164" s="194"/>
      <c r="AA164" s="61"/>
      <c r="AB164" s="61"/>
      <c r="AC164" s="81"/>
      <c r="AD164" s="81"/>
      <c r="AE164" s="61"/>
      <c r="AF164" s="269" t="b">
        <v>0</v>
      </c>
      <c r="AH164" s="349"/>
      <c r="AI164" s="290"/>
      <c r="AJ164" s="277"/>
      <c r="AK164" s="350"/>
      <c r="AL164" s="350"/>
      <c r="AM164" s="290"/>
      <c r="AN164" s="281" t="b">
        <v>0</v>
      </c>
      <c r="AO164" s="258"/>
      <c r="AP164" s="346"/>
      <c r="AQ164" s="300"/>
      <c r="AR164" s="300"/>
      <c r="AS164" s="345"/>
      <c r="AT164" s="345"/>
      <c r="AU164" s="300"/>
      <c r="AV164" s="286" t="b">
        <v>0</v>
      </c>
      <c r="AW164" s="258"/>
      <c r="AX164" s="194"/>
      <c r="AY164" s="61"/>
      <c r="AZ164" s="61"/>
      <c r="BA164" s="81"/>
      <c r="BB164" s="81"/>
      <c r="BC164" s="61"/>
      <c r="BD164" s="291"/>
      <c r="BE164" s="258"/>
      <c r="BF164" s="346"/>
      <c r="BG164" s="300"/>
      <c r="BH164" s="300"/>
      <c r="BI164" s="345"/>
      <c r="BJ164" s="345"/>
      <c r="BK164" s="300"/>
      <c r="BL164" s="286" t="b">
        <v>0</v>
      </c>
    </row>
    <row r="165" ht="22.5" customHeight="1">
      <c r="A165" s="263"/>
      <c r="B165" s="194"/>
      <c r="C165" s="61"/>
      <c r="D165" s="61"/>
      <c r="E165" s="81"/>
      <c r="F165" s="81"/>
      <c r="G165" s="61"/>
      <c r="H165" s="269" t="b">
        <v>0</v>
      </c>
      <c r="I165" s="258"/>
      <c r="J165" s="194"/>
      <c r="K165" s="61"/>
      <c r="L165" s="61"/>
      <c r="M165" s="81"/>
      <c r="N165" s="81"/>
      <c r="O165" s="61"/>
      <c r="P165" s="269" t="b">
        <v>0</v>
      </c>
      <c r="Q165" s="258"/>
      <c r="R165" s="194"/>
      <c r="S165" s="61"/>
      <c r="T165" s="61"/>
      <c r="U165" s="81"/>
      <c r="V165" s="81"/>
      <c r="W165" s="61"/>
      <c r="X165" s="269" t="b">
        <v>0</v>
      </c>
      <c r="Y165" s="258"/>
      <c r="Z165" s="194"/>
      <c r="AA165" s="61"/>
      <c r="AB165" s="61"/>
      <c r="AC165" s="81"/>
      <c r="AD165" s="81"/>
      <c r="AE165" s="61"/>
      <c r="AF165" s="269" t="b">
        <v>0</v>
      </c>
      <c r="AH165" s="349"/>
      <c r="AI165" s="290"/>
      <c r="AJ165" s="277"/>
      <c r="AK165" s="350"/>
      <c r="AL165" s="350"/>
      <c r="AM165" s="290"/>
      <c r="AN165" s="281" t="b">
        <v>0</v>
      </c>
      <c r="AO165" s="258"/>
      <c r="AP165" s="346"/>
      <c r="AQ165" s="300"/>
      <c r="AR165" s="300"/>
      <c r="AS165" s="345"/>
      <c r="AT165" s="345"/>
      <c r="AU165" s="300"/>
      <c r="AV165" s="286" t="b">
        <v>0</v>
      </c>
      <c r="AW165" s="258"/>
      <c r="AX165" s="194"/>
      <c r="AY165" s="61"/>
      <c r="AZ165" s="61"/>
      <c r="BA165" s="81"/>
      <c r="BB165" s="81"/>
      <c r="BC165" s="61"/>
      <c r="BD165" s="291"/>
      <c r="BE165" s="258"/>
      <c r="BF165" s="346"/>
      <c r="BG165" s="300"/>
      <c r="BH165" s="300"/>
      <c r="BI165" s="345"/>
      <c r="BJ165" s="345"/>
      <c r="BK165" s="300"/>
      <c r="BL165" s="286" t="b">
        <v>0</v>
      </c>
    </row>
    <row r="166" ht="22.5" customHeight="1">
      <c r="A166" s="263"/>
      <c r="B166" s="194"/>
      <c r="C166" s="61"/>
      <c r="D166" s="61"/>
      <c r="E166" s="81"/>
      <c r="F166" s="81"/>
      <c r="G166" s="61"/>
      <c r="H166" s="269" t="b">
        <v>0</v>
      </c>
      <c r="I166" s="258"/>
      <c r="J166" s="194"/>
      <c r="K166" s="61"/>
      <c r="L166" s="61"/>
      <c r="M166" s="81"/>
      <c r="N166" s="81"/>
      <c r="O166" s="61"/>
      <c r="P166" s="269" t="b">
        <v>0</v>
      </c>
      <c r="Q166" s="258"/>
      <c r="R166" s="194"/>
      <c r="S166" s="61"/>
      <c r="T166" s="61"/>
      <c r="U166" s="81"/>
      <c r="V166" s="81"/>
      <c r="W166" s="61"/>
      <c r="X166" s="269" t="b">
        <v>0</v>
      </c>
      <c r="Y166" s="258"/>
      <c r="Z166" s="194"/>
      <c r="AA166" s="61"/>
      <c r="AB166" s="61"/>
      <c r="AC166" s="81"/>
      <c r="AD166" s="81"/>
      <c r="AE166" s="61"/>
      <c r="AF166" s="269" t="b">
        <v>0</v>
      </c>
      <c r="AH166" s="349"/>
      <c r="AI166" s="290"/>
      <c r="AJ166" s="277"/>
      <c r="AK166" s="350"/>
      <c r="AL166" s="350"/>
      <c r="AM166" s="290"/>
      <c r="AN166" s="281" t="b">
        <v>0</v>
      </c>
      <c r="AO166" s="258"/>
      <c r="AP166" s="346"/>
      <c r="AQ166" s="300"/>
      <c r="AR166" s="300"/>
      <c r="AS166" s="345"/>
      <c r="AT166" s="345"/>
      <c r="AU166" s="300"/>
      <c r="AV166" s="286" t="b">
        <v>0</v>
      </c>
      <c r="AW166" s="258"/>
      <c r="AX166" s="194"/>
      <c r="AY166" s="61"/>
      <c r="AZ166" s="61"/>
      <c r="BA166" s="81"/>
      <c r="BB166" s="81"/>
      <c r="BC166" s="61"/>
      <c r="BD166" s="291"/>
      <c r="BE166" s="258"/>
      <c r="BF166" s="346"/>
      <c r="BG166" s="300"/>
      <c r="BH166" s="300"/>
      <c r="BI166" s="345"/>
      <c r="BJ166" s="345"/>
      <c r="BK166" s="300"/>
      <c r="BL166" s="286" t="b">
        <v>0</v>
      </c>
    </row>
    <row r="167" ht="22.5" customHeight="1">
      <c r="A167" s="263"/>
      <c r="B167" s="194"/>
      <c r="C167" s="61"/>
      <c r="D167" s="61"/>
      <c r="E167" s="81"/>
      <c r="F167" s="81"/>
      <c r="G167" s="61"/>
      <c r="H167" s="269" t="b">
        <v>0</v>
      </c>
      <c r="I167" s="258"/>
      <c r="J167" s="194"/>
      <c r="K167" s="61"/>
      <c r="L167" s="61"/>
      <c r="M167" s="81"/>
      <c r="N167" s="81"/>
      <c r="O167" s="61"/>
      <c r="P167" s="269" t="b">
        <v>0</v>
      </c>
      <c r="Q167" s="258"/>
      <c r="R167" s="194"/>
      <c r="S167" s="61"/>
      <c r="T167" s="61"/>
      <c r="U167" s="81"/>
      <c r="V167" s="81"/>
      <c r="W167" s="61"/>
      <c r="X167" s="269" t="b">
        <v>0</v>
      </c>
      <c r="Y167" s="258"/>
      <c r="Z167" s="194"/>
      <c r="AA167" s="61"/>
      <c r="AB167" s="61"/>
      <c r="AC167" s="81"/>
      <c r="AD167" s="81"/>
      <c r="AE167" s="61"/>
      <c r="AF167" s="269" t="b">
        <v>0</v>
      </c>
      <c r="AH167" s="349"/>
      <c r="AI167" s="290"/>
      <c r="AJ167" s="277"/>
      <c r="AK167" s="350"/>
      <c r="AL167" s="350"/>
      <c r="AM167" s="290"/>
      <c r="AN167" s="281" t="b">
        <v>0</v>
      </c>
      <c r="AO167" s="258"/>
      <c r="AP167" s="346"/>
      <c r="AQ167" s="300"/>
      <c r="AR167" s="300"/>
      <c r="AS167" s="345"/>
      <c r="AT167" s="345"/>
      <c r="AU167" s="300"/>
      <c r="AV167" s="286" t="b">
        <v>0</v>
      </c>
      <c r="AW167" s="258"/>
      <c r="AX167" s="194"/>
      <c r="AY167" s="61"/>
      <c r="AZ167" s="61"/>
      <c r="BA167" s="81"/>
      <c r="BB167" s="81"/>
      <c r="BC167" s="61"/>
      <c r="BD167" s="291"/>
      <c r="BE167" s="258"/>
      <c r="BF167" s="346"/>
      <c r="BG167" s="300"/>
      <c r="BH167" s="300"/>
      <c r="BI167" s="345"/>
      <c r="BJ167" s="345"/>
      <c r="BK167" s="300"/>
      <c r="BL167" s="286" t="b">
        <v>0</v>
      </c>
    </row>
    <row r="168" ht="22.5" customHeight="1">
      <c r="A168" s="263"/>
      <c r="B168" s="194"/>
      <c r="C168" s="61"/>
      <c r="D168" s="61"/>
      <c r="E168" s="81"/>
      <c r="F168" s="81"/>
      <c r="G168" s="61"/>
      <c r="H168" s="269" t="b">
        <v>0</v>
      </c>
      <c r="I168" s="258"/>
      <c r="J168" s="194"/>
      <c r="K168" s="61"/>
      <c r="L168" s="61"/>
      <c r="M168" s="81"/>
      <c r="N168" s="81"/>
      <c r="O168" s="61"/>
      <c r="P168" s="269" t="b">
        <v>0</v>
      </c>
      <c r="Q168" s="258"/>
      <c r="R168" s="194"/>
      <c r="S168" s="61"/>
      <c r="T168" s="61"/>
      <c r="U168" s="81"/>
      <c r="V168" s="81"/>
      <c r="W168" s="61"/>
      <c r="X168" s="269" t="b">
        <v>0</v>
      </c>
      <c r="Y168" s="258"/>
      <c r="Z168" s="194"/>
      <c r="AA168" s="61"/>
      <c r="AB168" s="61"/>
      <c r="AC168" s="81"/>
      <c r="AD168" s="81"/>
      <c r="AE168" s="61"/>
      <c r="AF168" s="269" t="b">
        <v>0</v>
      </c>
      <c r="AH168" s="349"/>
      <c r="AI168" s="290"/>
      <c r="AJ168" s="277"/>
      <c r="AK168" s="350"/>
      <c r="AL168" s="350"/>
      <c r="AM168" s="290"/>
      <c r="AN168" s="281" t="b">
        <v>0</v>
      </c>
      <c r="AO168" s="258"/>
      <c r="AP168" s="346"/>
      <c r="AQ168" s="300"/>
      <c r="AR168" s="300"/>
      <c r="AS168" s="345"/>
      <c r="AT168" s="345"/>
      <c r="AU168" s="300"/>
      <c r="AV168" s="286" t="b">
        <v>0</v>
      </c>
      <c r="AW168" s="258"/>
      <c r="AX168" s="194"/>
      <c r="AY168" s="61"/>
      <c r="AZ168" s="61"/>
      <c r="BA168" s="81"/>
      <c r="BB168" s="81"/>
      <c r="BC168" s="61"/>
      <c r="BD168" s="291"/>
      <c r="BE168" s="258"/>
      <c r="BF168" s="346"/>
      <c r="BG168" s="300"/>
      <c r="BH168" s="300"/>
      <c r="BI168" s="345"/>
      <c r="BJ168" s="345"/>
      <c r="BK168" s="300"/>
      <c r="BL168" s="286" t="b">
        <v>0</v>
      </c>
    </row>
    <row r="169" ht="22.5" customHeight="1">
      <c r="A169" s="263"/>
      <c r="B169" s="194"/>
      <c r="C169" s="61"/>
      <c r="D169" s="61"/>
      <c r="E169" s="81"/>
      <c r="F169" s="81"/>
      <c r="G169" s="61"/>
      <c r="H169" s="269" t="b">
        <v>0</v>
      </c>
      <c r="I169" s="258"/>
      <c r="J169" s="194"/>
      <c r="K169" s="61"/>
      <c r="L169" s="61"/>
      <c r="M169" s="81"/>
      <c r="N169" s="81"/>
      <c r="O169" s="61"/>
      <c r="P169" s="269" t="b">
        <v>0</v>
      </c>
      <c r="Q169" s="258"/>
      <c r="R169" s="194"/>
      <c r="S169" s="61"/>
      <c r="T169" s="61"/>
      <c r="U169" s="81"/>
      <c r="V169" s="81"/>
      <c r="W169" s="61"/>
      <c r="X169" s="269" t="b">
        <v>0</v>
      </c>
      <c r="Y169" s="258"/>
      <c r="Z169" s="194"/>
      <c r="AA169" s="61"/>
      <c r="AB169" s="61"/>
      <c r="AC169" s="81"/>
      <c r="AD169" s="81"/>
      <c r="AE169" s="61"/>
      <c r="AF169" s="269" t="b">
        <v>0</v>
      </c>
      <c r="AH169" s="349"/>
      <c r="AI169" s="290"/>
      <c r="AJ169" s="277"/>
      <c r="AK169" s="350"/>
      <c r="AL169" s="350"/>
      <c r="AM169" s="290"/>
      <c r="AN169" s="281" t="b">
        <v>0</v>
      </c>
      <c r="AO169" s="258"/>
      <c r="AP169" s="346"/>
      <c r="AQ169" s="300"/>
      <c r="AR169" s="300"/>
      <c r="AS169" s="345"/>
      <c r="AT169" s="345"/>
      <c r="AU169" s="300"/>
      <c r="AV169" s="286" t="b">
        <v>0</v>
      </c>
      <c r="AW169" s="258"/>
      <c r="AX169" s="194"/>
      <c r="AY169" s="61"/>
      <c r="AZ169" s="61"/>
      <c r="BA169" s="81"/>
      <c r="BB169" s="81"/>
      <c r="BC169" s="61"/>
      <c r="BD169" s="291"/>
      <c r="BE169" s="258"/>
      <c r="BF169" s="346"/>
      <c r="BG169" s="300"/>
      <c r="BH169" s="300"/>
      <c r="BI169" s="345"/>
      <c r="BJ169" s="345"/>
      <c r="BK169" s="300"/>
      <c r="BL169" s="286" t="b">
        <v>0</v>
      </c>
    </row>
    <row r="170" ht="22.5" customHeight="1">
      <c r="A170" s="263"/>
      <c r="B170" s="194"/>
      <c r="C170" s="61"/>
      <c r="D170" s="61"/>
      <c r="E170" s="81"/>
      <c r="F170" s="81"/>
      <c r="G170" s="61"/>
      <c r="H170" s="269" t="b">
        <v>0</v>
      </c>
      <c r="I170" s="258"/>
      <c r="J170" s="194"/>
      <c r="K170" s="61"/>
      <c r="L170" s="61"/>
      <c r="M170" s="81"/>
      <c r="N170" s="81"/>
      <c r="O170" s="61"/>
      <c r="P170" s="269" t="b">
        <v>0</v>
      </c>
      <c r="Q170" s="258"/>
      <c r="R170" s="194"/>
      <c r="S170" s="61"/>
      <c r="T170" s="61"/>
      <c r="U170" s="81"/>
      <c r="V170" s="81"/>
      <c r="W170" s="61"/>
      <c r="X170" s="269" t="b">
        <v>0</v>
      </c>
      <c r="Y170" s="258"/>
      <c r="Z170" s="194"/>
      <c r="AA170" s="61"/>
      <c r="AB170" s="61"/>
      <c r="AC170" s="81"/>
      <c r="AD170" s="81"/>
      <c r="AE170" s="61"/>
      <c r="AF170" s="269" t="b">
        <v>0</v>
      </c>
      <c r="AH170" s="349"/>
      <c r="AI170" s="290"/>
      <c r="AJ170" s="277"/>
      <c r="AK170" s="350"/>
      <c r="AL170" s="350"/>
      <c r="AM170" s="290"/>
      <c r="AN170" s="281" t="b">
        <v>0</v>
      </c>
      <c r="AO170" s="258"/>
      <c r="AP170" s="346"/>
      <c r="AQ170" s="300"/>
      <c r="AR170" s="300"/>
      <c r="AS170" s="345"/>
      <c r="AT170" s="345"/>
      <c r="AU170" s="300"/>
      <c r="AV170" s="286" t="b">
        <v>0</v>
      </c>
      <c r="AW170" s="258"/>
      <c r="AX170" s="194"/>
      <c r="AY170" s="61"/>
      <c r="AZ170" s="61"/>
      <c r="BA170" s="81"/>
      <c r="BB170" s="81"/>
      <c r="BC170" s="61"/>
      <c r="BD170" s="291"/>
      <c r="BE170" s="258"/>
      <c r="BF170" s="346"/>
      <c r="BG170" s="300"/>
      <c r="BH170" s="300"/>
      <c r="BI170" s="345"/>
      <c r="BJ170" s="345"/>
      <c r="BK170" s="300"/>
      <c r="BL170" s="286" t="b">
        <v>0</v>
      </c>
    </row>
    <row r="171" ht="22.5" customHeight="1">
      <c r="A171" s="263"/>
      <c r="B171" s="194"/>
      <c r="C171" s="61"/>
      <c r="D171" s="61"/>
      <c r="E171" s="81"/>
      <c r="F171" s="81"/>
      <c r="G171" s="61"/>
      <c r="H171" s="269" t="b">
        <v>0</v>
      </c>
      <c r="I171" s="258"/>
      <c r="J171" s="194"/>
      <c r="K171" s="61"/>
      <c r="L171" s="61"/>
      <c r="M171" s="81"/>
      <c r="N171" s="81"/>
      <c r="O171" s="61"/>
      <c r="P171" s="269" t="b">
        <v>0</v>
      </c>
      <c r="Q171" s="258"/>
      <c r="R171" s="194"/>
      <c r="S171" s="61"/>
      <c r="T171" s="61"/>
      <c r="U171" s="81"/>
      <c r="V171" s="81"/>
      <c r="W171" s="61"/>
      <c r="X171" s="269" t="b">
        <v>0</v>
      </c>
      <c r="Y171" s="258"/>
      <c r="Z171" s="194"/>
      <c r="AA171" s="61"/>
      <c r="AB171" s="61"/>
      <c r="AC171" s="81"/>
      <c r="AD171" s="81"/>
      <c r="AE171" s="61"/>
      <c r="AF171" s="269" t="b">
        <v>0</v>
      </c>
      <c r="AH171" s="349"/>
      <c r="AI171" s="290"/>
      <c r="AJ171" s="277"/>
      <c r="AK171" s="350"/>
      <c r="AL171" s="350"/>
      <c r="AM171" s="290"/>
      <c r="AN171" s="281" t="b">
        <v>0</v>
      </c>
      <c r="AO171" s="258"/>
      <c r="AP171" s="346"/>
      <c r="AQ171" s="300"/>
      <c r="AR171" s="300"/>
      <c r="AS171" s="345"/>
      <c r="AT171" s="345"/>
      <c r="AU171" s="300"/>
      <c r="AV171" s="286" t="b">
        <v>0</v>
      </c>
      <c r="AW171" s="258"/>
      <c r="AX171" s="194"/>
      <c r="AY171" s="61"/>
      <c r="AZ171" s="61"/>
      <c r="BA171" s="81"/>
      <c r="BB171" s="81"/>
      <c r="BC171" s="61"/>
      <c r="BD171" s="291"/>
      <c r="BE171" s="258"/>
      <c r="BF171" s="346"/>
      <c r="BG171" s="300"/>
      <c r="BH171" s="300"/>
      <c r="BI171" s="345"/>
      <c r="BJ171" s="345"/>
      <c r="BK171" s="300"/>
      <c r="BL171" s="286" t="b">
        <v>0</v>
      </c>
    </row>
    <row r="172" ht="22.5" customHeight="1">
      <c r="A172" s="263"/>
      <c r="B172" s="194"/>
      <c r="C172" s="61"/>
      <c r="D172" s="61"/>
      <c r="E172" s="81"/>
      <c r="F172" s="81"/>
      <c r="G172" s="61"/>
      <c r="H172" s="269" t="b">
        <v>0</v>
      </c>
      <c r="I172" s="258"/>
      <c r="J172" s="194"/>
      <c r="K172" s="61"/>
      <c r="L172" s="61"/>
      <c r="M172" s="81"/>
      <c r="N172" s="81"/>
      <c r="O172" s="61"/>
      <c r="P172" s="269" t="b">
        <v>0</v>
      </c>
      <c r="Q172" s="258"/>
      <c r="R172" s="194"/>
      <c r="S172" s="61"/>
      <c r="T172" s="61"/>
      <c r="U172" s="81"/>
      <c r="V172" s="81"/>
      <c r="W172" s="61"/>
      <c r="X172" s="269" t="b">
        <v>0</v>
      </c>
      <c r="Y172" s="258"/>
      <c r="Z172" s="194"/>
      <c r="AA172" s="61"/>
      <c r="AB172" s="61"/>
      <c r="AC172" s="81"/>
      <c r="AD172" s="81"/>
      <c r="AE172" s="61"/>
      <c r="AF172" s="269" t="b">
        <v>0</v>
      </c>
      <c r="AH172" s="349"/>
      <c r="AI172" s="290"/>
      <c r="AJ172" s="277"/>
      <c r="AK172" s="350"/>
      <c r="AL172" s="350"/>
      <c r="AM172" s="290"/>
      <c r="AN172" s="281" t="b">
        <v>0</v>
      </c>
      <c r="AO172" s="258"/>
      <c r="AP172" s="346"/>
      <c r="AQ172" s="300"/>
      <c r="AR172" s="300"/>
      <c r="AS172" s="345"/>
      <c r="AT172" s="345"/>
      <c r="AU172" s="300"/>
      <c r="AV172" s="286" t="b">
        <v>0</v>
      </c>
      <c r="AW172" s="258"/>
      <c r="AX172" s="194"/>
      <c r="AY172" s="61"/>
      <c r="AZ172" s="61"/>
      <c r="BA172" s="81"/>
      <c r="BB172" s="81"/>
      <c r="BC172" s="61"/>
      <c r="BD172" s="291"/>
      <c r="BE172" s="258"/>
      <c r="BF172" s="346"/>
      <c r="BG172" s="300"/>
      <c r="BH172" s="300"/>
      <c r="BI172" s="345"/>
      <c r="BJ172" s="345"/>
      <c r="BK172" s="300"/>
      <c r="BL172" s="286" t="b">
        <v>0</v>
      </c>
    </row>
    <row r="173" ht="22.5" customHeight="1">
      <c r="A173" s="263"/>
      <c r="B173" s="194"/>
      <c r="C173" s="61"/>
      <c r="D173" s="61"/>
      <c r="E173" s="81"/>
      <c r="F173" s="81"/>
      <c r="G173" s="61"/>
      <c r="H173" s="269" t="b">
        <v>0</v>
      </c>
      <c r="I173" s="258"/>
      <c r="J173" s="194"/>
      <c r="K173" s="61"/>
      <c r="L173" s="61"/>
      <c r="M173" s="81"/>
      <c r="N173" s="81"/>
      <c r="O173" s="61"/>
      <c r="P173" s="269" t="b">
        <v>0</v>
      </c>
      <c r="Q173" s="258"/>
      <c r="R173" s="194"/>
      <c r="S173" s="61"/>
      <c r="T173" s="61"/>
      <c r="U173" s="81"/>
      <c r="V173" s="81"/>
      <c r="W173" s="61"/>
      <c r="X173" s="269" t="b">
        <v>0</v>
      </c>
      <c r="Y173" s="258"/>
      <c r="Z173" s="194"/>
      <c r="AA173" s="61"/>
      <c r="AB173" s="61"/>
      <c r="AC173" s="81"/>
      <c r="AD173" s="81"/>
      <c r="AE173" s="61"/>
      <c r="AF173" s="269" t="b">
        <v>0</v>
      </c>
      <c r="AH173" s="349"/>
      <c r="AI173" s="290"/>
      <c r="AJ173" s="277"/>
      <c r="AK173" s="350"/>
      <c r="AL173" s="350"/>
      <c r="AM173" s="290"/>
      <c r="AN173" s="281" t="b">
        <v>0</v>
      </c>
      <c r="AO173" s="258"/>
      <c r="AP173" s="346"/>
      <c r="AQ173" s="300"/>
      <c r="AR173" s="300"/>
      <c r="AS173" s="345"/>
      <c r="AT173" s="345"/>
      <c r="AU173" s="300"/>
      <c r="AV173" s="286" t="b">
        <v>0</v>
      </c>
      <c r="AW173" s="258"/>
      <c r="AX173" s="194"/>
      <c r="AY173" s="61"/>
      <c r="AZ173" s="61"/>
      <c r="BA173" s="81"/>
      <c r="BB173" s="81"/>
      <c r="BC173" s="61"/>
      <c r="BD173" s="291"/>
      <c r="BE173" s="258"/>
      <c r="BF173" s="346"/>
      <c r="BG173" s="300"/>
      <c r="BH173" s="300"/>
      <c r="BI173" s="345"/>
      <c r="BJ173" s="345"/>
      <c r="BK173" s="300"/>
      <c r="BL173" s="286" t="b">
        <v>0</v>
      </c>
    </row>
    <row r="174" ht="22.5" customHeight="1">
      <c r="A174" s="263"/>
      <c r="B174" s="194"/>
      <c r="C174" s="61"/>
      <c r="D174" s="61"/>
      <c r="E174" s="81"/>
      <c r="F174" s="81"/>
      <c r="G174" s="61"/>
      <c r="H174" s="269" t="b">
        <v>0</v>
      </c>
      <c r="I174" s="258"/>
      <c r="J174" s="194"/>
      <c r="K174" s="61"/>
      <c r="L174" s="61"/>
      <c r="M174" s="81"/>
      <c r="N174" s="81"/>
      <c r="O174" s="61"/>
      <c r="P174" s="269" t="b">
        <v>0</v>
      </c>
      <c r="Q174" s="258"/>
      <c r="R174" s="194"/>
      <c r="S174" s="61"/>
      <c r="T174" s="61"/>
      <c r="U174" s="81"/>
      <c r="V174" s="81"/>
      <c r="W174" s="61"/>
      <c r="X174" s="269" t="b">
        <v>0</v>
      </c>
      <c r="Y174" s="258"/>
      <c r="Z174" s="194"/>
      <c r="AA174" s="61"/>
      <c r="AB174" s="61"/>
      <c r="AC174" s="81"/>
      <c r="AD174" s="81"/>
      <c r="AE174" s="61"/>
      <c r="AF174" s="269" t="b">
        <v>0</v>
      </c>
      <c r="AH174" s="349"/>
      <c r="AI174" s="290"/>
      <c r="AJ174" s="277"/>
      <c r="AK174" s="350"/>
      <c r="AL174" s="350"/>
      <c r="AM174" s="290"/>
      <c r="AN174" s="281" t="b">
        <v>0</v>
      </c>
      <c r="AO174" s="258"/>
      <c r="AP174" s="346"/>
      <c r="AQ174" s="300"/>
      <c r="AR174" s="300"/>
      <c r="AS174" s="345"/>
      <c r="AT174" s="345"/>
      <c r="AU174" s="300"/>
      <c r="AV174" s="286" t="b">
        <v>0</v>
      </c>
      <c r="AW174" s="258"/>
      <c r="AX174" s="194"/>
      <c r="AY174" s="61"/>
      <c r="AZ174" s="61"/>
      <c r="BA174" s="81"/>
      <c r="BB174" s="81"/>
      <c r="BC174" s="61"/>
      <c r="BD174" s="291"/>
      <c r="BE174" s="258"/>
      <c r="BF174" s="346"/>
      <c r="BG174" s="300"/>
      <c r="BH174" s="300"/>
      <c r="BI174" s="345"/>
      <c r="BJ174" s="345"/>
      <c r="BK174" s="300"/>
      <c r="BL174" s="286" t="b">
        <v>0</v>
      </c>
    </row>
    <row r="175" ht="22.5" customHeight="1">
      <c r="A175" s="263"/>
      <c r="B175" s="194"/>
      <c r="C175" s="61"/>
      <c r="D175" s="61"/>
      <c r="E175" s="81"/>
      <c r="F175" s="81"/>
      <c r="G175" s="61"/>
      <c r="H175" s="269" t="b">
        <v>0</v>
      </c>
      <c r="I175" s="258"/>
      <c r="J175" s="194"/>
      <c r="K175" s="61"/>
      <c r="L175" s="61"/>
      <c r="M175" s="81"/>
      <c r="N175" s="81"/>
      <c r="O175" s="61"/>
      <c r="P175" s="269" t="b">
        <v>0</v>
      </c>
      <c r="Q175" s="258"/>
      <c r="R175" s="194"/>
      <c r="S175" s="61"/>
      <c r="T175" s="61"/>
      <c r="U175" s="81"/>
      <c r="V175" s="81"/>
      <c r="W175" s="61"/>
      <c r="X175" s="269" t="b">
        <v>0</v>
      </c>
      <c r="Y175" s="258"/>
      <c r="Z175" s="194"/>
      <c r="AA175" s="61"/>
      <c r="AB175" s="61"/>
      <c r="AC175" s="81"/>
      <c r="AD175" s="81"/>
      <c r="AE175" s="61"/>
      <c r="AF175" s="269" t="b">
        <v>0</v>
      </c>
      <c r="AH175" s="349"/>
      <c r="AI175" s="290"/>
      <c r="AJ175" s="277"/>
      <c r="AK175" s="350"/>
      <c r="AL175" s="350"/>
      <c r="AM175" s="290"/>
      <c r="AN175" s="281" t="b">
        <v>0</v>
      </c>
      <c r="AO175" s="258"/>
      <c r="AP175" s="346"/>
      <c r="AQ175" s="300"/>
      <c r="AR175" s="300"/>
      <c r="AS175" s="345"/>
      <c r="AT175" s="345"/>
      <c r="AU175" s="300"/>
      <c r="AV175" s="286" t="b">
        <v>0</v>
      </c>
      <c r="AW175" s="258"/>
      <c r="AX175" s="194"/>
      <c r="AY175" s="61"/>
      <c r="AZ175" s="61"/>
      <c r="BA175" s="81"/>
      <c r="BB175" s="81"/>
      <c r="BC175" s="61"/>
      <c r="BD175" s="291"/>
      <c r="BE175" s="258"/>
      <c r="BF175" s="346"/>
      <c r="BG175" s="300"/>
      <c r="BH175" s="300"/>
      <c r="BI175" s="345"/>
      <c r="BJ175" s="345"/>
      <c r="BK175" s="300"/>
      <c r="BL175" s="286" t="b">
        <v>0</v>
      </c>
    </row>
    <row r="176" ht="22.5" customHeight="1">
      <c r="A176" s="263"/>
      <c r="B176" s="194"/>
      <c r="C176" s="61"/>
      <c r="D176" s="61"/>
      <c r="E176" s="81"/>
      <c r="F176" s="81"/>
      <c r="G176" s="61"/>
      <c r="H176" s="269" t="b">
        <v>0</v>
      </c>
      <c r="I176" s="258"/>
      <c r="J176" s="194"/>
      <c r="K176" s="61"/>
      <c r="L176" s="61"/>
      <c r="M176" s="81"/>
      <c r="N176" s="81"/>
      <c r="O176" s="61"/>
      <c r="P176" s="269" t="b">
        <v>0</v>
      </c>
      <c r="Q176" s="258"/>
      <c r="R176" s="194"/>
      <c r="S176" s="61"/>
      <c r="T176" s="61"/>
      <c r="U176" s="81"/>
      <c r="V176" s="81"/>
      <c r="W176" s="61"/>
      <c r="X176" s="269" t="b">
        <v>0</v>
      </c>
      <c r="Y176" s="258"/>
      <c r="Z176" s="194"/>
      <c r="AA176" s="61"/>
      <c r="AB176" s="61"/>
      <c r="AC176" s="81"/>
      <c r="AD176" s="81"/>
      <c r="AE176" s="61"/>
      <c r="AF176" s="269" t="b">
        <v>0</v>
      </c>
      <c r="AH176" s="349"/>
      <c r="AI176" s="290"/>
      <c r="AJ176" s="277"/>
      <c r="AK176" s="350"/>
      <c r="AL176" s="350"/>
      <c r="AM176" s="290"/>
      <c r="AN176" s="281" t="b">
        <v>0</v>
      </c>
      <c r="AO176" s="258"/>
      <c r="AP176" s="346"/>
      <c r="AQ176" s="300"/>
      <c r="AR176" s="300"/>
      <c r="AS176" s="345"/>
      <c r="AT176" s="345"/>
      <c r="AU176" s="300"/>
      <c r="AV176" s="286" t="b">
        <v>0</v>
      </c>
      <c r="AW176" s="258"/>
      <c r="AX176" s="194"/>
      <c r="AY176" s="61"/>
      <c r="AZ176" s="61"/>
      <c r="BA176" s="81"/>
      <c r="BB176" s="81"/>
      <c r="BC176" s="61"/>
      <c r="BD176" s="291"/>
      <c r="BE176" s="258"/>
      <c r="BF176" s="346"/>
      <c r="BG176" s="300"/>
      <c r="BH176" s="300"/>
      <c r="BI176" s="345"/>
      <c r="BJ176" s="345"/>
      <c r="BK176" s="300"/>
      <c r="BL176" s="286" t="b">
        <v>0</v>
      </c>
    </row>
    <row r="177" ht="22.5" customHeight="1">
      <c r="A177" s="263"/>
      <c r="B177" s="194"/>
      <c r="C177" s="61"/>
      <c r="D177" s="61"/>
      <c r="E177" s="81"/>
      <c r="F177" s="81"/>
      <c r="G177" s="61"/>
      <c r="H177" s="269" t="b">
        <v>0</v>
      </c>
      <c r="I177" s="258"/>
      <c r="J177" s="194"/>
      <c r="K177" s="61"/>
      <c r="L177" s="61"/>
      <c r="M177" s="81"/>
      <c r="N177" s="81"/>
      <c r="O177" s="61"/>
      <c r="P177" s="269" t="b">
        <v>0</v>
      </c>
      <c r="Q177" s="258"/>
      <c r="R177" s="194"/>
      <c r="S177" s="61"/>
      <c r="T177" s="61"/>
      <c r="U177" s="81"/>
      <c r="V177" s="81"/>
      <c r="W177" s="61"/>
      <c r="X177" s="269" t="b">
        <v>0</v>
      </c>
      <c r="Y177" s="258"/>
      <c r="Z177" s="194"/>
      <c r="AA177" s="61"/>
      <c r="AB177" s="61"/>
      <c r="AC177" s="81"/>
      <c r="AD177" s="81"/>
      <c r="AE177" s="61"/>
      <c r="AF177" s="269" t="b">
        <v>0</v>
      </c>
      <c r="AH177" s="349"/>
      <c r="AI177" s="290"/>
      <c r="AJ177" s="277"/>
      <c r="AK177" s="350"/>
      <c r="AL177" s="350"/>
      <c r="AM177" s="290"/>
      <c r="AN177" s="281" t="b">
        <v>0</v>
      </c>
      <c r="AO177" s="258"/>
      <c r="AP177" s="346"/>
      <c r="AQ177" s="300"/>
      <c r="AR177" s="300"/>
      <c r="AS177" s="345"/>
      <c r="AT177" s="345"/>
      <c r="AU177" s="300"/>
      <c r="AV177" s="286" t="b">
        <v>0</v>
      </c>
      <c r="AW177" s="258"/>
      <c r="AX177" s="194"/>
      <c r="AY177" s="61"/>
      <c r="AZ177" s="61"/>
      <c r="BA177" s="81"/>
      <c r="BB177" s="81"/>
      <c r="BC177" s="61"/>
      <c r="BD177" s="291"/>
      <c r="BE177" s="258"/>
      <c r="BF177" s="346"/>
      <c r="BG177" s="300"/>
      <c r="BH177" s="300"/>
      <c r="BI177" s="345"/>
      <c r="BJ177" s="345"/>
      <c r="BK177" s="300"/>
      <c r="BL177" s="286" t="b">
        <v>0</v>
      </c>
    </row>
    <row r="178" ht="22.5" customHeight="1">
      <c r="A178" s="263"/>
      <c r="B178" s="194"/>
      <c r="C178" s="61"/>
      <c r="D178" s="61"/>
      <c r="E178" s="81"/>
      <c r="F178" s="81"/>
      <c r="G178" s="61"/>
      <c r="H178" s="269" t="b">
        <v>0</v>
      </c>
      <c r="I178" s="258"/>
      <c r="J178" s="194"/>
      <c r="K178" s="61"/>
      <c r="L178" s="61"/>
      <c r="M178" s="81"/>
      <c r="N178" s="81"/>
      <c r="O178" s="61"/>
      <c r="P178" s="269" t="b">
        <v>0</v>
      </c>
      <c r="Q178" s="258"/>
      <c r="R178" s="194"/>
      <c r="S178" s="61"/>
      <c r="T178" s="61"/>
      <c r="U178" s="81"/>
      <c r="V178" s="81"/>
      <c r="W178" s="61"/>
      <c r="X178" s="269" t="b">
        <v>0</v>
      </c>
      <c r="Y178" s="258"/>
      <c r="Z178" s="194"/>
      <c r="AA178" s="61"/>
      <c r="AB178" s="61"/>
      <c r="AC178" s="81"/>
      <c r="AD178" s="81"/>
      <c r="AE178" s="61"/>
      <c r="AF178" s="269" t="b">
        <v>0</v>
      </c>
      <c r="AH178" s="349"/>
      <c r="AI178" s="290"/>
      <c r="AJ178" s="277"/>
      <c r="AK178" s="350"/>
      <c r="AL178" s="350"/>
      <c r="AM178" s="290"/>
      <c r="AN178" s="281" t="b">
        <v>0</v>
      </c>
      <c r="AO178" s="258"/>
      <c r="AP178" s="346"/>
      <c r="AQ178" s="300"/>
      <c r="AR178" s="300"/>
      <c r="AS178" s="345"/>
      <c r="AT178" s="345"/>
      <c r="AU178" s="300"/>
      <c r="AV178" s="286" t="b">
        <v>0</v>
      </c>
      <c r="AW178" s="258"/>
      <c r="AX178" s="194"/>
      <c r="AY178" s="61"/>
      <c r="AZ178" s="61"/>
      <c r="BA178" s="81"/>
      <c r="BB178" s="81"/>
      <c r="BC178" s="61"/>
      <c r="BD178" s="291"/>
      <c r="BE178" s="258"/>
      <c r="BF178" s="346"/>
      <c r="BG178" s="300"/>
      <c r="BH178" s="300"/>
      <c r="BI178" s="345"/>
      <c r="BJ178" s="345"/>
      <c r="BK178" s="300"/>
      <c r="BL178" s="286" t="b">
        <v>0</v>
      </c>
    </row>
    <row r="179" ht="22.5" customHeight="1">
      <c r="A179" s="263"/>
      <c r="B179" s="194"/>
      <c r="C179" s="61"/>
      <c r="D179" s="61"/>
      <c r="E179" s="81"/>
      <c r="F179" s="81"/>
      <c r="G179" s="61"/>
      <c r="H179" s="269" t="b">
        <v>0</v>
      </c>
      <c r="I179" s="258"/>
      <c r="J179" s="194"/>
      <c r="K179" s="61"/>
      <c r="L179" s="61"/>
      <c r="M179" s="81"/>
      <c r="N179" s="81"/>
      <c r="O179" s="61"/>
      <c r="P179" s="269" t="b">
        <v>0</v>
      </c>
      <c r="Q179" s="258"/>
      <c r="R179" s="194"/>
      <c r="S179" s="61"/>
      <c r="T179" s="61"/>
      <c r="U179" s="81"/>
      <c r="V179" s="81"/>
      <c r="W179" s="61"/>
      <c r="X179" s="269" t="b">
        <v>0</v>
      </c>
      <c r="Y179" s="258"/>
      <c r="Z179" s="194"/>
      <c r="AA179" s="61"/>
      <c r="AB179" s="61"/>
      <c r="AC179" s="81"/>
      <c r="AD179" s="81"/>
      <c r="AE179" s="61"/>
      <c r="AF179" s="269" t="b">
        <v>0</v>
      </c>
      <c r="AH179" s="349"/>
      <c r="AI179" s="290"/>
      <c r="AJ179" s="277"/>
      <c r="AK179" s="350"/>
      <c r="AL179" s="350"/>
      <c r="AM179" s="290"/>
      <c r="AN179" s="281" t="b">
        <v>0</v>
      </c>
      <c r="AO179" s="258"/>
      <c r="AP179" s="346"/>
      <c r="AQ179" s="300"/>
      <c r="AR179" s="300"/>
      <c r="AS179" s="345"/>
      <c r="AT179" s="345"/>
      <c r="AU179" s="300"/>
      <c r="AV179" s="286" t="b">
        <v>0</v>
      </c>
      <c r="AW179" s="258"/>
      <c r="AX179" s="194"/>
      <c r="AY179" s="61"/>
      <c r="AZ179" s="61"/>
      <c r="BA179" s="81"/>
      <c r="BB179" s="81"/>
      <c r="BC179" s="61"/>
      <c r="BD179" s="291"/>
      <c r="BE179" s="258"/>
      <c r="BF179" s="346"/>
      <c r="BG179" s="300"/>
      <c r="BH179" s="300"/>
      <c r="BI179" s="345"/>
      <c r="BJ179" s="345"/>
      <c r="BK179" s="300"/>
      <c r="BL179" s="286" t="b">
        <v>0</v>
      </c>
    </row>
    <row r="180" ht="22.5" customHeight="1">
      <c r="A180" s="263"/>
      <c r="B180" s="194"/>
      <c r="C180" s="61"/>
      <c r="D180" s="61"/>
      <c r="E180" s="81"/>
      <c r="F180" s="81"/>
      <c r="G180" s="61"/>
      <c r="H180" s="269" t="b">
        <v>0</v>
      </c>
      <c r="I180" s="258"/>
      <c r="J180" s="194"/>
      <c r="K180" s="61"/>
      <c r="L180" s="61"/>
      <c r="M180" s="81"/>
      <c r="N180" s="81"/>
      <c r="O180" s="61"/>
      <c r="P180" s="269" t="b">
        <v>0</v>
      </c>
      <c r="Q180" s="258"/>
      <c r="R180" s="194"/>
      <c r="S180" s="61"/>
      <c r="T180" s="61"/>
      <c r="U180" s="81"/>
      <c r="V180" s="81"/>
      <c r="W180" s="61"/>
      <c r="X180" s="269" t="b">
        <v>0</v>
      </c>
      <c r="Y180" s="258"/>
      <c r="Z180" s="194"/>
      <c r="AA180" s="61"/>
      <c r="AB180" s="61"/>
      <c r="AC180" s="81"/>
      <c r="AD180" s="81"/>
      <c r="AE180" s="61"/>
      <c r="AF180" s="269" t="b">
        <v>0</v>
      </c>
      <c r="AH180" s="349"/>
      <c r="AI180" s="290"/>
      <c r="AJ180" s="277"/>
      <c r="AK180" s="350"/>
      <c r="AL180" s="350"/>
      <c r="AM180" s="290"/>
      <c r="AN180" s="281" t="b">
        <v>0</v>
      </c>
      <c r="AO180" s="258"/>
      <c r="AP180" s="346"/>
      <c r="AQ180" s="300"/>
      <c r="AR180" s="300"/>
      <c r="AS180" s="345"/>
      <c r="AT180" s="345"/>
      <c r="AU180" s="300"/>
      <c r="AV180" s="286" t="b">
        <v>0</v>
      </c>
      <c r="AW180" s="258"/>
      <c r="AX180" s="194"/>
      <c r="AY180" s="61"/>
      <c r="AZ180" s="61"/>
      <c r="BA180" s="81"/>
      <c r="BB180" s="81"/>
      <c r="BC180" s="61"/>
      <c r="BD180" s="291"/>
      <c r="BE180" s="258"/>
      <c r="BF180" s="346"/>
      <c r="BG180" s="300"/>
      <c r="BH180" s="300"/>
      <c r="BI180" s="345"/>
      <c r="BJ180" s="345"/>
      <c r="BK180" s="300"/>
      <c r="BL180" s="286" t="b">
        <v>0</v>
      </c>
    </row>
    <row r="181" ht="22.5" customHeight="1">
      <c r="A181" s="263"/>
      <c r="B181" s="194"/>
      <c r="C181" s="61"/>
      <c r="D181" s="61"/>
      <c r="E181" s="81"/>
      <c r="F181" s="81"/>
      <c r="G181" s="61"/>
      <c r="H181" s="269" t="b">
        <v>0</v>
      </c>
      <c r="I181" s="258"/>
      <c r="J181" s="194"/>
      <c r="K181" s="61"/>
      <c r="L181" s="61"/>
      <c r="M181" s="81"/>
      <c r="N181" s="81"/>
      <c r="O181" s="61"/>
      <c r="P181" s="269" t="b">
        <v>0</v>
      </c>
      <c r="Q181" s="258"/>
      <c r="R181" s="194"/>
      <c r="S181" s="61"/>
      <c r="T181" s="61"/>
      <c r="U181" s="81"/>
      <c r="V181" s="81"/>
      <c r="W181" s="61"/>
      <c r="X181" s="269" t="b">
        <v>0</v>
      </c>
      <c r="Y181" s="258"/>
      <c r="Z181" s="194"/>
      <c r="AA181" s="61"/>
      <c r="AB181" s="61"/>
      <c r="AC181" s="81"/>
      <c r="AD181" s="81"/>
      <c r="AE181" s="61"/>
      <c r="AF181" s="269" t="b">
        <v>0</v>
      </c>
      <c r="AH181" s="349"/>
      <c r="AI181" s="290"/>
      <c r="AJ181" s="277"/>
      <c r="AK181" s="350"/>
      <c r="AL181" s="350"/>
      <c r="AM181" s="290"/>
      <c r="AN181" s="281" t="b">
        <v>0</v>
      </c>
      <c r="AO181" s="258"/>
      <c r="AP181" s="346"/>
      <c r="AQ181" s="300"/>
      <c r="AR181" s="300"/>
      <c r="AS181" s="345"/>
      <c r="AT181" s="345"/>
      <c r="AU181" s="300"/>
      <c r="AV181" s="286" t="b">
        <v>0</v>
      </c>
      <c r="AW181" s="258"/>
      <c r="AX181" s="194"/>
      <c r="AY181" s="61"/>
      <c r="AZ181" s="61"/>
      <c r="BA181" s="81"/>
      <c r="BB181" s="81"/>
      <c r="BC181" s="61"/>
      <c r="BD181" s="291"/>
      <c r="BE181" s="258"/>
      <c r="BF181" s="346"/>
      <c r="BG181" s="300"/>
      <c r="BH181" s="300"/>
      <c r="BI181" s="345"/>
      <c r="BJ181" s="345"/>
      <c r="BK181" s="300"/>
      <c r="BL181" s="286" t="b">
        <v>0</v>
      </c>
    </row>
    <row r="182" ht="22.5" customHeight="1">
      <c r="A182" s="263"/>
      <c r="B182" s="194"/>
      <c r="C182" s="61"/>
      <c r="D182" s="61"/>
      <c r="E182" s="81"/>
      <c r="F182" s="81"/>
      <c r="G182" s="61"/>
      <c r="H182" s="269" t="b">
        <v>0</v>
      </c>
      <c r="I182" s="258"/>
      <c r="J182" s="194"/>
      <c r="K182" s="61"/>
      <c r="L182" s="61"/>
      <c r="M182" s="81"/>
      <c r="N182" s="81"/>
      <c r="O182" s="61"/>
      <c r="P182" s="269" t="b">
        <v>0</v>
      </c>
      <c r="Q182" s="258"/>
      <c r="R182" s="194"/>
      <c r="S182" s="61"/>
      <c r="T182" s="61"/>
      <c r="U182" s="81"/>
      <c r="V182" s="81"/>
      <c r="W182" s="61"/>
      <c r="X182" s="269" t="b">
        <v>0</v>
      </c>
      <c r="Y182" s="258"/>
      <c r="Z182" s="194"/>
      <c r="AA182" s="61"/>
      <c r="AB182" s="61"/>
      <c r="AC182" s="81"/>
      <c r="AD182" s="81"/>
      <c r="AE182" s="61"/>
      <c r="AF182" s="269" t="b">
        <v>0</v>
      </c>
      <c r="AH182" s="349"/>
      <c r="AI182" s="290"/>
      <c r="AJ182" s="277"/>
      <c r="AK182" s="350"/>
      <c r="AL182" s="350"/>
      <c r="AM182" s="290"/>
      <c r="AN182" s="281" t="b">
        <v>0</v>
      </c>
      <c r="AO182" s="258"/>
      <c r="AP182" s="346"/>
      <c r="AQ182" s="300"/>
      <c r="AR182" s="300"/>
      <c r="AS182" s="345"/>
      <c r="AT182" s="345"/>
      <c r="AU182" s="300"/>
      <c r="AV182" s="286" t="b">
        <v>0</v>
      </c>
      <c r="AW182" s="258"/>
      <c r="AX182" s="349"/>
      <c r="AY182" s="290"/>
      <c r="AZ182" s="277"/>
      <c r="BA182" s="350"/>
      <c r="BB182" s="350"/>
      <c r="BC182" s="290"/>
      <c r="BD182" s="281" t="b">
        <v>0</v>
      </c>
      <c r="BE182" s="258"/>
      <c r="BF182" s="346"/>
      <c r="BG182" s="300"/>
      <c r="BH182" s="300"/>
      <c r="BI182" s="345"/>
      <c r="BJ182" s="345"/>
      <c r="BK182" s="300"/>
      <c r="BL182" s="286" t="b">
        <v>0</v>
      </c>
    </row>
    <row r="183" ht="22.5" customHeight="1">
      <c r="A183" s="263"/>
      <c r="B183" s="194"/>
      <c r="C183" s="61"/>
      <c r="D183" s="61"/>
      <c r="E183" s="81"/>
      <c r="F183" s="81"/>
      <c r="G183" s="61"/>
      <c r="H183" s="269" t="b">
        <v>0</v>
      </c>
      <c r="I183" s="258"/>
      <c r="J183" s="194"/>
      <c r="K183" s="61"/>
      <c r="L183" s="61"/>
      <c r="M183" s="81"/>
      <c r="N183" s="81"/>
      <c r="O183" s="61"/>
      <c r="P183" s="269" t="b">
        <v>0</v>
      </c>
      <c r="Q183" s="258"/>
      <c r="R183" s="194"/>
      <c r="S183" s="61"/>
      <c r="T183" s="61"/>
      <c r="U183" s="81"/>
      <c r="V183" s="81"/>
      <c r="W183" s="61"/>
      <c r="X183" s="269" t="b">
        <v>0</v>
      </c>
      <c r="Y183" s="258"/>
      <c r="Z183" s="194"/>
      <c r="AA183" s="61"/>
      <c r="AB183" s="61"/>
      <c r="AC183" s="81"/>
      <c r="AD183" s="81"/>
      <c r="AE183" s="61"/>
      <c r="AF183" s="269" t="b">
        <v>0</v>
      </c>
      <c r="AH183" s="349"/>
      <c r="AI183" s="290"/>
      <c r="AJ183" s="277"/>
      <c r="AK183" s="350"/>
      <c r="AL183" s="350"/>
      <c r="AM183" s="290"/>
      <c r="AN183" s="281" t="b">
        <v>0</v>
      </c>
      <c r="AO183" s="258"/>
      <c r="AP183" s="346"/>
      <c r="AQ183" s="300"/>
      <c r="AR183" s="300"/>
      <c r="AS183" s="345"/>
      <c r="AT183" s="345"/>
      <c r="AU183" s="300"/>
      <c r="AV183" s="286" t="b">
        <v>0</v>
      </c>
      <c r="AW183" s="258"/>
      <c r="AX183" s="349"/>
      <c r="AY183" s="290"/>
      <c r="AZ183" s="277"/>
      <c r="BA183" s="350"/>
      <c r="BB183" s="350"/>
      <c r="BC183" s="290"/>
      <c r="BD183" s="281" t="b">
        <v>0</v>
      </c>
      <c r="BE183" s="258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263"/>
      <c r="B184" s="194"/>
      <c r="C184" s="61"/>
      <c r="D184" s="61"/>
      <c r="E184" s="81"/>
      <c r="F184" s="81"/>
      <c r="G184" s="61"/>
      <c r="H184" s="269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 t="b">
        <v>0</v>
      </c>
      <c r="AO184" s="258"/>
      <c r="AP184" s="346"/>
      <c r="AQ184" s="300"/>
      <c r="AR184" s="300"/>
      <c r="AS184" s="345"/>
      <c r="AT184" s="345"/>
      <c r="AU184" s="300"/>
      <c r="AV184" s="286" t="b">
        <v>0</v>
      </c>
      <c r="AW184" s="258"/>
      <c r="AX184" s="349"/>
      <c r="AY184" s="290"/>
      <c r="AZ184" s="277"/>
      <c r="BA184" s="350"/>
      <c r="BB184" s="350"/>
      <c r="BC184" s="290"/>
      <c r="BD184" s="281" t="b">
        <v>0</v>
      </c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263"/>
      <c r="B185" s="194"/>
      <c r="C185" s="61"/>
      <c r="D185" s="61"/>
      <c r="E185" s="81"/>
      <c r="F185" s="81"/>
      <c r="G185" s="61"/>
      <c r="H185" s="269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 t="b">
        <v>0</v>
      </c>
      <c r="AO185" s="258"/>
      <c r="AP185" s="346"/>
      <c r="AQ185" s="300"/>
      <c r="AR185" s="300"/>
      <c r="AS185" s="345"/>
      <c r="AT185" s="345"/>
      <c r="AU185" s="300"/>
      <c r="AV185" s="286" t="b">
        <v>0</v>
      </c>
      <c r="AW185" s="258"/>
      <c r="AX185" s="349"/>
      <c r="AY185" s="290"/>
      <c r="AZ185" s="277"/>
      <c r="BA185" s="350"/>
      <c r="BB185" s="350"/>
      <c r="BC185" s="290"/>
      <c r="BD185" s="281" t="b">
        <v>0</v>
      </c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263"/>
      <c r="B186" s="194"/>
      <c r="C186" s="61"/>
      <c r="D186" s="61"/>
      <c r="E186" s="81"/>
      <c r="F186" s="81"/>
      <c r="G186" s="61"/>
      <c r="H186" s="269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 t="b">
        <v>0</v>
      </c>
      <c r="AO186" s="258"/>
      <c r="AP186" s="346"/>
      <c r="AQ186" s="300"/>
      <c r="AR186" s="300"/>
      <c r="AS186" s="345"/>
      <c r="AT186" s="345"/>
      <c r="AU186" s="300"/>
      <c r="AV186" s="286" t="b">
        <v>0</v>
      </c>
      <c r="AW186" s="258"/>
      <c r="AX186" s="349"/>
      <c r="AY186" s="290"/>
      <c r="AZ186" s="277"/>
      <c r="BA186" s="350"/>
      <c r="BB186" s="350"/>
      <c r="BC186" s="290"/>
      <c r="BD186" s="281" t="b">
        <v>0</v>
      </c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263"/>
      <c r="B187" s="194"/>
      <c r="C187" s="61"/>
      <c r="D187" s="61"/>
      <c r="E187" s="81"/>
      <c r="F187" s="81"/>
      <c r="G187" s="61"/>
      <c r="H187" s="269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 t="b">
        <v>0</v>
      </c>
      <c r="AO187" s="258"/>
      <c r="AP187" s="346"/>
      <c r="AQ187" s="300"/>
      <c r="AR187" s="300"/>
      <c r="AS187" s="345"/>
      <c r="AT187" s="345"/>
      <c r="AU187" s="300"/>
      <c r="AV187" s="286" t="b">
        <v>0</v>
      </c>
      <c r="AW187" s="258"/>
      <c r="AX187" s="349"/>
      <c r="AY187" s="290"/>
      <c r="AZ187" s="277"/>
      <c r="BA187" s="350"/>
      <c r="BB187" s="350"/>
      <c r="BC187" s="290"/>
      <c r="BD187" s="281" t="b">
        <v>0</v>
      </c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263"/>
      <c r="B188" s="194"/>
      <c r="C188" s="61"/>
      <c r="D188" s="61"/>
      <c r="E188" s="81"/>
      <c r="F188" s="81"/>
      <c r="G188" s="61"/>
      <c r="H188" s="269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 t="b">
        <v>0</v>
      </c>
      <c r="AO188" s="258"/>
      <c r="AP188" s="346"/>
      <c r="AQ188" s="300"/>
      <c r="AR188" s="300"/>
      <c r="AS188" s="345"/>
      <c r="AT188" s="345"/>
      <c r="AU188" s="300"/>
      <c r="AV188" s="286" t="b">
        <v>0</v>
      </c>
      <c r="AW188" s="258"/>
      <c r="AX188" s="349"/>
      <c r="AY188" s="290"/>
      <c r="AZ188" s="277"/>
      <c r="BA188" s="350"/>
      <c r="BB188" s="350"/>
      <c r="BC188" s="290"/>
      <c r="BD188" s="281" t="b">
        <v>0</v>
      </c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263"/>
      <c r="B189" s="194"/>
      <c r="C189" s="61"/>
      <c r="D189" s="61"/>
      <c r="E189" s="81"/>
      <c r="F189" s="81"/>
      <c r="G189" s="61"/>
      <c r="H189" s="269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 t="b">
        <v>0</v>
      </c>
      <c r="AO189" s="258"/>
      <c r="AP189" s="346"/>
      <c r="AQ189" s="300"/>
      <c r="AR189" s="300"/>
      <c r="AS189" s="345"/>
      <c r="AT189" s="345"/>
      <c r="AU189" s="300"/>
      <c r="AV189" s="286" t="b">
        <v>0</v>
      </c>
      <c r="AW189" s="258"/>
      <c r="AX189" s="349"/>
      <c r="AY189" s="290"/>
      <c r="AZ189" s="277"/>
      <c r="BA189" s="350"/>
      <c r="BB189" s="350"/>
      <c r="BC189" s="290"/>
      <c r="BD189" s="281" t="b">
        <v>0</v>
      </c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263"/>
      <c r="B190" s="194"/>
      <c r="C190" s="61"/>
      <c r="D190" s="61"/>
      <c r="E190" s="81"/>
      <c r="F190" s="81"/>
      <c r="G190" s="61"/>
      <c r="H190" s="269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 t="b">
        <v>0</v>
      </c>
      <c r="AO190" s="258"/>
      <c r="AP190" s="346"/>
      <c r="AQ190" s="300"/>
      <c r="AR190" s="300"/>
      <c r="AS190" s="345"/>
      <c r="AT190" s="345"/>
      <c r="AU190" s="300"/>
      <c r="AV190" s="286" t="b">
        <v>0</v>
      </c>
      <c r="AW190" s="258"/>
      <c r="AX190" s="349"/>
      <c r="AY190" s="290"/>
      <c r="AZ190" s="277"/>
      <c r="BA190" s="350"/>
      <c r="BB190" s="350"/>
      <c r="BC190" s="290"/>
      <c r="BD190" s="281" t="b">
        <v>0</v>
      </c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263"/>
      <c r="B191" s="194"/>
      <c r="C191" s="61"/>
      <c r="D191" s="61"/>
      <c r="E191" s="81"/>
      <c r="F191" s="81"/>
      <c r="G191" s="61"/>
      <c r="H191" s="269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 t="b">
        <v>0</v>
      </c>
      <c r="AO191" s="258"/>
      <c r="AP191" s="346"/>
      <c r="AQ191" s="300"/>
      <c r="AR191" s="300"/>
      <c r="AS191" s="345"/>
      <c r="AT191" s="345"/>
      <c r="AU191" s="300"/>
      <c r="AV191" s="286" t="b">
        <v>0</v>
      </c>
      <c r="AW191" s="258"/>
      <c r="AX191" s="349"/>
      <c r="AY191" s="290"/>
      <c r="AZ191" s="277"/>
      <c r="BA191" s="350"/>
      <c r="BB191" s="350"/>
      <c r="BC191" s="290"/>
      <c r="BD191" s="281" t="b">
        <v>0</v>
      </c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263"/>
      <c r="B192" s="194"/>
      <c r="C192" s="61"/>
      <c r="D192" s="61"/>
      <c r="E192" s="81"/>
      <c r="F192" s="81"/>
      <c r="G192" s="61"/>
      <c r="H192" s="269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 t="b">
        <v>0</v>
      </c>
      <c r="AO192" s="258"/>
      <c r="AP192" s="346"/>
      <c r="AQ192" s="300"/>
      <c r="AR192" s="300"/>
      <c r="AS192" s="345"/>
      <c r="AT192" s="345"/>
      <c r="AU192" s="300"/>
      <c r="AV192" s="286" t="b">
        <v>0</v>
      </c>
      <c r="AW192" s="258"/>
      <c r="AX192" s="349"/>
      <c r="AY192" s="290"/>
      <c r="AZ192" s="277"/>
      <c r="BA192" s="350"/>
      <c r="BB192" s="350"/>
      <c r="BC192" s="290"/>
      <c r="BD192" s="281" t="b">
        <v>0</v>
      </c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263"/>
      <c r="B193" s="194"/>
      <c r="C193" s="61"/>
      <c r="D193" s="61"/>
      <c r="E193" s="81"/>
      <c r="F193" s="81"/>
      <c r="G193" s="61"/>
      <c r="H193" s="269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 t="b">
        <v>0</v>
      </c>
      <c r="AO193" s="258"/>
      <c r="AP193" s="346"/>
      <c r="AQ193" s="300"/>
      <c r="AR193" s="300"/>
      <c r="AS193" s="345"/>
      <c r="AT193" s="345"/>
      <c r="AU193" s="300"/>
      <c r="AV193" s="286" t="b">
        <v>0</v>
      </c>
      <c r="AW193" s="258"/>
      <c r="AX193" s="349"/>
      <c r="AY193" s="290"/>
      <c r="AZ193" s="277"/>
      <c r="BA193" s="350"/>
      <c r="BB193" s="350"/>
      <c r="BC193" s="290"/>
      <c r="BD193" s="281" t="b">
        <v>0</v>
      </c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263"/>
      <c r="B194" s="194"/>
      <c r="C194" s="61"/>
      <c r="D194" s="61"/>
      <c r="E194" s="81"/>
      <c r="F194" s="81"/>
      <c r="G194" s="61"/>
      <c r="H194" s="269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 t="b">
        <v>0</v>
      </c>
      <c r="AO194" s="258"/>
      <c r="AP194" s="346"/>
      <c r="AQ194" s="300"/>
      <c r="AR194" s="300"/>
      <c r="AS194" s="345"/>
      <c r="AT194" s="345"/>
      <c r="AU194" s="300"/>
      <c r="AV194" s="286" t="b">
        <v>0</v>
      </c>
      <c r="AW194" s="258"/>
      <c r="AX194" s="349"/>
      <c r="AY194" s="290"/>
      <c r="AZ194" s="277"/>
      <c r="BA194" s="350"/>
      <c r="BB194" s="350"/>
      <c r="BC194" s="290"/>
      <c r="BD194" s="281" t="b">
        <v>0</v>
      </c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263"/>
      <c r="B195" s="194"/>
      <c r="C195" s="61"/>
      <c r="D195" s="61"/>
      <c r="E195" s="81"/>
      <c r="F195" s="81"/>
      <c r="G195" s="61"/>
      <c r="H195" s="269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 t="b">
        <v>0</v>
      </c>
      <c r="AO195" s="258"/>
      <c r="AP195" s="346"/>
      <c r="AQ195" s="300"/>
      <c r="AR195" s="300"/>
      <c r="AS195" s="345"/>
      <c r="AT195" s="345"/>
      <c r="AU195" s="300"/>
      <c r="AV195" s="286" t="b">
        <v>0</v>
      </c>
      <c r="AW195" s="258"/>
      <c r="AX195" s="349"/>
      <c r="AY195" s="290"/>
      <c r="AZ195" s="277"/>
      <c r="BA195" s="350"/>
      <c r="BB195" s="350"/>
      <c r="BC195" s="290"/>
      <c r="BD195" s="281" t="b">
        <v>0</v>
      </c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263"/>
      <c r="B196" s="194"/>
      <c r="C196" s="61"/>
      <c r="D196" s="61"/>
      <c r="E196" s="81"/>
      <c r="F196" s="81"/>
      <c r="G196" s="61"/>
      <c r="H196" s="269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 t="b">
        <v>0</v>
      </c>
      <c r="AO196" s="258"/>
      <c r="AP196" s="346"/>
      <c r="AQ196" s="300"/>
      <c r="AR196" s="300"/>
      <c r="AS196" s="345"/>
      <c r="AT196" s="345"/>
      <c r="AU196" s="300"/>
      <c r="AV196" s="286" t="b">
        <v>0</v>
      </c>
      <c r="AW196" s="258"/>
      <c r="AX196" s="349"/>
      <c r="AY196" s="290"/>
      <c r="AZ196" s="277"/>
      <c r="BA196" s="350"/>
      <c r="BB196" s="350"/>
      <c r="BC196" s="290"/>
      <c r="BD196" s="281" t="b">
        <v>0</v>
      </c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263"/>
      <c r="B197" s="194"/>
      <c r="C197" s="61"/>
      <c r="D197" s="61"/>
      <c r="E197" s="81"/>
      <c r="F197" s="81"/>
      <c r="G197" s="61"/>
      <c r="H197" s="269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 t="b">
        <v>0</v>
      </c>
      <c r="AO197" s="258"/>
      <c r="AP197" s="346"/>
      <c r="AQ197" s="300"/>
      <c r="AR197" s="300"/>
      <c r="AS197" s="345"/>
      <c r="AT197" s="345"/>
      <c r="AU197" s="300"/>
      <c r="AV197" s="286" t="b">
        <v>0</v>
      </c>
      <c r="AW197" s="258"/>
      <c r="AX197" s="349"/>
      <c r="AY197" s="290"/>
      <c r="AZ197" s="277"/>
      <c r="BA197" s="350"/>
      <c r="BB197" s="350"/>
      <c r="BC197" s="290"/>
      <c r="BD197" s="281" t="b">
        <v>0</v>
      </c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263"/>
      <c r="B198" s="194"/>
      <c r="C198" s="61"/>
      <c r="D198" s="61"/>
      <c r="E198" s="81"/>
      <c r="F198" s="81"/>
      <c r="G198" s="61"/>
      <c r="H198" s="269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 t="b">
        <v>0</v>
      </c>
      <c r="AO198" s="258"/>
      <c r="AP198" s="346"/>
      <c r="AQ198" s="300"/>
      <c r="AR198" s="300"/>
      <c r="AS198" s="345"/>
      <c r="AT198" s="345"/>
      <c r="AU198" s="300"/>
      <c r="AV198" s="286" t="b">
        <v>0</v>
      </c>
      <c r="AW198" s="258"/>
      <c r="AX198" s="349"/>
      <c r="AY198" s="290"/>
      <c r="AZ198" s="277"/>
      <c r="BA198" s="350"/>
      <c r="BB198" s="350"/>
      <c r="BC198" s="290"/>
      <c r="BD198" s="281" t="b">
        <v>0</v>
      </c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263"/>
      <c r="B199" s="194"/>
      <c r="C199" s="61"/>
      <c r="D199" s="61"/>
      <c r="E199" s="81"/>
      <c r="F199" s="81"/>
      <c r="G199" s="61"/>
      <c r="H199" s="269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 t="b">
        <v>0</v>
      </c>
      <c r="AO199" s="258"/>
      <c r="AP199" s="346"/>
      <c r="AQ199" s="300"/>
      <c r="AR199" s="300"/>
      <c r="AS199" s="345"/>
      <c r="AT199" s="345"/>
      <c r="AU199" s="300"/>
      <c r="AV199" s="286" t="b">
        <v>0</v>
      </c>
      <c r="AW199" s="258"/>
      <c r="AX199" s="349"/>
      <c r="AY199" s="290"/>
      <c r="AZ199" s="277"/>
      <c r="BA199" s="350"/>
      <c r="BB199" s="350"/>
      <c r="BC199" s="290"/>
      <c r="BD199" s="281" t="b">
        <v>0</v>
      </c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263"/>
      <c r="B200" s="194"/>
      <c r="C200" s="61"/>
      <c r="D200" s="61"/>
      <c r="E200" s="81"/>
      <c r="F200" s="81"/>
      <c r="G200" s="61"/>
      <c r="H200" s="269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 t="b">
        <v>0</v>
      </c>
      <c r="AO200" s="258"/>
      <c r="AP200" s="346"/>
      <c r="AQ200" s="300"/>
      <c r="AR200" s="300"/>
      <c r="AS200" s="345"/>
      <c r="AT200" s="345"/>
      <c r="AU200" s="300"/>
      <c r="AV200" s="286" t="b">
        <v>0</v>
      </c>
      <c r="AW200" s="258"/>
      <c r="AX200" s="349"/>
      <c r="AY200" s="290"/>
      <c r="AZ200" s="277"/>
      <c r="BA200" s="350"/>
      <c r="BB200" s="350"/>
      <c r="BC200" s="290"/>
      <c r="BD200" s="281" t="b">
        <v>0</v>
      </c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263"/>
      <c r="B201" s="194"/>
      <c r="C201" s="61"/>
      <c r="D201" s="61"/>
      <c r="E201" s="81"/>
      <c r="F201" s="81"/>
      <c r="G201" s="61"/>
      <c r="H201" s="269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 t="b">
        <v>0</v>
      </c>
      <c r="AO201" s="258"/>
      <c r="AP201" s="346"/>
      <c r="AQ201" s="300"/>
      <c r="AR201" s="300"/>
      <c r="AS201" s="345"/>
      <c r="AT201" s="345"/>
      <c r="AU201" s="300"/>
      <c r="AV201" s="286" t="b">
        <v>0</v>
      </c>
      <c r="AW201" s="258"/>
      <c r="AX201" s="349"/>
      <c r="AY201" s="290"/>
      <c r="AZ201" s="277"/>
      <c r="BA201" s="350"/>
      <c r="BB201" s="350"/>
      <c r="BC201" s="290"/>
      <c r="BD201" s="281" t="b">
        <v>0</v>
      </c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263"/>
      <c r="B202" s="194"/>
      <c r="C202" s="61"/>
      <c r="D202" s="61"/>
      <c r="E202" s="81"/>
      <c r="F202" s="81"/>
      <c r="G202" s="61"/>
      <c r="H202" s="269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 t="b">
        <v>0</v>
      </c>
      <c r="AO202" s="258"/>
      <c r="AP202" s="346"/>
      <c r="AQ202" s="300"/>
      <c r="AR202" s="300"/>
      <c r="AS202" s="345"/>
      <c r="AT202" s="345"/>
      <c r="AU202" s="300"/>
      <c r="AV202" s="286" t="b">
        <v>0</v>
      </c>
      <c r="AW202" s="258"/>
      <c r="AX202" s="349"/>
      <c r="AY202" s="290"/>
      <c r="AZ202" s="277"/>
      <c r="BA202" s="350"/>
      <c r="BB202" s="350"/>
      <c r="BC202" s="290"/>
      <c r="BD202" s="281" t="b">
        <v>0</v>
      </c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263"/>
      <c r="B203" s="194"/>
      <c r="C203" s="61"/>
      <c r="D203" s="61"/>
      <c r="E203" s="81"/>
      <c r="F203" s="81"/>
      <c r="G203" s="61"/>
      <c r="H203" s="269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 t="b">
        <v>0</v>
      </c>
      <c r="AO203" s="258"/>
      <c r="AP203" s="346"/>
      <c r="AQ203" s="300"/>
      <c r="AR203" s="300"/>
      <c r="AS203" s="345"/>
      <c r="AT203" s="345"/>
      <c r="AU203" s="300"/>
      <c r="AV203" s="286" t="b">
        <v>0</v>
      </c>
      <c r="AW203" s="258"/>
      <c r="AX203" s="349"/>
      <c r="AY203" s="290"/>
      <c r="AZ203" s="277"/>
      <c r="BA203" s="350"/>
      <c r="BB203" s="350"/>
      <c r="BC203" s="290"/>
      <c r="BD203" s="281" t="b">
        <v>0</v>
      </c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263"/>
      <c r="B204" s="194"/>
      <c r="C204" s="61"/>
      <c r="D204" s="61"/>
      <c r="E204" s="81"/>
      <c r="F204" s="81"/>
      <c r="G204" s="61"/>
      <c r="H204" s="269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 t="b">
        <v>0</v>
      </c>
      <c r="AO204" s="258"/>
      <c r="AP204" s="346"/>
      <c r="AQ204" s="300"/>
      <c r="AR204" s="300"/>
      <c r="AS204" s="345"/>
      <c r="AT204" s="345"/>
      <c r="AU204" s="300"/>
      <c r="AV204" s="286" t="b">
        <v>0</v>
      </c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263"/>
      <c r="B205" s="194"/>
      <c r="C205" s="61"/>
      <c r="D205" s="61"/>
      <c r="E205" s="81"/>
      <c r="F205" s="81"/>
      <c r="G205" s="61"/>
      <c r="H205" s="269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 t="b">
        <v>0</v>
      </c>
      <c r="AO205" s="258"/>
      <c r="AP205" s="346"/>
      <c r="AQ205" s="300"/>
      <c r="AR205" s="300"/>
      <c r="AS205" s="345"/>
      <c r="AT205" s="345"/>
      <c r="AU205" s="300"/>
      <c r="AV205" s="286" t="b">
        <v>0</v>
      </c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263"/>
      <c r="B206" s="194"/>
      <c r="C206" s="61"/>
      <c r="D206" s="61"/>
      <c r="E206" s="81"/>
      <c r="F206" s="81"/>
      <c r="G206" s="61"/>
      <c r="H206" s="269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 t="b">
        <v>0</v>
      </c>
      <c r="AO206" s="258"/>
      <c r="AP206" s="346"/>
      <c r="AQ206" s="300"/>
      <c r="AR206" s="300"/>
      <c r="AS206" s="345"/>
      <c r="AT206" s="345"/>
      <c r="AU206" s="300"/>
      <c r="AV206" s="286" t="b">
        <v>0</v>
      </c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263"/>
      <c r="B207" s="194"/>
      <c r="C207" s="61"/>
      <c r="D207" s="61"/>
      <c r="E207" s="81"/>
      <c r="F207" s="81"/>
      <c r="G207" s="61"/>
      <c r="H207" s="269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 t="b">
        <v>0</v>
      </c>
      <c r="AO207" s="258"/>
      <c r="AP207" s="346"/>
      <c r="AQ207" s="300"/>
      <c r="AR207" s="300"/>
      <c r="AS207" s="345"/>
      <c r="AT207" s="345"/>
      <c r="AU207" s="300"/>
      <c r="AV207" s="286" t="b">
        <v>0</v>
      </c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263"/>
      <c r="B208" s="194"/>
      <c r="C208" s="61"/>
      <c r="D208" s="61"/>
      <c r="E208" s="81"/>
      <c r="F208" s="81"/>
      <c r="G208" s="61"/>
      <c r="H208" s="269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 t="b">
        <v>0</v>
      </c>
      <c r="AO208" s="258"/>
      <c r="AP208" s="346"/>
      <c r="AQ208" s="300"/>
      <c r="AR208" s="300"/>
      <c r="AS208" s="345"/>
      <c r="AT208" s="345"/>
      <c r="AU208" s="300"/>
      <c r="AV208" s="286" t="b">
        <v>0</v>
      </c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263"/>
      <c r="B209" s="194"/>
      <c r="C209" s="61"/>
      <c r="D209" s="61"/>
      <c r="E209" s="81"/>
      <c r="F209" s="81"/>
      <c r="G209" s="61"/>
      <c r="H209" s="269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 t="b">
        <v>0</v>
      </c>
      <c r="AO209" s="258"/>
      <c r="AP209" s="346"/>
      <c r="AQ209" s="300"/>
      <c r="AR209" s="300"/>
      <c r="AS209" s="345"/>
      <c r="AT209" s="345"/>
      <c r="AU209" s="300"/>
      <c r="AV209" s="286" t="b">
        <v>0</v>
      </c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263"/>
      <c r="B210" s="194"/>
      <c r="C210" s="61"/>
      <c r="D210" s="61"/>
      <c r="E210" s="81"/>
      <c r="F210" s="81"/>
      <c r="G210" s="61"/>
      <c r="H210" s="269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 t="b">
        <v>0</v>
      </c>
      <c r="AO210" s="258"/>
      <c r="AP210" s="346"/>
      <c r="AQ210" s="300"/>
      <c r="AR210" s="300"/>
      <c r="AS210" s="345"/>
      <c r="AT210" s="345"/>
      <c r="AU210" s="300"/>
      <c r="AV210" s="286" t="b">
        <v>0</v>
      </c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263"/>
      <c r="B211" s="194"/>
      <c r="C211" s="61"/>
      <c r="D211" s="61"/>
      <c r="E211" s="81"/>
      <c r="F211" s="81"/>
      <c r="G211" s="61"/>
      <c r="H211" s="269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 t="b">
        <v>0</v>
      </c>
      <c r="AO211" s="258"/>
      <c r="AP211" s="346"/>
      <c r="AQ211" s="300"/>
      <c r="AR211" s="300"/>
      <c r="AS211" s="345"/>
      <c r="AT211" s="345"/>
      <c r="AU211" s="300"/>
      <c r="AV211" s="286" t="b">
        <v>0</v>
      </c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263"/>
      <c r="B212" s="194"/>
      <c r="C212" s="61"/>
      <c r="D212" s="61"/>
      <c r="E212" s="81"/>
      <c r="F212" s="81"/>
      <c r="G212" s="61"/>
      <c r="H212" s="269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 t="b">
        <v>0</v>
      </c>
      <c r="AO212" s="258"/>
      <c r="AP212" s="346"/>
      <c r="AQ212" s="300"/>
      <c r="AR212" s="300"/>
      <c r="AS212" s="345"/>
      <c r="AT212" s="345"/>
      <c r="AU212" s="300"/>
      <c r="AV212" s="286" t="b">
        <v>0</v>
      </c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263"/>
      <c r="B213" s="194"/>
      <c r="C213" s="61"/>
      <c r="D213" s="61"/>
      <c r="E213" s="81"/>
      <c r="F213" s="81"/>
      <c r="G213" s="61"/>
      <c r="H213" s="269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 t="b">
        <v>0</v>
      </c>
      <c r="AO213" s="258"/>
      <c r="AP213" s="346"/>
      <c r="AQ213" s="300"/>
      <c r="AR213" s="300"/>
      <c r="AS213" s="345"/>
      <c r="AT213" s="345"/>
      <c r="AU213" s="300"/>
      <c r="AV213" s="286" t="b">
        <v>0</v>
      </c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263"/>
      <c r="B214" s="194"/>
      <c r="C214" s="61"/>
      <c r="D214" s="61"/>
      <c r="E214" s="81"/>
      <c r="F214" s="81"/>
      <c r="G214" s="61"/>
      <c r="H214" s="269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 t="b">
        <v>0</v>
      </c>
      <c r="AO214" s="258"/>
      <c r="AP214" s="346"/>
      <c r="AQ214" s="300"/>
      <c r="AR214" s="300"/>
      <c r="AS214" s="345"/>
      <c r="AT214" s="345"/>
      <c r="AU214" s="300"/>
      <c r="AV214" s="286" t="b">
        <v>0</v>
      </c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263"/>
      <c r="B215" s="194"/>
      <c r="C215" s="61"/>
      <c r="D215" s="61"/>
      <c r="E215" s="81"/>
      <c r="F215" s="81"/>
      <c r="G215" s="61"/>
      <c r="H215" s="269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 t="b">
        <v>0</v>
      </c>
      <c r="AO215" s="258"/>
      <c r="AP215" s="346"/>
      <c r="AQ215" s="300"/>
      <c r="AR215" s="300"/>
      <c r="AS215" s="345"/>
      <c r="AT215" s="345"/>
      <c r="AU215" s="300"/>
      <c r="AV215" s="286" t="b">
        <v>0</v>
      </c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263"/>
      <c r="B216" s="194"/>
      <c r="C216" s="61"/>
      <c r="D216" s="61"/>
      <c r="E216" s="81"/>
      <c r="F216" s="81"/>
      <c r="G216" s="61"/>
      <c r="H216" s="269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 t="b">
        <v>0</v>
      </c>
      <c r="AO216" s="258"/>
      <c r="AP216" s="346"/>
      <c r="AQ216" s="300"/>
      <c r="AR216" s="300"/>
      <c r="AS216" s="345"/>
      <c r="AT216" s="345"/>
      <c r="AU216" s="300"/>
      <c r="AV216" s="286" t="b">
        <v>0</v>
      </c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263"/>
      <c r="B217" s="194"/>
      <c r="C217" s="61"/>
      <c r="D217" s="61"/>
      <c r="E217" s="81"/>
      <c r="F217" s="81"/>
      <c r="G217" s="61"/>
      <c r="H217" s="269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 t="b">
        <v>0</v>
      </c>
      <c r="AO217" s="258"/>
      <c r="AP217" s="346"/>
      <c r="AQ217" s="300"/>
      <c r="AR217" s="300"/>
      <c r="AS217" s="345"/>
      <c r="AT217" s="345"/>
      <c r="AU217" s="300"/>
      <c r="AV217" s="286" t="b">
        <v>0</v>
      </c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263"/>
      <c r="B218" s="194"/>
      <c r="C218" s="61"/>
      <c r="D218" s="61"/>
      <c r="E218" s="81"/>
      <c r="F218" s="81"/>
      <c r="G218" s="61"/>
      <c r="H218" s="269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 t="b">
        <v>0</v>
      </c>
      <c r="AO218" s="258"/>
      <c r="AP218" s="346"/>
      <c r="AQ218" s="300"/>
      <c r="AR218" s="300"/>
      <c r="AS218" s="345"/>
      <c r="AT218" s="345"/>
      <c r="AU218" s="300"/>
      <c r="AV218" s="286" t="b">
        <v>0</v>
      </c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263"/>
      <c r="B219" s="194"/>
      <c r="C219" s="61"/>
      <c r="D219" s="61"/>
      <c r="E219" s="81"/>
      <c r="F219" s="81"/>
      <c r="G219" s="61"/>
      <c r="H219" s="269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 t="b">
        <v>0</v>
      </c>
      <c r="AO219" s="258"/>
      <c r="AP219" s="346"/>
      <c r="AQ219" s="300"/>
      <c r="AR219" s="300"/>
      <c r="AS219" s="345"/>
      <c r="AT219" s="345"/>
      <c r="AU219" s="300"/>
      <c r="AV219" s="286" t="b">
        <v>0</v>
      </c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263"/>
      <c r="B220" s="194"/>
      <c r="C220" s="61"/>
      <c r="D220" s="61"/>
      <c r="E220" s="81"/>
      <c r="F220" s="81"/>
      <c r="G220" s="61"/>
      <c r="H220" s="269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 t="b">
        <v>0</v>
      </c>
      <c r="AO220" s="258"/>
      <c r="AP220" s="346"/>
      <c r="AQ220" s="300"/>
      <c r="AR220" s="300"/>
      <c r="AS220" s="345"/>
      <c r="AT220" s="345"/>
      <c r="AU220" s="300"/>
      <c r="AV220" s="286" t="b">
        <v>0</v>
      </c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263"/>
      <c r="B221" s="194"/>
      <c r="C221" s="61"/>
      <c r="D221" s="61"/>
      <c r="E221" s="81"/>
      <c r="F221" s="81"/>
      <c r="G221" s="61"/>
      <c r="H221" s="269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 t="b">
        <v>0</v>
      </c>
      <c r="AO221" s="258"/>
      <c r="AP221" s="346"/>
      <c r="AQ221" s="300"/>
      <c r="AR221" s="300"/>
      <c r="AS221" s="345"/>
      <c r="AT221" s="345"/>
      <c r="AU221" s="300"/>
      <c r="AV221" s="286" t="b">
        <v>0</v>
      </c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263"/>
      <c r="B222" s="194"/>
      <c r="C222" s="61"/>
      <c r="D222" s="61"/>
      <c r="E222" s="81"/>
      <c r="F222" s="81"/>
      <c r="G222" s="61"/>
      <c r="H222" s="269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 t="b">
        <v>0</v>
      </c>
      <c r="AO222" s="258"/>
      <c r="AP222" s="346"/>
      <c r="AQ222" s="300"/>
      <c r="AR222" s="300"/>
      <c r="AS222" s="345"/>
      <c r="AT222" s="345"/>
      <c r="AU222" s="300"/>
      <c r="AV222" s="286" t="b">
        <v>0</v>
      </c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263"/>
      <c r="B223" s="194"/>
      <c r="C223" s="61"/>
      <c r="D223" s="61"/>
      <c r="E223" s="81"/>
      <c r="F223" s="81"/>
      <c r="G223" s="61"/>
      <c r="H223" s="269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 t="b">
        <v>0</v>
      </c>
      <c r="AO223" s="258"/>
      <c r="AP223" s="346"/>
      <c r="AQ223" s="300"/>
      <c r="AR223" s="300"/>
      <c r="AS223" s="345"/>
      <c r="AT223" s="345"/>
      <c r="AU223" s="300"/>
      <c r="AV223" s="286" t="b">
        <v>0</v>
      </c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263"/>
      <c r="B224" s="194"/>
      <c r="C224" s="61"/>
      <c r="D224" s="61"/>
      <c r="E224" s="81"/>
      <c r="F224" s="81"/>
      <c r="G224" s="61"/>
      <c r="H224" s="269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 t="b">
        <v>0</v>
      </c>
      <c r="AO224" s="258"/>
      <c r="AP224" s="346"/>
      <c r="AQ224" s="300"/>
      <c r="AR224" s="300"/>
      <c r="AS224" s="345"/>
      <c r="AT224" s="345"/>
      <c r="AU224" s="300"/>
      <c r="AV224" s="286" t="b">
        <v>0</v>
      </c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263"/>
      <c r="B225" s="194"/>
      <c r="C225" s="61"/>
      <c r="D225" s="61"/>
      <c r="E225" s="81"/>
      <c r="F225" s="81"/>
      <c r="G225" s="61"/>
      <c r="H225" s="269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 t="b">
        <v>0</v>
      </c>
      <c r="AO225" s="258"/>
      <c r="AP225" s="346"/>
      <c r="AQ225" s="300"/>
      <c r="AR225" s="300"/>
      <c r="AS225" s="345"/>
      <c r="AT225" s="345"/>
      <c r="AU225" s="300"/>
      <c r="AV225" s="286" t="b">
        <v>0</v>
      </c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263"/>
      <c r="B226" s="194"/>
      <c r="C226" s="61"/>
      <c r="D226" s="61"/>
      <c r="E226" s="81"/>
      <c r="F226" s="81"/>
      <c r="G226" s="61"/>
      <c r="H226" s="269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 t="b">
        <v>0</v>
      </c>
      <c r="AO226" s="258"/>
      <c r="AP226" s="346"/>
      <c r="AQ226" s="300"/>
      <c r="AR226" s="300"/>
      <c r="AS226" s="345"/>
      <c r="AT226" s="345"/>
      <c r="AU226" s="300"/>
      <c r="AV226" s="286" t="b">
        <v>0</v>
      </c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263"/>
      <c r="B227" s="194"/>
      <c r="C227" s="61"/>
      <c r="D227" s="61"/>
      <c r="E227" s="81"/>
      <c r="F227" s="81"/>
      <c r="G227" s="61"/>
      <c r="H227" s="269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 t="b">
        <v>0</v>
      </c>
      <c r="AO227" s="258"/>
      <c r="AP227" s="346"/>
      <c r="AQ227" s="300"/>
      <c r="AR227" s="300"/>
      <c r="AS227" s="345"/>
      <c r="AT227" s="345"/>
      <c r="AU227" s="300"/>
      <c r="AV227" s="286" t="b">
        <v>0</v>
      </c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263"/>
      <c r="B228" s="194"/>
      <c r="C228" s="61"/>
      <c r="D228" s="61"/>
      <c r="E228" s="81"/>
      <c r="F228" s="81"/>
      <c r="G228" s="61"/>
      <c r="H228" s="269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 t="b">
        <v>0</v>
      </c>
      <c r="AO228" s="258"/>
      <c r="AP228" s="346"/>
      <c r="AQ228" s="300"/>
      <c r="AR228" s="300"/>
      <c r="AS228" s="345"/>
      <c r="AT228" s="345"/>
      <c r="AU228" s="300"/>
      <c r="AV228" s="286" t="b">
        <v>0</v>
      </c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263"/>
      <c r="B229" s="194"/>
      <c r="C229" s="61"/>
      <c r="D229" s="61"/>
      <c r="E229" s="81"/>
      <c r="F229" s="81"/>
      <c r="G229" s="61"/>
      <c r="H229" s="269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 t="b">
        <v>0</v>
      </c>
      <c r="AO229" s="258"/>
      <c r="AP229" s="346"/>
      <c r="AQ229" s="300"/>
      <c r="AR229" s="300"/>
      <c r="AS229" s="345"/>
      <c r="AT229" s="345"/>
      <c r="AU229" s="300"/>
      <c r="AV229" s="286" t="b">
        <v>0</v>
      </c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263"/>
      <c r="B230" s="194"/>
      <c r="C230" s="61"/>
      <c r="D230" s="61"/>
      <c r="E230" s="81"/>
      <c r="F230" s="81"/>
      <c r="G230" s="61"/>
      <c r="H230" s="269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 t="b">
        <v>0</v>
      </c>
      <c r="AO230" s="258"/>
      <c r="AP230" s="346"/>
      <c r="AQ230" s="300"/>
      <c r="AR230" s="300"/>
      <c r="AS230" s="345"/>
      <c r="AT230" s="345"/>
      <c r="AU230" s="300"/>
      <c r="AV230" s="286" t="b">
        <v>0</v>
      </c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263"/>
      <c r="B231" s="194"/>
      <c r="C231" s="61"/>
      <c r="D231" s="61"/>
      <c r="E231" s="81"/>
      <c r="F231" s="81"/>
      <c r="G231" s="61"/>
      <c r="H231" s="269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 t="b">
        <v>0</v>
      </c>
      <c r="AO231" s="258"/>
      <c r="AP231" s="346"/>
      <c r="AQ231" s="300"/>
      <c r="AR231" s="300"/>
      <c r="AS231" s="345"/>
      <c r="AT231" s="345"/>
      <c r="AU231" s="300"/>
      <c r="AV231" s="286" t="b">
        <v>0</v>
      </c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263"/>
      <c r="B232" s="194"/>
      <c r="C232" s="61"/>
      <c r="D232" s="61"/>
      <c r="E232" s="81"/>
      <c r="F232" s="81"/>
      <c r="G232" s="61"/>
      <c r="H232" s="269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 t="b">
        <v>0</v>
      </c>
      <c r="AO232" s="258"/>
      <c r="AP232" s="346"/>
      <c r="AQ232" s="300"/>
      <c r="AR232" s="300"/>
      <c r="AS232" s="345"/>
      <c r="AT232" s="345"/>
      <c r="AU232" s="300"/>
      <c r="AV232" s="286" t="b">
        <v>0</v>
      </c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263"/>
      <c r="B233" s="194"/>
      <c r="C233" s="61"/>
      <c r="D233" s="61"/>
      <c r="E233" s="81"/>
      <c r="F233" s="81"/>
      <c r="G233" s="61"/>
      <c r="H233" s="269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 t="b">
        <v>0</v>
      </c>
      <c r="AO233" s="258"/>
      <c r="AP233" s="346"/>
      <c r="AQ233" s="300"/>
      <c r="AR233" s="300"/>
      <c r="AS233" s="345"/>
      <c r="AT233" s="345"/>
      <c r="AU233" s="300"/>
      <c r="AV233" s="286" t="b">
        <v>0</v>
      </c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263"/>
      <c r="B234" s="194"/>
      <c r="C234" s="61"/>
      <c r="D234" s="61"/>
      <c r="E234" s="81"/>
      <c r="F234" s="81"/>
      <c r="G234" s="61"/>
      <c r="H234" s="269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 t="b">
        <v>0</v>
      </c>
      <c r="AO234" s="258"/>
      <c r="AP234" s="346"/>
      <c r="AQ234" s="300"/>
      <c r="AR234" s="300"/>
      <c r="AS234" s="345"/>
      <c r="AT234" s="345"/>
      <c r="AU234" s="300"/>
      <c r="AV234" s="286" t="b">
        <v>0</v>
      </c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263"/>
      <c r="B235" s="194"/>
      <c r="C235" s="61"/>
      <c r="D235" s="61"/>
      <c r="E235" s="81"/>
      <c r="F235" s="81"/>
      <c r="G235" s="61"/>
      <c r="H235" s="269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 t="b">
        <v>0</v>
      </c>
      <c r="AO235" s="258"/>
      <c r="AP235" s="346"/>
      <c r="AQ235" s="300"/>
      <c r="AR235" s="300"/>
      <c r="AS235" s="345"/>
      <c r="AT235" s="345"/>
      <c r="AU235" s="300"/>
      <c r="AV235" s="286" t="b">
        <v>0</v>
      </c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263"/>
      <c r="B236" s="194"/>
      <c r="C236" s="61"/>
      <c r="D236" s="61"/>
      <c r="E236" s="81"/>
      <c r="F236" s="81"/>
      <c r="G236" s="61"/>
      <c r="H236" s="269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 t="b">
        <v>0</v>
      </c>
      <c r="AO236" s="258"/>
      <c r="AP236" s="346"/>
      <c r="AQ236" s="300"/>
      <c r="AR236" s="300"/>
      <c r="AS236" s="345"/>
      <c r="AT236" s="345"/>
      <c r="AU236" s="300"/>
      <c r="AV236" s="286" t="b">
        <v>0</v>
      </c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263"/>
      <c r="B237" s="194"/>
      <c r="C237" s="61"/>
      <c r="D237" s="61"/>
      <c r="E237" s="81"/>
      <c r="F237" s="81"/>
      <c r="G237" s="61"/>
      <c r="H237" s="269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 t="b">
        <v>0</v>
      </c>
      <c r="AO237" s="258"/>
      <c r="AP237" s="346"/>
      <c r="AQ237" s="300"/>
      <c r="AR237" s="300"/>
      <c r="AS237" s="345"/>
      <c r="AT237" s="345"/>
      <c r="AU237" s="300"/>
      <c r="AV237" s="286" t="b">
        <v>0</v>
      </c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263"/>
      <c r="B238" s="194"/>
      <c r="C238" s="61"/>
      <c r="D238" s="61"/>
      <c r="E238" s="81"/>
      <c r="F238" s="81"/>
      <c r="G238" s="61"/>
      <c r="H238" s="269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 t="b">
        <v>0</v>
      </c>
      <c r="AO238" s="258"/>
      <c r="AP238" s="346"/>
      <c r="AQ238" s="300"/>
      <c r="AR238" s="300"/>
      <c r="AS238" s="345"/>
      <c r="AT238" s="345"/>
      <c r="AU238" s="300"/>
      <c r="AV238" s="286" t="b">
        <v>0</v>
      </c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263"/>
      <c r="B239" s="194"/>
      <c r="C239" s="61"/>
      <c r="D239" s="61"/>
      <c r="E239" s="81"/>
      <c r="F239" s="81"/>
      <c r="G239" s="61"/>
      <c r="H239" s="269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 t="b">
        <v>0</v>
      </c>
      <c r="AO239" s="258"/>
      <c r="AP239" s="346"/>
      <c r="AQ239" s="300"/>
      <c r="AR239" s="300"/>
      <c r="AS239" s="345"/>
      <c r="AT239" s="345"/>
      <c r="AU239" s="300"/>
      <c r="AV239" s="286" t="b">
        <v>0</v>
      </c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263"/>
      <c r="B240" s="194"/>
      <c r="C240" s="61"/>
      <c r="D240" s="61"/>
      <c r="E240" s="81"/>
      <c r="F240" s="81"/>
      <c r="G240" s="61"/>
      <c r="H240" s="269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 t="b">
        <v>0</v>
      </c>
      <c r="AO240" s="258"/>
      <c r="AP240" s="346"/>
      <c r="AQ240" s="300"/>
      <c r="AR240" s="300"/>
      <c r="AS240" s="345"/>
      <c r="AT240" s="345"/>
      <c r="AU240" s="300"/>
      <c r="AV240" s="286" t="b">
        <v>0</v>
      </c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263"/>
      <c r="B241" s="194"/>
      <c r="C241" s="61"/>
      <c r="D241" s="61"/>
      <c r="E241" s="81"/>
      <c r="F241" s="81"/>
      <c r="G241" s="61"/>
      <c r="H241" s="269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 t="b">
        <v>0</v>
      </c>
      <c r="AO241" s="258"/>
      <c r="AP241" s="346"/>
      <c r="AQ241" s="300"/>
      <c r="AR241" s="300"/>
      <c r="AS241" s="345"/>
      <c r="AT241" s="345"/>
      <c r="AU241" s="300"/>
      <c r="AV241" s="286" t="b">
        <v>0</v>
      </c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263"/>
      <c r="B242" s="194"/>
      <c r="C242" s="61"/>
      <c r="D242" s="61"/>
      <c r="E242" s="81"/>
      <c r="F242" s="81"/>
      <c r="G242" s="61"/>
      <c r="H242" s="269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 t="b">
        <v>0</v>
      </c>
      <c r="AO242" s="258"/>
      <c r="AP242" s="346"/>
      <c r="AQ242" s="300"/>
      <c r="AR242" s="300"/>
      <c r="AS242" s="345"/>
      <c r="AT242" s="345"/>
      <c r="AU242" s="300"/>
      <c r="AV242" s="286" t="b">
        <v>0</v>
      </c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263"/>
      <c r="B243" s="194"/>
      <c r="C243" s="61"/>
      <c r="D243" s="61"/>
      <c r="E243" s="81"/>
      <c r="F243" s="81"/>
      <c r="G243" s="61"/>
      <c r="H243" s="269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 t="b">
        <v>0</v>
      </c>
      <c r="AO243" s="258"/>
      <c r="AP243" s="346"/>
      <c r="AQ243" s="300"/>
      <c r="AR243" s="300"/>
      <c r="AS243" s="345"/>
      <c r="AT243" s="345"/>
      <c r="AU243" s="300"/>
      <c r="AV243" s="286" t="b">
        <v>0</v>
      </c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263"/>
      <c r="B244" s="194"/>
      <c r="C244" s="61"/>
      <c r="D244" s="61"/>
      <c r="E244" s="81"/>
      <c r="F244" s="81"/>
      <c r="G244" s="61"/>
      <c r="H244" s="269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 t="b">
        <v>0</v>
      </c>
      <c r="AO244" s="258"/>
      <c r="AP244" s="346"/>
      <c r="AQ244" s="300"/>
      <c r="AR244" s="300"/>
      <c r="AS244" s="345"/>
      <c r="AT244" s="345"/>
      <c r="AU244" s="300"/>
      <c r="AV244" s="286" t="b">
        <v>0</v>
      </c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263"/>
      <c r="B245" s="194"/>
      <c r="C245" s="61"/>
      <c r="D245" s="61"/>
      <c r="E245" s="81"/>
      <c r="F245" s="81"/>
      <c r="G245" s="61"/>
      <c r="H245" s="269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 t="b">
        <v>0</v>
      </c>
      <c r="AO245" s="258"/>
      <c r="AP245" s="346"/>
      <c r="AQ245" s="300"/>
      <c r="AR245" s="300"/>
      <c r="AS245" s="345"/>
      <c r="AT245" s="345"/>
      <c r="AU245" s="300"/>
      <c r="AV245" s="286" t="b">
        <v>0</v>
      </c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263"/>
      <c r="B246" s="194"/>
      <c r="C246" s="61"/>
      <c r="D246" s="61"/>
      <c r="E246" s="81"/>
      <c r="F246" s="81"/>
      <c r="G246" s="61"/>
      <c r="H246" s="269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 t="b">
        <v>0</v>
      </c>
      <c r="AO246" s="258"/>
      <c r="AP246" s="346"/>
      <c r="AQ246" s="300"/>
      <c r="AR246" s="300"/>
      <c r="AS246" s="345"/>
      <c r="AT246" s="345"/>
      <c r="AU246" s="300"/>
      <c r="AV246" s="286" t="b">
        <v>0</v>
      </c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263"/>
      <c r="B247" s="194"/>
      <c r="C247" s="61"/>
      <c r="D247" s="61"/>
      <c r="E247" s="81"/>
      <c r="F247" s="81"/>
      <c r="G247" s="61"/>
      <c r="H247" s="269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 t="b">
        <v>0</v>
      </c>
      <c r="AO247" s="258"/>
      <c r="AP247" s="346"/>
      <c r="AQ247" s="300"/>
      <c r="AR247" s="300"/>
      <c r="AS247" s="345"/>
      <c r="AT247" s="345"/>
      <c r="AU247" s="300"/>
      <c r="AV247" s="286" t="b">
        <v>0</v>
      </c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263"/>
      <c r="B248" s="194"/>
      <c r="C248" s="61"/>
      <c r="D248" s="61"/>
      <c r="E248" s="81"/>
      <c r="F248" s="81"/>
      <c r="G248" s="61"/>
      <c r="H248" s="269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 t="b">
        <v>0</v>
      </c>
      <c r="AO248" s="258"/>
      <c r="AP248" s="346"/>
      <c r="AQ248" s="300"/>
      <c r="AR248" s="300"/>
      <c r="AS248" s="345"/>
      <c r="AT248" s="345"/>
      <c r="AU248" s="300"/>
      <c r="AV248" s="286" t="b">
        <v>0</v>
      </c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263"/>
      <c r="B249" s="194"/>
      <c r="C249" s="61"/>
      <c r="D249" s="61"/>
      <c r="E249" s="81"/>
      <c r="F249" s="81"/>
      <c r="G249" s="61"/>
      <c r="H249" s="269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 t="b">
        <v>0</v>
      </c>
      <c r="AO249" s="258"/>
      <c r="AP249" s="346"/>
      <c r="AQ249" s="300"/>
      <c r="AR249" s="300"/>
      <c r="AS249" s="345"/>
      <c r="AT249" s="345"/>
      <c r="AU249" s="300"/>
      <c r="AV249" s="286" t="b">
        <v>0</v>
      </c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263"/>
      <c r="B250" s="194"/>
      <c r="C250" s="61"/>
      <c r="D250" s="61"/>
      <c r="E250" s="81"/>
      <c r="F250" s="81"/>
      <c r="G250" s="61"/>
      <c r="H250" s="269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 t="b">
        <v>0</v>
      </c>
      <c r="AO250" s="258"/>
      <c r="AP250" s="346"/>
      <c r="AQ250" s="300"/>
      <c r="AR250" s="300"/>
      <c r="AS250" s="345"/>
      <c r="AT250" s="345"/>
      <c r="AU250" s="300"/>
      <c r="AV250" s="286" t="b">
        <v>0</v>
      </c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263"/>
      <c r="B251" s="194"/>
      <c r="C251" s="61"/>
      <c r="D251" s="61"/>
      <c r="E251" s="81"/>
      <c r="F251" s="81"/>
      <c r="G251" s="61"/>
      <c r="H251" s="269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 t="b">
        <v>0</v>
      </c>
      <c r="AO251" s="258"/>
      <c r="AP251" s="346"/>
      <c r="AQ251" s="300"/>
      <c r="AR251" s="300"/>
      <c r="AS251" s="345"/>
      <c r="AT251" s="345"/>
      <c r="AU251" s="300"/>
      <c r="AV251" s="286" t="b">
        <v>0</v>
      </c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263"/>
      <c r="B252" s="194"/>
      <c r="C252" s="61"/>
      <c r="D252" s="61"/>
      <c r="E252" s="81"/>
      <c r="F252" s="81"/>
      <c r="G252" s="61"/>
      <c r="H252" s="269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 t="b">
        <v>0</v>
      </c>
      <c r="AO252" s="258"/>
      <c r="AP252" s="346"/>
      <c r="AQ252" s="300"/>
      <c r="AR252" s="300"/>
      <c r="AS252" s="345"/>
      <c r="AT252" s="345"/>
      <c r="AU252" s="300"/>
      <c r="AV252" s="286" t="b">
        <v>0</v>
      </c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263"/>
      <c r="B253" s="194"/>
      <c r="C253" s="61"/>
      <c r="D253" s="61"/>
      <c r="E253" s="81"/>
      <c r="F253" s="81"/>
      <c r="G253" s="61"/>
      <c r="H253" s="269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 t="b">
        <v>0</v>
      </c>
      <c r="AO253" s="258"/>
      <c r="AP253" s="346"/>
      <c r="AQ253" s="300"/>
      <c r="AR253" s="300"/>
      <c r="AS253" s="345"/>
      <c r="AT253" s="345"/>
      <c r="AU253" s="300"/>
      <c r="AV253" s="286" t="b">
        <v>0</v>
      </c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263"/>
      <c r="B254" s="194"/>
      <c r="C254" s="61"/>
      <c r="D254" s="61"/>
      <c r="E254" s="81"/>
      <c r="F254" s="81"/>
      <c r="G254" s="61"/>
      <c r="H254" s="269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 t="b">
        <v>0</v>
      </c>
      <c r="AO254" s="258"/>
      <c r="AP254" s="346"/>
      <c r="AQ254" s="300"/>
      <c r="AR254" s="300"/>
      <c r="AS254" s="345"/>
      <c r="AT254" s="345"/>
      <c r="AU254" s="300"/>
      <c r="AV254" s="286" t="b">
        <v>0</v>
      </c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263"/>
      <c r="B255" s="194"/>
      <c r="C255" s="61"/>
      <c r="D255" s="61"/>
      <c r="E255" s="81"/>
      <c r="F255" s="81"/>
      <c r="G255" s="61"/>
      <c r="H255" s="269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 t="b">
        <v>0</v>
      </c>
      <c r="AO255" s="258"/>
      <c r="AP255" s="346"/>
      <c r="AQ255" s="300"/>
      <c r="AR255" s="300"/>
      <c r="AS255" s="345"/>
      <c r="AT255" s="345"/>
      <c r="AU255" s="300"/>
      <c r="AV255" s="286" t="b">
        <v>0</v>
      </c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263"/>
      <c r="B256" s="194"/>
      <c r="C256" s="61"/>
      <c r="D256" s="61"/>
      <c r="E256" s="81"/>
      <c r="F256" s="81"/>
      <c r="G256" s="61"/>
      <c r="H256" s="269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 t="b">
        <v>0</v>
      </c>
      <c r="AO256" s="258"/>
      <c r="AP256" s="346"/>
      <c r="AQ256" s="300"/>
      <c r="AR256" s="300"/>
      <c r="AS256" s="345"/>
      <c r="AT256" s="345"/>
      <c r="AU256" s="300"/>
      <c r="AV256" s="286" t="b">
        <v>0</v>
      </c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263"/>
      <c r="B257" s="194"/>
      <c r="C257" s="61"/>
      <c r="D257" s="61"/>
      <c r="E257" s="81"/>
      <c r="F257" s="81"/>
      <c r="G257" s="61"/>
      <c r="H257" s="269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 t="b">
        <v>0</v>
      </c>
      <c r="AO257" s="258"/>
      <c r="AP257" s="346"/>
      <c r="AQ257" s="300"/>
      <c r="AR257" s="300"/>
      <c r="AS257" s="345"/>
      <c r="AT257" s="345"/>
      <c r="AU257" s="300"/>
      <c r="AV257" s="286" t="b">
        <v>0</v>
      </c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263"/>
      <c r="B258" s="194"/>
      <c r="C258" s="61"/>
      <c r="D258" s="61"/>
      <c r="E258" s="81"/>
      <c r="F258" s="81"/>
      <c r="G258" s="61"/>
      <c r="H258" s="269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 t="b">
        <v>0</v>
      </c>
      <c r="AO258" s="258"/>
      <c r="AP258" s="346"/>
      <c r="AQ258" s="300"/>
      <c r="AR258" s="300"/>
      <c r="AS258" s="345"/>
      <c r="AT258" s="345"/>
      <c r="AU258" s="300"/>
      <c r="AV258" s="286" t="b">
        <v>0</v>
      </c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263"/>
      <c r="B259" s="194"/>
      <c r="C259" s="61"/>
      <c r="D259" s="61"/>
      <c r="E259" s="81"/>
      <c r="F259" s="81"/>
      <c r="G259" s="61"/>
      <c r="H259" s="269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 t="b">
        <v>0</v>
      </c>
      <c r="AO259" s="258"/>
      <c r="AP259" s="346"/>
      <c r="AQ259" s="300"/>
      <c r="AR259" s="300"/>
      <c r="AS259" s="345"/>
      <c r="AT259" s="345"/>
      <c r="AU259" s="300"/>
      <c r="AV259" s="286" t="b">
        <v>0</v>
      </c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263"/>
      <c r="B260" s="194"/>
      <c r="C260" s="61"/>
      <c r="D260" s="61"/>
      <c r="E260" s="81"/>
      <c r="F260" s="81"/>
      <c r="G260" s="61"/>
      <c r="H260" s="269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 t="b">
        <v>0</v>
      </c>
      <c r="AO260" s="258"/>
      <c r="AP260" s="346"/>
      <c r="AQ260" s="300"/>
      <c r="AR260" s="300"/>
      <c r="AS260" s="345"/>
      <c r="AT260" s="345"/>
      <c r="AU260" s="300"/>
      <c r="AV260" s="286" t="b">
        <v>0</v>
      </c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263"/>
      <c r="B261" s="194"/>
      <c r="C261" s="61"/>
      <c r="D261" s="61"/>
      <c r="E261" s="81"/>
      <c r="F261" s="81"/>
      <c r="G261" s="61"/>
      <c r="H261" s="269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 t="b">
        <v>0</v>
      </c>
      <c r="AO261" s="258"/>
      <c r="AP261" s="346"/>
      <c r="AQ261" s="300"/>
      <c r="AR261" s="300"/>
      <c r="AS261" s="345"/>
      <c r="AT261" s="345"/>
      <c r="AU261" s="300"/>
      <c r="AV261" s="286" t="b">
        <v>0</v>
      </c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263"/>
      <c r="B262" s="194"/>
      <c r="C262" s="61"/>
      <c r="D262" s="61"/>
      <c r="E262" s="81"/>
      <c r="F262" s="81"/>
      <c r="G262" s="61"/>
      <c r="H262" s="269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 t="b">
        <v>0</v>
      </c>
      <c r="AO262" s="258"/>
      <c r="AP262" s="346"/>
      <c r="AQ262" s="300"/>
      <c r="AR262" s="300"/>
      <c r="AS262" s="345"/>
      <c r="AT262" s="345"/>
      <c r="AU262" s="300"/>
      <c r="AV262" s="286" t="b">
        <v>0</v>
      </c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263"/>
      <c r="B263" s="194"/>
      <c r="C263" s="61"/>
      <c r="D263" s="61"/>
      <c r="E263" s="81"/>
      <c r="F263" s="81"/>
      <c r="G263" s="61"/>
      <c r="H263" s="269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 t="b">
        <v>0</v>
      </c>
      <c r="AO263" s="258"/>
      <c r="AP263" s="346"/>
      <c r="AQ263" s="300"/>
      <c r="AR263" s="300"/>
      <c r="AS263" s="345"/>
      <c r="AT263" s="345"/>
      <c r="AU263" s="300"/>
      <c r="AV263" s="286" t="b">
        <v>0</v>
      </c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263"/>
      <c r="B264" s="194"/>
      <c r="C264" s="61"/>
      <c r="D264" s="61"/>
      <c r="E264" s="81"/>
      <c r="F264" s="81"/>
      <c r="G264" s="61"/>
      <c r="H264" s="269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 t="b">
        <v>0</v>
      </c>
      <c r="AO264" s="258"/>
      <c r="AP264" s="346"/>
      <c r="AQ264" s="300"/>
      <c r="AR264" s="300"/>
      <c r="AS264" s="345"/>
      <c r="AT264" s="345"/>
      <c r="AU264" s="300"/>
      <c r="AV264" s="286" t="b">
        <v>0</v>
      </c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263"/>
      <c r="B265" s="194"/>
      <c r="C265" s="61"/>
      <c r="D265" s="61"/>
      <c r="E265" s="81"/>
      <c r="F265" s="81"/>
      <c r="G265" s="61"/>
      <c r="H265" s="269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 t="b">
        <v>0</v>
      </c>
      <c r="AO265" s="258"/>
      <c r="AP265" s="346"/>
      <c r="AQ265" s="300"/>
      <c r="AR265" s="300"/>
      <c r="AS265" s="345"/>
      <c r="AT265" s="345"/>
      <c r="AU265" s="300"/>
      <c r="AV265" s="286" t="b">
        <v>0</v>
      </c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263"/>
      <c r="B266" s="194"/>
      <c r="C266" s="61"/>
      <c r="D266" s="61"/>
      <c r="E266" s="81"/>
      <c r="F266" s="81"/>
      <c r="G266" s="61"/>
      <c r="H266" s="269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 t="b">
        <v>0</v>
      </c>
      <c r="AO266" s="258"/>
      <c r="AP266" s="346"/>
      <c r="AQ266" s="300"/>
      <c r="AR266" s="300"/>
      <c r="AS266" s="345"/>
      <c r="AT266" s="345"/>
      <c r="AU266" s="300"/>
      <c r="AV266" s="286" t="b">
        <v>0</v>
      </c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263"/>
      <c r="B267" s="194"/>
      <c r="C267" s="61"/>
      <c r="D267" s="61"/>
      <c r="E267" s="81"/>
      <c r="F267" s="81"/>
      <c r="G267" s="61"/>
      <c r="H267" s="269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 t="b">
        <v>0</v>
      </c>
      <c r="AO267" s="258"/>
      <c r="AP267" s="346"/>
      <c r="AQ267" s="300"/>
      <c r="AR267" s="300"/>
      <c r="AS267" s="345"/>
      <c r="AT267" s="345"/>
      <c r="AU267" s="300"/>
      <c r="AV267" s="286" t="b">
        <v>0</v>
      </c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263"/>
      <c r="B268" s="194"/>
      <c r="C268" s="61"/>
      <c r="D268" s="61"/>
      <c r="E268" s="81"/>
      <c r="F268" s="81"/>
      <c r="G268" s="61"/>
      <c r="H268" s="269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 t="b">
        <v>0</v>
      </c>
      <c r="AO268" s="258"/>
      <c r="AP268" s="346"/>
      <c r="AQ268" s="300"/>
      <c r="AR268" s="300"/>
      <c r="AS268" s="345"/>
      <c r="AT268" s="345"/>
      <c r="AU268" s="300"/>
      <c r="AV268" s="286" t="b">
        <v>0</v>
      </c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263"/>
      <c r="B269" s="194"/>
      <c r="C269" s="61"/>
      <c r="D269" s="61"/>
      <c r="E269" s="81"/>
      <c r="F269" s="81"/>
      <c r="G269" s="61"/>
      <c r="H269" s="269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 t="b">
        <v>0</v>
      </c>
      <c r="AO269" s="258"/>
      <c r="AP269" s="346"/>
      <c r="AQ269" s="300"/>
      <c r="AR269" s="300"/>
      <c r="AS269" s="345"/>
      <c r="AT269" s="345"/>
      <c r="AU269" s="300"/>
      <c r="AV269" s="286" t="b">
        <v>0</v>
      </c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263"/>
      <c r="B270" s="194"/>
      <c r="C270" s="61"/>
      <c r="D270" s="61"/>
      <c r="E270" s="81"/>
      <c r="F270" s="81"/>
      <c r="G270" s="61"/>
      <c r="H270" s="269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 t="b">
        <v>0</v>
      </c>
      <c r="AO270" s="258"/>
      <c r="AP270" s="346"/>
      <c r="AQ270" s="300"/>
      <c r="AR270" s="300"/>
      <c r="AS270" s="345"/>
      <c r="AT270" s="345"/>
      <c r="AU270" s="300"/>
      <c r="AV270" s="286" t="b">
        <v>0</v>
      </c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263"/>
      <c r="B271" s="194"/>
      <c r="C271" s="61"/>
      <c r="D271" s="61"/>
      <c r="E271" s="81"/>
      <c r="F271" s="81"/>
      <c r="G271" s="61"/>
      <c r="H271" s="269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 t="b">
        <v>0</v>
      </c>
      <c r="AO271" s="258"/>
      <c r="AP271" s="346"/>
      <c r="AQ271" s="300"/>
      <c r="AR271" s="300"/>
      <c r="AS271" s="345"/>
      <c r="AT271" s="345"/>
      <c r="AU271" s="300"/>
      <c r="AV271" s="286" t="b">
        <v>0</v>
      </c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263"/>
      <c r="B272" s="194"/>
      <c r="C272" s="61"/>
      <c r="D272" s="61"/>
      <c r="E272" s="81"/>
      <c r="F272" s="81"/>
      <c r="G272" s="61"/>
      <c r="H272" s="269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 t="b">
        <v>0</v>
      </c>
      <c r="AO272" s="258"/>
      <c r="AP272" s="346"/>
      <c r="AQ272" s="300"/>
      <c r="AR272" s="300"/>
      <c r="AS272" s="345"/>
      <c r="AT272" s="345"/>
      <c r="AU272" s="300"/>
      <c r="AV272" s="286" t="b">
        <v>0</v>
      </c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263"/>
      <c r="B273" s="194"/>
      <c r="C273" s="61"/>
      <c r="D273" s="61"/>
      <c r="E273" s="81"/>
      <c r="F273" s="81"/>
      <c r="G273" s="61"/>
      <c r="H273" s="269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 t="b">
        <v>0</v>
      </c>
      <c r="AO273" s="258"/>
      <c r="AP273" s="346"/>
      <c r="AQ273" s="300"/>
      <c r="AR273" s="300"/>
      <c r="AS273" s="345"/>
      <c r="AT273" s="345"/>
      <c r="AU273" s="300"/>
      <c r="AV273" s="286" t="b">
        <v>0</v>
      </c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263"/>
      <c r="B274" s="194"/>
      <c r="C274" s="61"/>
      <c r="D274" s="61"/>
      <c r="E274" s="81"/>
      <c r="F274" s="81"/>
      <c r="G274" s="61"/>
      <c r="H274" s="269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 t="b">
        <v>0</v>
      </c>
      <c r="AO274" s="258"/>
      <c r="AP274" s="346"/>
      <c r="AQ274" s="300"/>
      <c r="AR274" s="300"/>
      <c r="AS274" s="345"/>
      <c r="AT274" s="345"/>
      <c r="AU274" s="300"/>
      <c r="AV274" s="286" t="b">
        <v>0</v>
      </c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263"/>
      <c r="B275" s="194"/>
      <c r="C275" s="61"/>
      <c r="D275" s="61"/>
      <c r="E275" s="81"/>
      <c r="F275" s="81"/>
      <c r="G275" s="61"/>
      <c r="H275" s="269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 t="b">
        <v>0</v>
      </c>
      <c r="AO275" s="258"/>
      <c r="AP275" s="346"/>
      <c r="AQ275" s="300"/>
      <c r="AR275" s="300"/>
      <c r="AS275" s="345"/>
      <c r="AT275" s="345"/>
      <c r="AU275" s="300"/>
      <c r="AV275" s="286" t="b">
        <v>0</v>
      </c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263"/>
      <c r="B276" s="194"/>
      <c r="C276" s="61"/>
      <c r="D276" s="61"/>
      <c r="E276" s="81"/>
      <c r="F276" s="81"/>
      <c r="G276" s="61"/>
      <c r="H276" s="269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 t="b">
        <v>0</v>
      </c>
      <c r="AO276" s="258"/>
      <c r="AP276" s="346"/>
      <c r="AQ276" s="300"/>
      <c r="AR276" s="300"/>
      <c r="AS276" s="345"/>
      <c r="AT276" s="345"/>
      <c r="AU276" s="300"/>
      <c r="AV276" s="286" t="b">
        <v>0</v>
      </c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263"/>
      <c r="B277" s="194"/>
      <c r="C277" s="61"/>
      <c r="D277" s="61"/>
      <c r="E277" s="81"/>
      <c r="F277" s="81"/>
      <c r="G277" s="61"/>
      <c r="H277" s="269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 t="b">
        <v>0</v>
      </c>
      <c r="AO277" s="258"/>
      <c r="AP277" s="346"/>
      <c r="AQ277" s="300"/>
      <c r="AR277" s="300"/>
      <c r="AS277" s="345"/>
      <c r="AT277" s="345"/>
      <c r="AU277" s="300"/>
      <c r="AV277" s="286" t="b">
        <v>0</v>
      </c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263"/>
      <c r="B278" s="194"/>
      <c r="C278" s="61"/>
      <c r="D278" s="61"/>
      <c r="E278" s="81"/>
      <c r="F278" s="81"/>
      <c r="G278" s="61"/>
      <c r="H278" s="269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 t="b">
        <v>0</v>
      </c>
      <c r="AO278" s="258"/>
      <c r="AP278" s="346"/>
      <c r="AQ278" s="300"/>
      <c r="AR278" s="300"/>
      <c r="AS278" s="345"/>
      <c r="AT278" s="345"/>
      <c r="AU278" s="300"/>
      <c r="AV278" s="286" t="b">
        <v>0</v>
      </c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263"/>
      <c r="B279" s="194"/>
      <c r="C279" s="61"/>
      <c r="D279" s="61"/>
      <c r="E279" s="81"/>
      <c r="F279" s="81"/>
      <c r="G279" s="61"/>
      <c r="H279" s="269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 t="b">
        <v>0</v>
      </c>
      <c r="AO279" s="258"/>
      <c r="AP279" s="346"/>
      <c r="AQ279" s="300"/>
      <c r="AR279" s="300"/>
      <c r="AS279" s="345"/>
      <c r="AT279" s="345"/>
      <c r="AU279" s="300"/>
      <c r="AV279" s="286" t="b">
        <v>0</v>
      </c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263"/>
      <c r="B280" s="194"/>
      <c r="C280" s="61"/>
      <c r="D280" s="61"/>
      <c r="E280" s="81"/>
      <c r="F280" s="81"/>
      <c r="G280" s="61"/>
      <c r="H280" s="269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 t="b">
        <v>0</v>
      </c>
      <c r="AO280" s="258"/>
      <c r="AP280" s="346"/>
      <c r="AQ280" s="300"/>
      <c r="AR280" s="300"/>
      <c r="AS280" s="345"/>
      <c r="AT280" s="345"/>
      <c r="AU280" s="300"/>
      <c r="AV280" s="286" t="b">
        <v>0</v>
      </c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263"/>
      <c r="B281" s="194"/>
      <c r="C281" s="61"/>
      <c r="D281" s="61"/>
      <c r="E281" s="81"/>
      <c r="F281" s="81"/>
      <c r="G281" s="61"/>
      <c r="H281" s="269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 t="b">
        <v>0</v>
      </c>
      <c r="AO281" s="258"/>
      <c r="AP281" s="346"/>
      <c r="AQ281" s="300"/>
      <c r="AR281" s="300"/>
      <c r="AS281" s="345"/>
      <c r="AT281" s="345"/>
      <c r="AU281" s="300"/>
      <c r="AV281" s="286" t="b">
        <v>0</v>
      </c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263"/>
      <c r="B282" s="194"/>
      <c r="C282" s="61"/>
      <c r="D282" s="61"/>
      <c r="E282" s="81"/>
      <c r="F282" s="81"/>
      <c r="G282" s="61"/>
      <c r="H282" s="269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 t="b">
        <v>0</v>
      </c>
      <c r="AO282" s="258"/>
      <c r="AP282" s="346"/>
      <c r="AQ282" s="300"/>
      <c r="AR282" s="300"/>
      <c r="AS282" s="345"/>
      <c r="AT282" s="345"/>
      <c r="AU282" s="300"/>
      <c r="AV282" s="286" t="b">
        <v>0</v>
      </c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263"/>
      <c r="B283" s="194"/>
      <c r="C283" s="61"/>
      <c r="D283" s="61"/>
      <c r="E283" s="81"/>
      <c r="F283" s="81"/>
      <c r="G283" s="61"/>
      <c r="H283" s="269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 t="b">
        <v>0</v>
      </c>
      <c r="AO283" s="258"/>
      <c r="AP283" s="346"/>
      <c r="AQ283" s="300"/>
      <c r="AR283" s="300"/>
      <c r="AS283" s="345"/>
      <c r="AT283" s="345"/>
      <c r="AU283" s="300"/>
      <c r="AV283" s="286" t="b">
        <v>0</v>
      </c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263"/>
      <c r="B284" s="194"/>
      <c r="C284" s="61"/>
      <c r="D284" s="61"/>
      <c r="E284" s="81"/>
      <c r="F284" s="81"/>
      <c r="G284" s="61"/>
      <c r="H284" s="269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 t="b">
        <v>0</v>
      </c>
      <c r="AO284" s="258"/>
      <c r="AP284" s="346"/>
      <c r="AQ284" s="300"/>
      <c r="AR284" s="300"/>
      <c r="AS284" s="345"/>
      <c r="AT284" s="345"/>
      <c r="AU284" s="300"/>
      <c r="AV284" s="286" t="b">
        <v>0</v>
      </c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263"/>
      <c r="B285" s="194"/>
      <c r="C285" s="61"/>
      <c r="D285" s="61"/>
      <c r="E285" s="81"/>
      <c r="F285" s="81"/>
      <c r="G285" s="61"/>
      <c r="H285" s="269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 t="b">
        <v>0</v>
      </c>
      <c r="AO285" s="258"/>
      <c r="AP285" s="346"/>
      <c r="AQ285" s="300"/>
      <c r="AR285" s="300"/>
      <c r="AS285" s="345"/>
      <c r="AT285" s="345"/>
      <c r="AU285" s="300"/>
      <c r="AV285" s="286" t="b">
        <v>0</v>
      </c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263"/>
      <c r="B286" s="194"/>
      <c r="C286" s="61"/>
      <c r="D286" s="61"/>
      <c r="E286" s="81"/>
      <c r="F286" s="81"/>
      <c r="G286" s="61"/>
      <c r="H286" s="269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 t="b">
        <v>0</v>
      </c>
      <c r="AO286" s="258"/>
      <c r="AP286" s="346"/>
      <c r="AQ286" s="300"/>
      <c r="AR286" s="300"/>
      <c r="AS286" s="345"/>
      <c r="AT286" s="345"/>
      <c r="AU286" s="300"/>
      <c r="AV286" s="286" t="b">
        <v>0</v>
      </c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263"/>
      <c r="B287" s="194"/>
      <c r="C287" s="61"/>
      <c r="D287" s="61"/>
      <c r="E287" s="81"/>
      <c r="F287" s="81"/>
      <c r="G287" s="61"/>
      <c r="H287" s="269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 t="b">
        <v>0</v>
      </c>
      <c r="AO287" s="258"/>
      <c r="AP287" s="346"/>
      <c r="AQ287" s="300"/>
      <c r="AR287" s="300"/>
      <c r="AS287" s="345"/>
      <c r="AT287" s="345"/>
      <c r="AU287" s="300"/>
      <c r="AV287" s="286" t="b">
        <v>0</v>
      </c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263"/>
      <c r="B288" s="194"/>
      <c r="C288" s="61"/>
      <c r="D288" s="61"/>
      <c r="E288" s="81"/>
      <c r="F288" s="81"/>
      <c r="G288" s="61"/>
      <c r="H288" s="269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 t="b">
        <v>0</v>
      </c>
      <c r="AO288" s="258"/>
      <c r="AP288" s="346"/>
      <c r="AQ288" s="300"/>
      <c r="AR288" s="300"/>
      <c r="AS288" s="345"/>
      <c r="AT288" s="345"/>
      <c r="AU288" s="300"/>
      <c r="AV288" s="286" t="b">
        <v>0</v>
      </c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263"/>
      <c r="B289" s="194"/>
      <c r="C289" s="61"/>
      <c r="D289" s="61"/>
      <c r="E289" s="81"/>
      <c r="F289" s="81"/>
      <c r="G289" s="61"/>
      <c r="H289" s="269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 t="b">
        <v>0</v>
      </c>
      <c r="AO289" s="258"/>
      <c r="AP289" s="346"/>
      <c r="AQ289" s="300"/>
      <c r="AR289" s="300"/>
      <c r="AS289" s="345"/>
      <c r="AT289" s="345"/>
      <c r="AU289" s="300"/>
      <c r="AV289" s="286" t="b">
        <v>0</v>
      </c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263"/>
      <c r="B290" s="194"/>
      <c r="C290" s="61"/>
      <c r="D290" s="61"/>
      <c r="E290" s="81"/>
      <c r="F290" s="81"/>
      <c r="G290" s="61"/>
      <c r="H290" s="269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 t="b">
        <v>0</v>
      </c>
      <c r="AO290" s="258"/>
      <c r="AP290" s="346"/>
      <c r="AQ290" s="300"/>
      <c r="AR290" s="300"/>
      <c r="AS290" s="345"/>
      <c r="AT290" s="345"/>
      <c r="AU290" s="300"/>
      <c r="AV290" s="286" t="b">
        <v>0</v>
      </c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263"/>
      <c r="B291" s="194"/>
      <c r="C291" s="61"/>
      <c r="D291" s="61"/>
      <c r="E291" s="81"/>
      <c r="F291" s="81"/>
      <c r="G291" s="61"/>
      <c r="H291" s="269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 t="b">
        <v>0</v>
      </c>
      <c r="AO291" s="258"/>
      <c r="AP291" s="346"/>
      <c r="AQ291" s="300"/>
      <c r="AR291" s="300"/>
      <c r="AS291" s="345"/>
      <c r="AT291" s="345"/>
      <c r="AU291" s="300"/>
      <c r="AV291" s="286" t="b">
        <v>0</v>
      </c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263"/>
      <c r="B292" s="194"/>
      <c r="C292" s="61"/>
      <c r="D292" s="61"/>
      <c r="E292" s="81"/>
      <c r="F292" s="81"/>
      <c r="G292" s="61"/>
      <c r="H292" s="269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 t="b">
        <v>0</v>
      </c>
      <c r="AO292" s="258"/>
      <c r="AP292" s="346"/>
      <c r="AQ292" s="300"/>
      <c r="AR292" s="300"/>
      <c r="AS292" s="345"/>
      <c r="AT292" s="345"/>
      <c r="AU292" s="300"/>
      <c r="AV292" s="286" t="b">
        <v>0</v>
      </c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263"/>
      <c r="B293" s="194"/>
      <c r="C293" s="61"/>
      <c r="D293" s="61"/>
      <c r="E293" s="81"/>
      <c r="F293" s="81"/>
      <c r="G293" s="61"/>
      <c r="H293" s="269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 t="b">
        <v>0</v>
      </c>
      <c r="AO293" s="258"/>
      <c r="AP293" s="346"/>
      <c r="AQ293" s="300"/>
      <c r="AR293" s="300"/>
      <c r="AS293" s="345"/>
      <c r="AT293" s="345"/>
      <c r="AU293" s="300"/>
      <c r="AV293" s="286" t="b">
        <v>0</v>
      </c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263"/>
      <c r="B294" s="194"/>
      <c r="C294" s="61"/>
      <c r="D294" s="61"/>
      <c r="E294" s="81"/>
      <c r="F294" s="81"/>
      <c r="G294" s="61"/>
      <c r="H294" s="269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 t="b">
        <v>0</v>
      </c>
      <c r="AO294" s="258"/>
      <c r="AP294" s="346"/>
      <c r="AQ294" s="300"/>
      <c r="AR294" s="300"/>
      <c r="AS294" s="345"/>
      <c r="AT294" s="345"/>
      <c r="AU294" s="300"/>
      <c r="AV294" s="286" t="b">
        <v>0</v>
      </c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263"/>
      <c r="B295" s="194"/>
      <c r="C295" s="61"/>
      <c r="D295" s="61"/>
      <c r="E295" s="81"/>
      <c r="F295" s="81"/>
      <c r="G295" s="61"/>
      <c r="H295" s="269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 t="b">
        <v>0</v>
      </c>
      <c r="AO295" s="258"/>
      <c r="AP295" s="346"/>
      <c r="AQ295" s="300"/>
      <c r="AR295" s="300"/>
      <c r="AS295" s="345"/>
      <c r="AT295" s="345"/>
      <c r="AU295" s="300"/>
      <c r="AV295" s="286" t="b">
        <v>0</v>
      </c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263"/>
      <c r="B296" s="194"/>
      <c r="C296" s="61"/>
      <c r="D296" s="61"/>
      <c r="E296" s="81"/>
      <c r="F296" s="81"/>
      <c r="G296" s="61"/>
      <c r="H296" s="269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 t="b">
        <v>0</v>
      </c>
      <c r="AO296" s="258"/>
      <c r="AP296" s="346"/>
      <c r="AQ296" s="300"/>
      <c r="AR296" s="300"/>
      <c r="AS296" s="345"/>
      <c r="AT296" s="345"/>
      <c r="AU296" s="300"/>
      <c r="AV296" s="286" t="b">
        <v>0</v>
      </c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263"/>
      <c r="B297" s="194"/>
      <c r="C297" s="61"/>
      <c r="D297" s="61"/>
      <c r="E297" s="81"/>
      <c r="F297" s="81"/>
      <c r="G297" s="61"/>
      <c r="H297" s="269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 t="b">
        <v>0</v>
      </c>
      <c r="AO297" s="258"/>
      <c r="AP297" s="346"/>
      <c r="AQ297" s="300"/>
      <c r="AR297" s="300"/>
      <c r="AS297" s="345"/>
      <c r="AT297" s="345"/>
      <c r="AU297" s="300"/>
      <c r="AV297" s="286" t="b">
        <v>0</v>
      </c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263"/>
      <c r="B298" s="194"/>
      <c r="C298" s="61"/>
      <c r="D298" s="61"/>
      <c r="E298" s="81"/>
      <c r="F298" s="81"/>
      <c r="G298" s="61"/>
      <c r="H298" s="269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 t="b">
        <v>0</v>
      </c>
      <c r="AO298" s="258"/>
      <c r="AP298" s="346"/>
      <c r="AQ298" s="300"/>
      <c r="AR298" s="300"/>
      <c r="AS298" s="345"/>
      <c r="AT298" s="345"/>
      <c r="AU298" s="300"/>
      <c r="AV298" s="286" t="b">
        <v>0</v>
      </c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263"/>
      <c r="B299" s="194"/>
      <c r="C299" s="61"/>
      <c r="D299" s="61"/>
      <c r="E299" s="81"/>
      <c r="F299" s="81"/>
      <c r="G299" s="61"/>
      <c r="H299" s="269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 t="b">
        <v>0</v>
      </c>
      <c r="AO299" s="258"/>
      <c r="AP299" s="346"/>
      <c r="AQ299" s="300"/>
      <c r="AR299" s="300"/>
      <c r="AS299" s="345"/>
      <c r="AT299" s="345"/>
      <c r="AU299" s="300"/>
      <c r="AV299" s="286" t="b">
        <v>0</v>
      </c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263"/>
      <c r="B300" s="194"/>
      <c r="C300" s="61"/>
      <c r="D300" s="61"/>
      <c r="E300" s="81"/>
      <c r="F300" s="81"/>
      <c r="G300" s="61"/>
      <c r="H300" s="269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 t="b">
        <v>0</v>
      </c>
      <c r="AO300" s="258"/>
      <c r="AP300" s="346"/>
      <c r="AQ300" s="300"/>
      <c r="AR300" s="300"/>
      <c r="AS300" s="345"/>
      <c r="AT300" s="345"/>
      <c r="AU300" s="300"/>
      <c r="AV300" s="286" t="b">
        <v>0</v>
      </c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263"/>
      <c r="B301" s="194"/>
      <c r="C301" s="61"/>
      <c r="D301" s="61"/>
      <c r="E301" s="81"/>
      <c r="F301" s="81"/>
      <c r="G301" s="61"/>
      <c r="H301" s="269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 t="b">
        <v>0</v>
      </c>
      <c r="AO301" s="258"/>
      <c r="AP301" s="346"/>
      <c r="AQ301" s="300"/>
      <c r="AR301" s="300"/>
      <c r="AS301" s="345"/>
      <c r="AT301" s="345"/>
      <c r="AU301" s="300"/>
      <c r="AV301" s="286" t="b">
        <v>0</v>
      </c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263"/>
      <c r="B302" s="194"/>
      <c r="C302" s="61"/>
      <c r="D302" s="61"/>
      <c r="E302" s="81"/>
      <c r="F302" s="81"/>
      <c r="G302" s="61"/>
      <c r="H302" s="269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 t="b">
        <v>0</v>
      </c>
      <c r="AO302" s="258"/>
      <c r="AP302" s="346"/>
      <c r="AQ302" s="300"/>
      <c r="AR302" s="300"/>
      <c r="AS302" s="345"/>
      <c r="AT302" s="345"/>
      <c r="AU302" s="300"/>
      <c r="AV302" s="286" t="b">
        <v>0</v>
      </c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263"/>
      <c r="B303" s="194"/>
      <c r="C303" s="61"/>
      <c r="D303" s="61"/>
      <c r="E303" s="81"/>
      <c r="F303" s="81"/>
      <c r="G303" s="61"/>
      <c r="H303" s="269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 t="b">
        <v>0</v>
      </c>
      <c r="AO303" s="258"/>
      <c r="AP303" s="346"/>
      <c r="AQ303" s="300"/>
      <c r="AR303" s="300"/>
      <c r="AS303" s="345"/>
      <c r="AT303" s="345"/>
      <c r="AU303" s="300"/>
      <c r="AV303" s="286" t="b">
        <v>0</v>
      </c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263"/>
      <c r="B304" s="194"/>
      <c r="C304" s="61"/>
      <c r="D304" s="61"/>
      <c r="E304" s="81"/>
      <c r="F304" s="81"/>
      <c r="G304" s="61"/>
      <c r="H304" s="269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 t="b">
        <v>0</v>
      </c>
      <c r="AO304" s="258"/>
      <c r="AP304" s="346"/>
      <c r="AQ304" s="300"/>
      <c r="AR304" s="300"/>
      <c r="AS304" s="345"/>
      <c r="AT304" s="345"/>
      <c r="AU304" s="300"/>
      <c r="AV304" s="286" t="b">
        <v>0</v>
      </c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263"/>
      <c r="B305" s="194"/>
      <c r="C305" s="61"/>
      <c r="D305" s="61"/>
      <c r="E305" s="81"/>
      <c r="F305" s="81"/>
      <c r="G305" s="61"/>
      <c r="H305" s="269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 t="b">
        <v>0</v>
      </c>
      <c r="AO305" s="258"/>
      <c r="AP305" s="346"/>
      <c r="AQ305" s="300"/>
      <c r="AR305" s="300"/>
      <c r="AS305" s="345"/>
      <c r="AT305" s="345"/>
      <c r="AU305" s="300"/>
      <c r="AV305" s="286" t="b">
        <v>0</v>
      </c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263"/>
      <c r="B306" s="194"/>
      <c r="C306" s="61"/>
      <c r="D306" s="61"/>
      <c r="E306" s="81"/>
      <c r="F306" s="81"/>
      <c r="G306" s="61"/>
      <c r="H306" s="269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 t="b">
        <v>0</v>
      </c>
      <c r="AO306" s="258"/>
      <c r="AP306" s="346"/>
      <c r="AQ306" s="300"/>
      <c r="AR306" s="300"/>
      <c r="AS306" s="345"/>
      <c r="AT306" s="345"/>
      <c r="AU306" s="300"/>
      <c r="AV306" s="286" t="b">
        <v>0</v>
      </c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263"/>
      <c r="B307" s="194"/>
      <c r="C307" s="61"/>
      <c r="D307" s="61"/>
      <c r="E307" s="81"/>
      <c r="F307" s="81"/>
      <c r="G307" s="61"/>
      <c r="H307" s="269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 t="b">
        <v>0</v>
      </c>
      <c r="AO307" s="258"/>
      <c r="AP307" s="346"/>
      <c r="AQ307" s="300"/>
      <c r="AR307" s="300"/>
      <c r="AS307" s="345"/>
      <c r="AT307" s="345"/>
      <c r="AU307" s="300"/>
      <c r="AV307" s="286" t="b">
        <v>0</v>
      </c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263"/>
      <c r="B308" s="194"/>
      <c r="C308" s="61"/>
      <c r="D308" s="61"/>
      <c r="E308" s="81"/>
      <c r="F308" s="81"/>
      <c r="G308" s="61"/>
      <c r="H308" s="269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 t="b">
        <v>0</v>
      </c>
      <c r="AO308" s="258"/>
      <c r="AP308" s="346"/>
      <c r="AQ308" s="300"/>
      <c r="AR308" s="300"/>
      <c r="AS308" s="345"/>
      <c r="AT308" s="345"/>
      <c r="AU308" s="300"/>
      <c r="AV308" s="286" t="b">
        <v>0</v>
      </c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263"/>
      <c r="B309" s="194"/>
      <c r="C309" s="61"/>
      <c r="D309" s="61"/>
      <c r="E309" s="81"/>
      <c r="F309" s="81"/>
      <c r="G309" s="61"/>
      <c r="H309" s="269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 t="b">
        <v>0</v>
      </c>
      <c r="AO309" s="258"/>
      <c r="AP309" s="346"/>
      <c r="AQ309" s="300"/>
      <c r="AR309" s="300"/>
      <c r="AS309" s="345"/>
      <c r="AT309" s="345"/>
      <c r="AU309" s="300"/>
      <c r="AV309" s="286" t="b">
        <v>0</v>
      </c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263"/>
      <c r="B310" s="194"/>
      <c r="C310" s="61"/>
      <c r="D310" s="61"/>
      <c r="E310" s="81"/>
      <c r="F310" s="81"/>
      <c r="G310" s="61"/>
      <c r="H310" s="269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 t="b">
        <v>0</v>
      </c>
      <c r="AO310" s="258"/>
      <c r="AP310" s="346"/>
      <c r="AQ310" s="300"/>
      <c r="AR310" s="300"/>
      <c r="AS310" s="345"/>
      <c r="AT310" s="345"/>
      <c r="AU310" s="300"/>
      <c r="AV310" s="286" t="b">
        <v>0</v>
      </c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263"/>
      <c r="B311" s="194"/>
      <c r="C311" s="61"/>
      <c r="D311" s="61"/>
      <c r="E311" s="81"/>
      <c r="F311" s="81"/>
      <c r="G311" s="61"/>
      <c r="H311" s="269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 t="b">
        <v>0</v>
      </c>
      <c r="AO311" s="258"/>
      <c r="AP311" s="346"/>
      <c r="AQ311" s="300"/>
      <c r="AR311" s="300"/>
      <c r="AS311" s="345"/>
      <c r="AT311" s="345"/>
      <c r="AU311" s="300"/>
      <c r="AV311" s="286" t="b">
        <v>0</v>
      </c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263"/>
      <c r="B312" s="194"/>
      <c r="C312" s="61"/>
      <c r="D312" s="61"/>
      <c r="E312" s="81"/>
      <c r="F312" s="81"/>
      <c r="G312" s="61"/>
      <c r="H312" s="269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 t="b">
        <v>0</v>
      </c>
      <c r="AO312" s="258"/>
      <c r="AP312" s="346"/>
      <c r="AQ312" s="300"/>
      <c r="AR312" s="300"/>
      <c r="AS312" s="345"/>
      <c r="AT312" s="345"/>
      <c r="AU312" s="300"/>
      <c r="AV312" s="286" t="b">
        <v>0</v>
      </c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263"/>
      <c r="B313" s="194"/>
      <c r="C313" s="61"/>
      <c r="D313" s="61"/>
      <c r="E313" s="81"/>
      <c r="F313" s="81"/>
      <c r="G313" s="61"/>
      <c r="H313" s="269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 t="b">
        <v>0</v>
      </c>
      <c r="AO313" s="258"/>
      <c r="AP313" s="346"/>
      <c r="AQ313" s="300"/>
      <c r="AR313" s="300"/>
      <c r="AS313" s="345"/>
      <c r="AT313" s="345"/>
      <c r="AU313" s="300"/>
      <c r="AV313" s="286" t="b">
        <v>0</v>
      </c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263"/>
      <c r="B314" s="194"/>
      <c r="C314" s="61"/>
      <c r="D314" s="61"/>
      <c r="E314" s="81"/>
      <c r="F314" s="81"/>
      <c r="G314" s="61"/>
      <c r="H314" s="269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 t="b">
        <v>0</v>
      </c>
      <c r="AO314" s="258"/>
      <c r="AP314" s="346"/>
      <c r="AQ314" s="300"/>
      <c r="AR314" s="300"/>
      <c r="AS314" s="345"/>
      <c r="AT314" s="345"/>
      <c r="AU314" s="300"/>
      <c r="AV314" s="286" t="b">
        <v>0</v>
      </c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263"/>
      <c r="B315" s="194"/>
      <c r="C315" s="61"/>
      <c r="D315" s="61"/>
      <c r="E315" s="81"/>
      <c r="F315" s="81"/>
      <c r="G315" s="61"/>
      <c r="H315" s="269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 t="b">
        <v>0</v>
      </c>
      <c r="AO315" s="258"/>
      <c r="AP315" s="346"/>
      <c r="AQ315" s="300"/>
      <c r="AR315" s="300"/>
      <c r="AS315" s="345"/>
      <c r="AT315" s="345"/>
      <c r="AU315" s="300"/>
      <c r="AV315" s="286" t="b">
        <v>0</v>
      </c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263"/>
      <c r="B316" s="194"/>
      <c r="C316" s="61"/>
      <c r="D316" s="61"/>
      <c r="E316" s="81"/>
      <c r="F316" s="81"/>
      <c r="G316" s="61"/>
      <c r="H316" s="269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 t="b">
        <v>0</v>
      </c>
      <c r="AO316" s="258"/>
      <c r="AP316" s="346"/>
      <c r="AQ316" s="300"/>
      <c r="AR316" s="300"/>
      <c r="AS316" s="345"/>
      <c r="AT316" s="345"/>
      <c r="AU316" s="300"/>
      <c r="AV316" s="286" t="b">
        <v>0</v>
      </c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263"/>
      <c r="B317" s="194"/>
      <c r="C317" s="61"/>
      <c r="D317" s="61"/>
      <c r="E317" s="81"/>
      <c r="F317" s="81"/>
      <c r="G317" s="61"/>
      <c r="H317" s="269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 t="b">
        <v>0</v>
      </c>
      <c r="AO317" s="258"/>
      <c r="AP317" s="346"/>
      <c r="AQ317" s="300"/>
      <c r="AR317" s="300"/>
      <c r="AS317" s="345"/>
      <c r="AT317" s="345"/>
      <c r="AU317" s="300"/>
      <c r="AV317" s="286" t="b">
        <v>0</v>
      </c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263"/>
      <c r="B318" s="194"/>
      <c r="C318" s="61"/>
      <c r="D318" s="61"/>
      <c r="E318" s="81"/>
      <c r="F318" s="81"/>
      <c r="G318" s="61"/>
      <c r="H318" s="269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 t="b">
        <v>0</v>
      </c>
      <c r="AO318" s="258"/>
      <c r="AP318" s="346"/>
      <c r="AQ318" s="300"/>
      <c r="AR318" s="300"/>
      <c r="AS318" s="345"/>
      <c r="AT318" s="345"/>
      <c r="AU318" s="300"/>
      <c r="AV318" s="286" t="b">
        <v>0</v>
      </c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263"/>
      <c r="B319" s="194"/>
      <c r="C319" s="61"/>
      <c r="D319" s="61"/>
      <c r="E319" s="81"/>
      <c r="F319" s="81"/>
      <c r="G319" s="61"/>
      <c r="H319" s="269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 t="b">
        <v>0</v>
      </c>
      <c r="AO319" s="258"/>
      <c r="AP319" s="346"/>
      <c r="AQ319" s="300"/>
      <c r="AR319" s="300"/>
      <c r="AS319" s="345"/>
      <c r="AT319" s="345"/>
      <c r="AU319" s="300"/>
      <c r="AV319" s="286" t="b">
        <v>0</v>
      </c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263"/>
      <c r="B320" s="194"/>
      <c r="C320" s="61"/>
      <c r="D320" s="61"/>
      <c r="E320" s="81"/>
      <c r="F320" s="81"/>
      <c r="G320" s="61"/>
      <c r="H320" s="269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 t="b">
        <v>0</v>
      </c>
      <c r="AO320" s="258"/>
      <c r="AP320" s="346"/>
      <c r="AQ320" s="300"/>
      <c r="AR320" s="300"/>
      <c r="AS320" s="345"/>
      <c r="AT320" s="345"/>
      <c r="AU320" s="300"/>
      <c r="AV320" s="286" t="b">
        <v>0</v>
      </c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263"/>
      <c r="B321" s="194"/>
      <c r="C321" s="61"/>
      <c r="D321" s="61"/>
      <c r="E321" s="81"/>
      <c r="F321" s="81"/>
      <c r="G321" s="61"/>
      <c r="H321" s="269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 t="b">
        <v>0</v>
      </c>
      <c r="AO321" s="258"/>
      <c r="AP321" s="346"/>
      <c r="AQ321" s="300"/>
      <c r="AR321" s="300"/>
      <c r="AS321" s="345"/>
      <c r="AT321" s="345"/>
      <c r="AU321" s="300"/>
      <c r="AV321" s="286" t="b">
        <v>0</v>
      </c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263"/>
      <c r="B322" s="194"/>
      <c r="C322" s="61"/>
      <c r="D322" s="61"/>
      <c r="E322" s="81"/>
      <c r="F322" s="81"/>
      <c r="G322" s="61"/>
      <c r="H322" s="269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 t="b">
        <v>0</v>
      </c>
      <c r="AO322" s="258"/>
      <c r="AP322" s="346"/>
      <c r="AQ322" s="300"/>
      <c r="AR322" s="300"/>
      <c r="AS322" s="345"/>
      <c r="AT322" s="345"/>
      <c r="AU322" s="300"/>
      <c r="AV322" s="286" t="b">
        <v>0</v>
      </c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263"/>
      <c r="B323" s="194"/>
      <c r="C323" s="61"/>
      <c r="D323" s="61"/>
      <c r="E323" s="81"/>
      <c r="F323" s="81"/>
      <c r="G323" s="61"/>
      <c r="H323" s="269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 t="b">
        <v>0</v>
      </c>
      <c r="AO323" s="258"/>
      <c r="AP323" s="346"/>
      <c r="AQ323" s="300"/>
      <c r="AR323" s="300"/>
      <c r="AS323" s="345"/>
      <c r="AT323" s="345"/>
      <c r="AU323" s="300"/>
      <c r="AV323" s="286" t="b">
        <v>0</v>
      </c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263"/>
      <c r="B324" s="194"/>
      <c r="C324" s="61"/>
      <c r="D324" s="61"/>
      <c r="E324" s="81"/>
      <c r="F324" s="81"/>
      <c r="G324" s="61"/>
      <c r="H324" s="269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 t="b">
        <v>0</v>
      </c>
      <c r="AO324" s="258"/>
      <c r="AP324" s="346"/>
      <c r="AQ324" s="300"/>
      <c r="AR324" s="300"/>
      <c r="AS324" s="345"/>
      <c r="AT324" s="345"/>
      <c r="AU324" s="300"/>
      <c r="AV324" s="286" t="b">
        <v>0</v>
      </c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263"/>
      <c r="B325" s="194"/>
      <c r="C325" s="61"/>
      <c r="D325" s="61"/>
      <c r="E325" s="81"/>
      <c r="F325" s="81"/>
      <c r="G325" s="61"/>
      <c r="H325" s="269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 t="b">
        <v>0</v>
      </c>
      <c r="AO325" s="258"/>
      <c r="AP325" s="346"/>
      <c r="AQ325" s="300"/>
      <c r="AR325" s="300"/>
      <c r="AS325" s="345"/>
      <c r="AT325" s="345"/>
      <c r="AU325" s="300"/>
      <c r="AV325" s="286" t="b">
        <v>0</v>
      </c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263"/>
      <c r="B326" s="194"/>
      <c r="C326" s="61"/>
      <c r="D326" s="61"/>
      <c r="E326" s="81"/>
      <c r="F326" s="81"/>
      <c r="G326" s="61"/>
      <c r="H326" s="269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 t="b">
        <v>0</v>
      </c>
      <c r="AO326" s="258"/>
      <c r="AP326" s="346"/>
      <c r="AQ326" s="300"/>
      <c r="AR326" s="300"/>
      <c r="AS326" s="345"/>
      <c r="AT326" s="345"/>
      <c r="AU326" s="300"/>
      <c r="AV326" s="286" t="b">
        <v>0</v>
      </c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263"/>
      <c r="B327" s="194"/>
      <c r="C327" s="61"/>
      <c r="D327" s="61"/>
      <c r="E327" s="81"/>
      <c r="F327" s="81"/>
      <c r="G327" s="61"/>
      <c r="H327" s="269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 t="b">
        <v>0</v>
      </c>
      <c r="AO327" s="258"/>
      <c r="AP327" s="346"/>
      <c r="AQ327" s="300"/>
      <c r="AR327" s="300"/>
      <c r="AS327" s="345"/>
      <c r="AT327" s="345"/>
      <c r="AU327" s="300"/>
      <c r="AV327" s="286" t="b">
        <v>0</v>
      </c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263"/>
      <c r="B328" s="194"/>
      <c r="C328" s="61"/>
      <c r="D328" s="61"/>
      <c r="E328" s="81"/>
      <c r="F328" s="81"/>
      <c r="G328" s="61"/>
      <c r="H328" s="269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 t="b">
        <v>0</v>
      </c>
      <c r="AO328" s="258"/>
      <c r="AP328" s="346"/>
      <c r="AQ328" s="300"/>
      <c r="AR328" s="300"/>
      <c r="AS328" s="345"/>
      <c r="AT328" s="345"/>
      <c r="AU328" s="300"/>
      <c r="AV328" s="286" t="b">
        <v>0</v>
      </c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263"/>
      <c r="B329" s="194"/>
      <c r="C329" s="61"/>
      <c r="D329" s="61"/>
      <c r="E329" s="81"/>
      <c r="F329" s="81"/>
      <c r="G329" s="61"/>
      <c r="H329" s="269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 t="b">
        <v>0</v>
      </c>
      <c r="AO329" s="258"/>
      <c r="AP329" s="346"/>
      <c r="AQ329" s="300"/>
      <c r="AR329" s="300"/>
      <c r="AS329" s="345"/>
      <c r="AT329" s="345"/>
      <c r="AU329" s="300"/>
      <c r="AV329" s="286" t="b">
        <v>0</v>
      </c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263"/>
      <c r="B330" s="194"/>
      <c r="C330" s="61"/>
      <c r="D330" s="61"/>
      <c r="E330" s="81"/>
      <c r="F330" s="81"/>
      <c r="G330" s="61"/>
      <c r="H330" s="269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 t="b">
        <v>0</v>
      </c>
      <c r="AO330" s="258"/>
      <c r="AP330" s="346"/>
      <c r="AQ330" s="300"/>
      <c r="AR330" s="300"/>
      <c r="AS330" s="345"/>
      <c r="AT330" s="345"/>
      <c r="AU330" s="300"/>
      <c r="AV330" s="286" t="b">
        <v>0</v>
      </c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263"/>
      <c r="B331" s="194"/>
      <c r="C331" s="61"/>
      <c r="D331" s="61"/>
      <c r="E331" s="81"/>
      <c r="F331" s="81"/>
      <c r="G331" s="61"/>
      <c r="H331" s="269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 t="b">
        <v>0</v>
      </c>
      <c r="AO331" s="258"/>
      <c r="AP331" s="346"/>
      <c r="AQ331" s="300"/>
      <c r="AR331" s="300"/>
      <c r="AS331" s="345"/>
      <c r="AT331" s="345"/>
      <c r="AU331" s="300"/>
      <c r="AV331" s="286" t="b">
        <v>0</v>
      </c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263"/>
      <c r="B332" s="194"/>
      <c r="C332" s="61"/>
      <c r="D332" s="61"/>
      <c r="E332" s="81"/>
      <c r="F332" s="81"/>
      <c r="G332" s="61"/>
      <c r="H332" s="269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 t="b">
        <v>0</v>
      </c>
      <c r="AO332" s="258"/>
      <c r="AP332" s="346"/>
      <c r="AQ332" s="300"/>
      <c r="AR332" s="300"/>
      <c r="AS332" s="345"/>
      <c r="AT332" s="345"/>
      <c r="AU332" s="300"/>
      <c r="AV332" s="286" t="b">
        <v>0</v>
      </c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263"/>
      <c r="B333" s="194"/>
      <c r="C333" s="61"/>
      <c r="D333" s="61"/>
      <c r="E333" s="81"/>
      <c r="F333" s="81"/>
      <c r="G333" s="61"/>
      <c r="H333" s="269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 t="b">
        <v>0</v>
      </c>
      <c r="AO333" s="258"/>
      <c r="AP333" s="346"/>
      <c r="AQ333" s="300"/>
      <c r="AR333" s="300"/>
      <c r="AS333" s="345"/>
      <c r="AT333" s="345"/>
      <c r="AU333" s="300"/>
      <c r="AV333" s="286" t="b">
        <v>0</v>
      </c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263"/>
      <c r="B334" s="194"/>
      <c r="C334" s="61"/>
      <c r="D334" s="61"/>
      <c r="E334" s="81"/>
      <c r="F334" s="81"/>
      <c r="G334" s="61"/>
      <c r="H334" s="269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 t="b">
        <v>0</v>
      </c>
      <c r="AO334" s="258"/>
      <c r="AP334" s="346"/>
      <c r="AQ334" s="300"/>
      <c r="AR334" s="300"/>
      <c r="AS334" s="345"/>
      <c r="AT334" s="345"/>
      <c r="AU334" s="300"/>
      <c r="AV334" s="286" t="b">
        <v>0</v>
      </c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263"/>
      <c r="B335" s="194"/>
      <c r="C335" s="61"/>
      <c r="D335" s="61"/>
      <c r="E335" s="81"/>
      <c r="F335" s="81"/>
      <c r="G335" s="61"/>
      <c r="H335" s="269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 t="b">
        <v>0</v>
      </c>
      <c r="AO335" s="258"/>
      <c r="AP335" s="346"/>
      <c r="AQ335" s="300"/>
      <c r="AR335" s="300"/>
      <c r="AS335" s="345"/>
      <c r="AT335" s="345"/>
      <c r="AU335" s="300"/>
      <c r="AV335" s="286" t="b">
        <v>0</v>
      </c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263"/>
      <c r="B336" s="194"/>
      <c r="C336" s="61"/>
      <c r="D336" s="61"/>
      <c r="E336" s="81"/>
      <c r="F336" s="81"/>
      <c r="G336" s="61"/>
      <c r="H336" s="269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 t="b">
        <v>0</v>
      </c>
      <c r="AO336" s="258"/>
      <c r="AP336" s="346"/>
      <c r="AQ336" s="300"/>
      <c r="AR336" s="300"/>
      <c r="AS336" s="345"/>
      <c r="AT336" s="345"/>
      <c r="AU336" s="300"/>
      <c r="AV336" s="286" t="b">
        <v>0</v>
      </c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263"/>
      <c r="B337" s="194"/>
      <c r="C337" s="61"/>
      <c r="D337" s="61"/>
      <c r="E337" s="81"/>
      <c r="F337" s="81"/>
      <c r="G337" s="61"/>
      <c r="H337" s="269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 t="b">
        <v>0</v>
      </c>
      <c r="AO337" s="258"/>
      <c r="AP337" s="346"/>
      <c r="AQ337" s="300"/>
      <c r="AR337" s="300"/>
      <c r="AS337" s="345"/>
      <c r="AT337" s="345"/>
      <c r="AU337" s="300"/>
      <c r="AV337" s="286" t="b">
        <v>0</v>
      </c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263"/>
      <c r="B338" s="194"/>
      <c r="C338" s="61"/>
      <c r="D338" s="61"/>
      <c r="E338" s="81"/>
      <c r="F338" s="81"/>
      <c r="G338" s="61"/>
      <c r="H338" s="269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 t="b">
        <v>0</v>
      </c>
      <c r="AO338" s="258"/>
      <c r="AP338" s="346"/>
      <c r="AQ338" s="300"/>
      <c r="AR338" s="300"/>
      <c r="AS338" s="345"/>
      <c r="AT338" s="345"/>
      <c r="AU338" s="300"/>
      <c r="AV338" s="286" t="b">
        <v>0</v>
      </c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263"/>
      <c r="B339" s="194"/>
      <c r="C339" s="61"/>
      <c r="D339" s="61"/>
      <c r="E339" s="81"/>
      <c r="F339" s="81"/>
      <c r="G339" s="61"/>
      <c r="H339" s="269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 t="b">
        <v>0</v>
      </c>
      <c r="AO339" s="258"/>
      <c r="AP339" s="346"/>
      <c r="AQ339" s="300"/>
      <c r="AR339" s="300"/>
      <c r="AS339" s="345"/>
      <c r="AT339" s="345"/>
      <c r="AU339" s="300"/>
      <c r="AV339" s="286" t="b">
        <v>0</v>
      </c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263"/>
      <c r="B340" s="194"/>
      <c r="C340" s="61"/>
      <c r="D340" s="61"/>
      <c r="E340" s="81"/>
      <c r="F340" s="81"/>
      <c r="G340" s="61"/>
      <c r="H340" s="269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 t="b">
        <v>0</v>
      </c>
      <c r="AO340" s="258"/>
      <c r="AP340" s="346"/>
      <c r="AQ340" s="300"/>
      <c r="AR340" s="300"/>
      <c r="AS340" s="345"/>
      <c r="AT340" s="345"/>
      <c r="AU340" s="300"/>
      <c r="AV340" s="286" t="b">
        <v>0</v>
      </c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263"/>
      <c r="B341" s="194"/>
      <c r="C341" s="61"/>
      <c r="D341" s="61"/>
      <c r="E341" s="81"/>
      <c r="F341" s="81"/>
      <c r="G341" s="61"/>
      <c r="H341" s="269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 t="b">
        <v>0</v>
      </c>
      <c r="AO341" s="258"/>
      <c r="AP341" s="346"/>
      <c r="AQ341" s="300"/>
      <c r="AR341" s="300"/>
      <c r="AS341" s="345"/>
      <c r="AT341" s="345"/>
      <c r="AU341" s="300"/>
      <c r="AV341" s="286" t="b">
        <v>0</v>
      </c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263"/>
      <c r="B342" s="194"/>
      <c r="C342" s="61"/>
      <c r="D342" s="61"/>
      <c r="E342" s="81"/>
      <c r="F342" s="81"/>
      <c r="G342" s="61"/>
      <c r="H342" s="269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 t="b">
        <v>0</v>
      </c>
      <c r="AO342" s="258"/>
      <c r="AP342" s="346"/>
      <c r="AQ342" s="300"/>
      <c r="AR342" s="300"/>
      <c r="AS342" s="345"/>
      <c r="AT342" s="345"/>
      <c r="AU342" s="300"/>
      <c r="AV342" s="286" t="b">
        <v>0</v>
      </c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263"/>
      <c r="B343" s="194"/>
      <c r="C343" s="61"/>
      <c r="D343" s="61"/>
      <c r="E343" s="81"/>
      <c r="F343" s="81"/>
      <c r="G343" s="61"/>
      <c r="H343" s="269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 t="b">
        <v>0</v>
      </c>
      <c r="AO343" s="258"/>
      <c r="AP343" s="346"/>
      <c r="AQ343" s="300"/>
      <c r="AR343" s="300"/>
      <c r="AS343" s="345"/>
      <c r="AT343" s="345"/>
      <c r="AU343" s="300"/>
      <c r="AV343" s="286" t="b">
        <v>0</v>
      </c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263"/>
      <c r="B344" s="194"/>
      <c r="C344" s="61"/>
      <c r="D344" s="61"/>
      <c r="E344" s="81"/>
      <c r="F344" s="81"/>
      <c r="G344" s="61"/>
      <c r="H344" s="269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 t="b">
        <v>0</v>
      </c>
      <c r="AO344" s="258"/>
      <c r="AP344" s="346"/>
      <c r="AQ344" s="300"/>
      <c r="AR344" s="300"/>
      <c r="AS344" s="345"/>
      <c r="AT344" s="345"/>
      <c r="AU344" s="300"/>
      <c r="AV344" s="286" t="b">
        <v>0</v>
      </c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263"/>
      <c r="B345" s="194"/>
      <c r="C345" s="61"/>
      <c r="D345" s="61"/>
      <c r="E345" s="81"/>
      <c r="F345" s="81"/>
      <c r="G345" s="61"/>
      <c r="H345" s="269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 t="b">
        <v>0</v>
      </c>
      <c r="AO345" s="258"/>
      <c r="AP345" s="346"/>
      <c r="AQ345" s="300"/>
      <c r="AR345" s="300"/>
      <c r="AS345" s="345"/>
      <c r="AT345" s="345"/>
      <c r="AU345" s="300"/>
      <c r="AV345" s="286" t="b">
        <v>0</v>
      </c>
      <c r="AW345" s="258"/>
      <c r="AX345" s="349"/>
      <c r="AY345" s="290"/>
      <c r="AZ345" s="277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263"/>
      <c r="B346" s="194"/>
      <c r="C346" s="61"/>
      <c r="D346" s="61"/>
      <c r="E346" s="81"/>
      <c r="F346" s="81"/>
      <c r="G346" s="61"/>
      <c r="H346" s="269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 t="b">
        <v>0</v>
      </c>
      <c r="AO346" s="258"/>
      <c r="AP346" s="346"/>
      <c r="AQ346" s="300"/>
      <c r="AR346" s="300"/>
      <c r="AS346" s="345"/>
      <c r="AT346" s="345"/>
      <c r="AU346" s="300"/>
      <c r="AV346" s="286" t="b">
        <v>0</v>
      </c>
      <c r="AW346" s="258"/>
      <c r="AX346" s="349"/>
      <c r="AY346" s="290"/>
      <c r="AZ346" s="277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263"/>
      <c r="B347" s="194"/>
      <c r="C347" s="61"/>
      <c r="D347" s="61"/>
      <c r="E347" s="81"/>
      <c r="F347" s="81"/>
      <c r="G347" s="61"/>
      <c r="H347" s="269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 t="b">
        <v>0</v>
      </c>
      <c r="AO347" s="258"/>
      <c r="AP347" s="346"/>
      <c r="AQ347" s="300"/>
      <c r="AR347" s="300"/>
      <c r="AS347" s="345"/>
      <c r="AT347" s="345"/>
      <c r="AU347" s="300"/>
      <c r="AV347" s="286" t="b">
        <v>0</v>
      </c>
      <c r="AW347" s="258"/>
      <c r="AX347" s="349"/>
      <c r="AY347" s="290"/>
      <c r="AZ347" s="277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263"/>
      <c r="B348" s="194"/>
      <c r="C348" s="61"/>
      <c r="D348" s="61"/>
      <c r="E348" s="81"/>
      <c r="F348" s="81"/>
      <c r="G348" s="61"/>
      <c r="H348" s="269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 t="b">
        <v>0</v>
      </c>
      <c r="AO348" s="258"/>
      <c r="AP348" s="346"/>
      <c r="AQ348" s="300"/>
      <c r="AR348" s="300"/>
      <c r="AS348" s="345"/>
      <c r="AT348" s="345"/>
      <c r="AU348" s="300"/>
      <c r="AV348" s="286" t="b">
        <v>0</v>
      </c>
      <c r="AW348" s="258"/>
      <c r="AX348" s="349"/>
      <c r="AY348" s="290"/>
      <c r="AZ348" s="277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263"/>
      <c r="B349" s="194"/>
      <c r="C349" s="61"/>
      <c r="D349" s="61"/>
      <c r="E349" s="81"/>
      <c r="F349" s="81"/>
      <c r="G349" s="61"/>
      <c r="H349" s="269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 t="b">
        <v>0</v>
      </c>
      <c r="AO349" s="258"/>
      <c r="AP349" s="346"/>
      <c r="AQ349" s="300"/>
      <c r="AR349" s="300"/>
      <c r="AS349" s="345"/>
      <c r="AT349" s="345"/>
      <c r="AU349" s="300"/>
      <c r="AV349" s="286" t="b">
        <v>0</v>
      </c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263"/>
      <c r="B350" s="194"/>
      <c r="C350" s="61"/>
      <c r="D350" s="61"/>
      <c r="E350" s="81"/>
      <c r="F350" s="81"/>
      <c r="G350" s="61"/>
      <c r="H350" s="269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 t="b">
        <v>0</v>
      </c>
      <c r="AO350" s="258"/>
      <c r="AP350" s="346"/>
      <c r="AQ350" s="300"/>
      <c r="AR350" s="300"/>
      <c r="AS350" s="345"/>
      <c r="AT350" s="345"/>
      <c r="AU350" s="300"/>
      <c r="AV350" s="286" t="b">
        <v>0</v>
      </c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263"/>
      <c r="B351" s="194"/>
      <c r="C351" s="61"/>
      <c r="D351" s="61"/>
      <c r="E351" s="81"/>
      <c r="F351" s="81"/>
      <c r="G351" s="61"/>
      <c r="H351" s="269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 t="b">
        <v>0</v>
      </c>
      <c r="AO351" s="258"/>
      <c r="AP351" s="346"/>
      <c r="AQ351" s="300"/>
      <c r="AR351" s="300"/>
      <c r="AS351" s="345"/>
      <c r="AT351" s="345"/>
      <c r="AU351" s="300"/>
      <c r="AV351" s="286" t="b">
        <v>0</v>
      </c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263"/>
      <c r="B352" s="194"/>
      <c r="C352" s="61"/>
      <c r="D352" s="61"/>
      <c r="E352" s="81"/>
      <c r="F352" s="81"/>
      <c r="G352" s="61"/>
      <c r="H352" s="269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 t="b">
        <v>0</v>
      </c>
      <c r="AO352" s="258"/>
      <c r="AP352" s="346"/>
      <c r="AQ352" s="300"/>
      <c r="AR352" s="300"/>
      <c r="AS352" s="345"/>
      <c r="AT352" s="345"/>
      <c r="AU352" s="300"/>
      <c r="AV352" s="286" t="b">
        <v>0</v>
      </c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263"/>
      <c r="B353" s="194"/>
      <c r="C353" s="61"/>
      <c r="D353" s="61"/>
      <c r="E353" s="81"/>
      <c r="F353" s="81"/>
      <c r="G353" s="61"/>
      <c r="H353" s="269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 t="b">
        <v>0</v>
      </c>
      <c r="AO353" s="258"/>
      <c r="AP353" s="346"/>
      <c r="AQ353" s="300"/>
      <c r="AR353" s="300"/>
      <c r="AS353" s="345"/>
      <c r="AT353" s="345"/>
      <c r="AU353" s="300"/>
      <c r="AV353" s="286" t="b">
        <v>0</v>
      </c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263"/>
      <c r="B354" s="194"/>
      <c r="C354" s="61"/>
      <c r="D354" s="61"/>
      <c r="E354" s="81"/>
      <c r="F354" s="81"/>
      <c r="G354" s="61"/>
      <c r="H354" s="269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 t="b">
        <v>0</v>
      </c>
      <c r="AO354" s="258"/>
      <c r="AP354" s="346"/>
      <c r="AQ354" s="300"/>
      <c r="AR354" s="300"/>
      <c r="AS354" s="345"/>
      <c r="AT354" s="345"/>
      <c r="AU354" s="300"/>
      <c r="AV354" s="286" t="b">
        <v>0</v>
      </c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263"/>
      <c r="B355" s="194"/>
      <c r="C355" s="61"/>
      <c r="D355" s="61"/>
      <c r="E355" s="81"/>
      <c r="F355" s="81"/>
      <c r="G355" s="61"/>
      <c r="H355" s="269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 t="b">
        <v>0</v>
      </c>
      <c r="AO355" s="258"/>
      <c r="AP355" s="346"/>
      <c r="AQ355" s="300"/>
      <c r="AR355" s="300"/>
      <c r="AS355" s="345"/>
      <c r="AT355" s="345"/>
      <c r="AU355" s="300"/>
      <c r="AV355" s="286" t="b">
        <v>0</v>
      </c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263"/>
      <c r="B356" s="194"/>
      <c r="C356" s="61"/>
      <c r="D356" s="61"/>
      <c r="E356" s="81"/>
      <c r="F356" s="81"/>
      <c r="G356" s="61"/>
      <c r="H356" s="269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 t="b">
        <v>0</v>
      </c>
      <c r="AO356" s="258"/>
      <c r="AP356" s="346"/>
      <c r="AQ356" s="300"/>
      <c r="AR356" s="300"/>
      <c r="AS356" s="345"/>
      <c r="AT356" s="345"/>
      <c r="AU356" s="300"/>
      <c r="AV356" s="286" t="b">
        <v>0</v>
      </c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263"/>
      <c r="B357" s="194"/>
      <c r="C357" s="61"/>
      <c r="D357" s="61"/>
      <c r="E357" s="81"/>
      <c r="F357" s="81"/>
      <c r="G357" s="61"/>
      <c r="H357" s="269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 t="b">
        <v>0</v>
      </c>
      <c r="AO357" s="258"/>
      <c r="AP357" s="346"/>
      <c r="AQ357" s="300"/>
      <c r="AR357" s="300"/>
      <c r="AS357" s="345"/>
      <c r="AT357" s="345"/>
      <c r="AU357" s="300"/>
      <c r="AV357" s="286" t="b">
        <v>0</v>
      </c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263"/>
      <c r="B358" s="194"/>
      <c r="C358" s="61"/>
      <c r="D358" s="61"/>
      <c r="E358" s="81"/>
      <c r="F358" s="81"/>
      <c r="G358" s="61"/>
      <c r="H358" s="269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 t="b">
        <v>0</v>
      </c>
      <c r="AO358" s="258"/>
      <c r="AP358" s="346"/>
      <c r="AQ358" s="300"/>
      <c r="AR358" s="300"/>
      <c r="AS358" s="345"/>
      <c r="AT358" s="345"/>
      <c r="AU358" s="300"/>
      <c r="AV358" s="286" t="b">
        <v>0</v>
      </c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263"/>
      <c r="B359" s="194"/>
      <c r="C359" s="61"/>
      <c r="D359" s="61"/>
      <c r="E359" s="81"/>
      <c r="F359" s="81"/>
      <c r="G359" s="61"/>
      <c r="H359" s="269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 t="b">
        <v>0</v>
      </c>
      <c r="AO359" s="258"/>
      <c r="AP359" s="346"/>
      <c r="AQ359" s="300"/>
      <c r="AR359" s="300"/>
      <c r="AS359" s="345"/>
      <c r="AT359" s="345"/>
      <c r="AU359" s="300"/>
      <c r="AV359" s="286" t="b">
        <v>0</v>
      </c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263"/>
      <c r="B360" s="194"/>
      <c r="C360" s="61"/>
      <c r="D360" s="61"/>
      <c r="E360" s="81"/>
      <c r="F360" s="81"/>
      <c r="G360" s="61"/>
      <c r="H360" s="269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 t="b">
        <v>0</v>
      </c>
      <c r="AO360" s="258"/>
      <c r="AP360" s="346"/>
      <c r="AQ360" s="300"/>
      <c r="AR360" s="300"/>
      <c r="AS360" s="345"/>
      <c r="AT360" s="345"/>
      <c r="AU360" s="300"/>
      <c r="AV360" s="286" t="b">
        <v>0</v>
      </c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263"/>
      <c r="B361" s="194"/>
      <c r="C361" s="61"/>
      <c r="D361" s="61"/>
      <c r="E361" s="81"/>
      <c r="F361" s="81"/>
      <c r="G361" s="61"/>
      <c r="H361" s="269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 t="b">
        <v>0</v>
      </c>
      <c r="AO361" s="258"/>
      <c r="AP361" s="346"/>
      <c r="AQ361" s="300"/>
      <c r="AR361" s="300"/>
      <c r="AS361" s="345"/>
      <c r="AT361" s="345"/>
      <c r="AU361" s="300"/>
      <c r="AV361" s="286" t="b">
        <v>0</v>
      </c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263"/>
      <c r="B362" s="194"/>
      <c r="C362" s="61"/>
      <c r="D362" s="61"/>
      <c r="E362" s="81"/>
      <c r="F362" s="81"/>
      <c r="G362" s="61"/>
      <c r="H362" s="269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 t="b">
        <v>0</v>
      </c>
      <c r="AO362" s="258"/>
      <c r="AP362" s="346"/>
      <c r="AQ362" s="300"/>
      <c r="AR362" s="300"/>
      <c r="AS362" s="345"/>
      <c r="AT362" s="345"/>
      <c r="AU362" s="300"/>
      <c r="AV362" s="286" t="b">
        <v>0</v>
      </c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263"/>
      <c r="B363" s="194"/>
      <c r="C363" s="61"/>
      <c r="D363" s="61"/>
      <c r="E363" s="81"/>
      <c r="F363" s="81"/>
      <c r="G363" s="61"/>
      <c r="H363" s="269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77"/>
      <c r="AK363" s="350"/>
      <c r="AL363" s="350"/>
      <c r="AM363" s="290"/>
      <c r="AN363" s="281" t="b">
        <v>0</v>
      </c>
      <c r="AO363" s="258"/>
      <c r="AP363" s="346"/>
      <c r="AQ363" s="300"/>
      <c r="AR363" s="300"/>
      <c r="AS363" s="345"/>
      <c r="AT363" s="345"/>
      <c r="AU363" s="300"/>
      <c r="AV363" s="286" t="b">
        <v>0</v>
      </c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263"/>
      <c r="B364" s="194"/>
      <c r="C364" s="61"/>
      <c r="D364" s="61"/>
      <c r="E364" s="81"/>
      <c r="F364" s="81"/>
      <c r="G364" s="61"/>
      <c r="H364" s="269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77"/>
      <c r="AK364" s="350"/>
      <c r="AL364" s="350"/>
      <c r="AM364" s="290"/>
      <c r="AN364" s="281" t="b">
        <v>0</v>
      </c>
      <c r="AO364" s="258"/>
      <c r="AP364" s="346"/>
      <c r="AQ364" s="300"/>
      <c r="AR364" s="300"/>
      <c r="AS364" s="345"/>
      <c r="AT364" s="345"/>
      <c r="AU364" s="300"/>
      <c r="AV364" s="286" t="b">
        <v>0</v>
      </c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263"/>
      <c r="B365" s="194"/>
      <c r="C365" s="61"/>
      <c r="D365" s="61"/>
      <c r="E365" s="81"/>
      <c r="F365" s="81"/>
      <c r="G365" s="61"/>
      <c r="H365" s="269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77"/>
      <c r="AK365" s="350"/>
      <c r="AL365" s="350"/>
      <c r="AM365" s="290"/>
      <c r="AN365" s="281" t="b">
        <v>0</v>
      </c>
      <c r="AO365" s="258"/>
      <c r="AP365" s="346"/>
      <c r="AQ365" s="300"/>
      <c r="AR365" s="300"/>
      <c r="AS365" s="345"/>
      <c r="AT365" s="345"/>
      <c r="AU365" s="300"/>
      <c r="AV365" s="286" t="b">
        <v>0</v>
      </c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263"/>
      <c r="B366" s="194"/>
      <c r="C366" s="61"/>
      <c r="D366" s="61"/>
      <c r="E366" s="81"/>
      <c r="F366" s="81"/>
      <c r="G366" s="61"/>
      <c r="H366" s="269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77"/>
      <c r="AK366" s="350"/>
      <c r="AL366" s="350"/>
      <c r="AM366" s="290"/>
      <c r="AN366" s="281" t="b">
        <v>0</v>
      </c>
      <c r="AO366" s="258"/>
      <c r="AP366" s="346"/>
      <c r="AQ366" s="300"/>
      <c r="AR366" s="300"/>
      <c r="AS366" s="345"/>
      <c r="AT366" s="345"/>
      <c r="AU366" s="300"/>
      <c r="AV366" s="286" t="b">
        <v>0</v>
      </c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263"/>
      <c r="B367" s="194"/>
      <c r="C367" s="61"/>
      <c r="D367" s="61"/>
      <c r="E367" s="81"/>
      <c r="F367" s="81"/>
      <c r="G367" s="61"/>
      <c r="H367" s="269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 t="b">
        <v>0</v>
      </c>
      <c r="AO367" s="258"/>
      <c r="AP367" s="346"/>
      <c r="AQ367" s="300"/>
      <c r="AR367" s="300"/>
      <c r="AS367" s="345"/>
      <c r="AT367" s="345"/>
      <c r="AU367" s="300"/>
      <c r="AV367" s="286" t="b">
        <v>0</v>
      </c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263"/>
      <c r="B368" s="194"/>
      <c r="C368" s="61"/>
      <c r="D368" s="61"/>
      <c r="E368" s="81"/>
      <c r="F368" s="81"/>
      <c r="G368" s="61"/>
      <c r="H368" s="269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 t="b">
        <v>0</v>
      </c>
      <c r="AO368" s="258"/>
      <c r="AP368" s="346"/>
      <c r="AQ368" s="300"/>
      <c r="AR368" s="300"/>
      <c r="AS368" s="345"/>
      <c r="AT368" s="345"/>
      <c r="AU368" s="300"/>
      <c r="AV368" s="286" t="b">
        <v>0</v>
      </c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263"/>
      <c r="B369" s="194"/>
      <c r="C369" s="61"/>
      <c r="D369" s="61"/>
      <c r="E369" s="81"/>
      <c r="F369" s="81"/>
      <c r="G369" s="61"/>
      <c r="H369" s="269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 t="b">
        <v>0</v>
      </c>
      <c r="AO369" s="258"/>
      <c r="AP369" s="346"/>
      <c r="AQ369" s="300"/>
      <c r="AR369" s="300"/>
      <c r="AS369" s="345"/>
      <c r="AT369" s="345"/>
      <c r="AU369" s="300"/>
      <c r="AV369" s="286" t="b">
        <v>0</v>
      </c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263"/>
      <c r="B370" s="194"/>
      <c r="C370" s="61"/>
      <c r="D370" s="61"/>
      <c r="E370" s="81"/>
      <c r="F370" s="81"/>
      <c r="G370" s="61"/>
      <c r="H370" s="269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 t="b">
        <v>0</v>
      </c>
      <c r="AO370" s="258"/>
      <c r="AP370" s="346"/>
      <c r="AQ370" s="300"/>
      <c r="AR370" s="300"/>
      <c r="AS370" s="345"/>
      <c r="AT370" s="345"/>
      <c r="AU370" s="300"/>
      <c r="AV370" s="286" t="b">
        <v>0</v>
      </c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263"/>
      <c r="B371" s="194"/>
      <c r="C371" s="61"/>
      <c r="D371" s="61"/>
      <c r="E371" s="81"/>
      <c r="F371" s="81"/>
      <c r="G371" s="61"/>
      <c r="H371" s="269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 t="b">
        <v>0</v>
      </c>
      <c r="AO371" s="258"/>
      <c r="AP371" s="346"/>
      <c r="AQ371" s="300"/>
      <c r="AR371" s="300"/>
      <c r="AS371" s="345"/>
      <c r="AT371" s="345"/>
      <c r="AU371" s="300"/>
      <c r="AV371" s="286" t="b">
        <v>0</v>
      </c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263"/>
      <c r="B372" s="194"/>
      <c r="C372" s="61"/>
      <c r="D372" s="61"/>
      <c r="E372" s="81"/>
      <c r="F372" s="81"/>
      <c r="G372" s="61"/>
      <c r="H372" s="269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 t="b">
        <v>0</v>
      </c>
      <c r="AO372" s="258"/>
      <c r="AP372" s="346"/>
      <c r="AQ372" s="300"/>
      <c r="AR372" s="300"/>
      <c r="AS372" s="345"/>
      <c r="AT372" s="345"/>
      <c r="AU372" s="300"/>
      <c r="AV372" s="286" t="b">
        <v>0</v>
      </c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263"/>
      <c r="B373" s="194"/>
      <c r="C373" s="61"/>
      <c r="D373" s="61"/>
      <c r="E373" s="81"/>
      <c r="F373" s="81"/>
      <c r="G373" s="61"/>
      <c r="H373" s="269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 t="b">
        <v>0</v>
      </c>
      <c r="AO373" s="258"/>
      <c r="AP373" s="346"/>
      <c r="AQ373" s="300"/>
      <c r="AR373" s="300"/>
      <c r="AS373" s="345"/>
      <c r="AT373" s="345"/>
      <c r="AU373" s="300"/>
      <c r="AV373" s="286" t="b">
        <v>0</v>
      </c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263"/>
      <c r="B374" s="194"/>
      <c r="C374" s="61"/>
      <c r="D374" s="61"/>
      <c r="E374" s="81"/>
      <c r="F374" s="81"/>
      <c r="G374" s="61"/>
      <c r="H374" s="269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 t="b">
        <v>0</v>
      </c>
      <c r="AO374" s="258"/>
      <c r="AP374" s="346"/>
      <c r="AQ374" s="300"/>
      <c r="AR374" s="300"/>
      <c r="AS374" s="345"/>
      <c r="AT374" s="345"/>
      <c r="AU374" s="300"/>
      <c r="AV374" s="286" t="b">
        <v>0</v>
      </c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263"/>
      <c r="B375" s="194"/>
      <c r="C375" s="61"/>
      <c r="D375" s="61"/>
      <c r="E375" s="81"/>
      <c r="F375" s="81"/>
      <c r="G375" s="61"/>
      <c r="H375" s="269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 t="b">
        <v>0</v>
      </c>
      <c r="AO375" s="258"/>
      <c r="AP375" s="346"/>
      <c r="AQ375" s="300"/>
      <c r="AR375" s="300"/>
      <c r="AS375" s="345"/>
      <c r="AT375" s="345"/>
      <c r="AU375" s="300"/>
      <c r="AV375" s="286" t="b">
        <v>0</v>
      </c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263"/>
      <c r="B376" s="194"/>
      <c r="C376" s="61"/>
      <c r="D376" s="61"/>
      <c r="E376" s="81"/>
      <c r="F376" s="81"/>
      <c r="G376" s="61"/>
      <c r="H376" s="269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 t="b">
        <v>0</v>
      </c>
      <c r="AO376" s="258"/>
      <c r="AP376" s="346"/>
      <c r="AQ376" s="300"/>
      <c r="AR376" s="300"/>
      <c r="AS376" s="345"/>
      <c r="AT376" s="345"/>
      <c r="AU376" s="300"/>
      <c r="AV376" s="286" t="b">
        <v>0</v>
      </c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263"/>
      <c r="B377" s="194"/>
      <c r="C377" s="61"/>
      <c r="D377" s="61"/>
      <c r="E377" s="81"/>
      <c r="F377" s="81"/>
      <c r="G377" s="61"/>
      <c r="H377" s="269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 t="b">
        <v>0</v>
      </c>
      <c r="AO377" s="258"/>
      <c r="AP377" s="346"/>
      <c r="AQ377" s="300"/>
      <c r="AR377" s="300"/>
      <c r="AS377" s="345"/>
      <c r="AT377" s="345"/>
      <c r="AU377" s="300"/>
      <c r="AV377" s="286" t="b">
        <v>0</v>
      </c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263"/>
      <c r="B378" s="194"/>
      <c r="C378" s="61"/>
      <c r="D378" s="61"/>
      <c r="E378" s="81"/>
      <c r="F378" s="81"/>
      <c r="G378" s="61"/>
      <c r="H378" s="269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 t="b">
        <v>0</v>
      </c>
      <c r="AO378" s="258"/>
      <c r="AP378" s="346"/>
      <c r="AQ378" s="300"/>
      <c r="AR378" s="300"/>
      <c r="AS378" s="345"/>
      <c r="AT378" s="345"/>
      <c r="AU378" s="300"/>
      <c r="AV378" s="286" t="b">
        <v>0</v>
      </c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263"/>
      <c r="B379" s="194"/>
      <c r="C379" s="61"/>
      <c r="D379" s="61"/>
      <c r="E379" s="81"/>
      <c r="F379" s="81"/>
      <c r="G379" s="61"/>
      <c r="H379" s="269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 t="b">
        <v>0</v>
      </c>
      <c r="AO379" s="258"/>
      <c r="AP379" s="346"/>
      <c r="AQ379" s="300"/>
      <c r="AR379" s="300"/>
      <c r="AS379" s="345"/>
      <c r="AT379" s="345"/>
      <c r="AU379" s="300"/>
      <c r="AV379" s="286" t="b">
        <v>0</v>
      </c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263"/>
      <c r="B380" s="194"/>
      <c r="C380" s="61"/>
      <c r="D380" s="61"/>
      <c r="E380" s="81"/>
      <c r="F380" s="81"/>
      <c r="G380" s="61"/>
      <c r="H380" s="269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 t="b">
        <v>0</v>
      </c>
      <c r="AO380" s="258"/>
      <c r="AP380" s="346"/>
      <c r="AQ380" s="300"/>
      <c r="AR380" s="300"/>
      <c r="AS380" s="345"/>
      <c r="AT380" s="345"/>
      <c r="AU380" s="300"/>
      <c r="AV380" s="286" t="b">
        <v>0</v>
      </c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263"/>
      <c r="B381" s="194"/>
      <c r="C381" s="61"/>
      <c r="D381" s="61"/>
      <c r="E381" s="81"/>
      <c r="F381" s="81"/>
      <c r="G381" s="61"/>
      <c r="H381" s="269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 t="b">
        <v>0</v>
      </c>
      <c r="AO381" s="258"/>
      <c r="AP381" s="346"/>
      <c r="AQ381" s="300"/>
      <c r="AR381" s="300"/>
      <c r="AS381" s="345"/>
      <c r="AT381" s="345"/>
      <c r="AU381" s="300"/>
      <c r="AV381" s="286" t="b">
        <v>0</v>
      </c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263"/>
      <c r="B382" s="194"/>
      <c r="C382" s="61"/>
      <c r="D382" s="61"/>
      <c r="E382" s="81"/>
      <c r="F382" s="81"/>
      <c r="G382" s="61"/>
      <c r="H382" s="269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 t="b">
        <v>0</v>
      </c>
      <c r="AO382" s="258"/>
      <c r="AP382" s="346"/>
      <c r="AQ382" s="300"/>
      <c r="AR382" s="300"/>
      <c r="AS382" s="345"/>
      <c r="AT382" s="345"/>
      <c r="AU382" s="300"/>
      <c r="AV382" s="286" t="b">
        <v>0</v>
      </c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263"/>
      <c r="B383" s="194"/>
      <c r="C383" s="61"/>
      <c r="D383" s="61"/>
      <c r="E383" s="81"/>
      <c r="F383" s="81"/>
      <c r="G383" s="61"/>
      <c r="H383" s="269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 t="b">
        <v>0</v>
      </c>
      <c r="AO383" s="258"/>
      <c r="AP383" s="346"/>
      <c r="AQ383" s="300"/>
      <c r="AR383" s="300"/>
      <c r="AS383" s="345"/>
      <c r="AT383" s="345"/>
      <c r="AU383" s="300"/>
      <c r="AV383" s="286" t="b">
        <v>0</v>
      </c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263"/>
      <c r="B384" s="194"/>
      <c r="C384" s="61"/>
      <c r="D384" s="61"/>
      <c r="E384" s="81"/>
      <c r="F384" s="81"/>
      <c r="G384" s="61"/>
      <c r="H384" s="269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 t="b">
        <v>0</v>
      </c>
      <c r="AO384" s="258"/>
      <c r="AP384" s="346"/>
      <c r="AQ384" s="300"/>
      <c r="AR384" s="300"/>
      <c r="AS384" s="345"/>
      <c r="AT384" s="345"/>
      <c r="AU384" s="300"/>
      <c r="AV384" s="286" t="b">
        <v>0</v>
      </c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263"/>
      <c r="B385" s="194"/>
      <c r="C385" s="61"/>
      <c r="D385" s="61"/>
      <c r="E385" s="81"/>
      <c r="F385" s="81"/>
      <c r="G385" s="61"/>
      <c r="H385" s="269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 t="b">
        <v>0</v>
      </c>
      <c r="AO385" s="258"/>
      <c r="AP385" s="346"/>
      <c r="AQ385" s="300"/>
      <c r="AR385" s="300"/>
      <c r="AS385" s="345"/>
      <c r="AT385" s="345"/>
      <c r="AU385" s="300"/>
      <c r="AV385" s="286" t="b">
        <v>0</v>
      </c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263"/>
      <c r="B386" s="194"/>
      <c r="C386" s="61"/>
      <c r="D386" s="61"/>
      <c r="E386" s="81"/>
      <c r="F386" s="81"/>
      <c r="G386" s="61"/>
      <c r="H386" s="269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 t="b">
        <v>0</v>
      </c>
      <c r="AO386" s="258"/>
      <c r="AP386" s="346"/>
      <c r="AQ386" s="300"/>
      <c r="AR386" s="300"/>
      <c r="AS386" s="345"/>
      <c r="AT386" s="345"/>
      <c r="AU386" s="300"/>
      <c r="AV386" s="286" t="b">
        <v>0</v>
      </c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263"/>
      <c r="B387" s="194"/>
      <c r="C387" s="61"/>
      <c r="D387" s="61"/>
      <c r="E387" s="81"/>
      <c r="F387" s="81"/>
      <c r="G387" s="61"/>
      <c r="H387" s="269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 t="b">
        <v>0</v>
      </c>
      <c r="AO387" s="258"/>
      <c r="AP387" s="346"/>
      <c r="AQ387" s="300"/>
      <c r="AR387" s="300"/>
      <c r="AS387" s="345"/>
      <c r="AT387" s="345"/>
      <c r="AU387" s="300"/>
      <c r="AV387" s="286" t="b">
        <v>0</v>
      </c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263"/>
      <c r="B388" s="194"/>
      <c r="C388" s="61"/>
      <c r="D388" s="61"/>
      <c r="E388" s="81"/>
      <c r="F388" s="81"/>
      <c r="G388" s="61"/>
      <c r="H388" s="269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 t="b">
        <v>0</v>
      </c>
      <c r="AO388" s="258"/>
      <c r="AP388" s="346"/>
      <c r="AQ388" s="300"/>
      <c r="AR388" s="300"/>
      <c r="AS388" s="345"/>
      <c r="AT388" s="345"/>
      <c r="AU388" s="300"/>
      <c r="AV388" s="286" t="b">
        <v>0</v>
      </c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263"/>
      <c r="B389" s="194"/>
      <c r="C389" s="61"/>
      <c r="D389" s="61"/>
      <c r="E389" s="81"/>
      <c r="F389" s="81"/>
      <c r="G389" s="61"/>
      <c r="H389" s="269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 t="b">
        <v>0</v>
      </c>
      <c r="AO389" s="258"/>
      <c r="AP389" s="346"/>
      <c r="AQ389" s="300"/>
      <c r="AR389" s="300"/>
      <c r="AS389" s="345"/>
      <c r="AT389" s="345"/>
      <c r="AU389" s="300"/>
      <c r="AV389" s="286" t="b">
        <v>0</v>
      </c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263"/>
      <c r="B390" s="194"/>
      <c r="C390" s="61"/>
      <c r="D390" s="61"/>
      <c r="E390" s="81"/>
      <c r="F390" s="81"/>
      <c r="G390" s="61"/>
      <c r="H390" s="269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 t="b">
        <v>0</v>
      </c>
      <c r="AO390" s="258"/>
      <c r="AP390" s="346"/>
      <c r="AQ390" s="300"/>
      <c r="AR390" s="300"/>
      <c r="AS390" s="345"/>
      <c r="AT390" s="345"/>
      <c r="AU390" s="300"/>
      <c r="AV390" s="286" t="b">
        <v>0</v>
      </c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263"/>
      <c r="B391" s="194"/>
      <c r="C391" s="61"/>
      <c r="D391" s="61"/>
      <c r="E391" s="81"/>
      <c r="F391" s="81"/>
      <c r="G391" s="61"/>
      <c r="H391" s="269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 t="b">
        <v>0</v>
      </c>
      <c r="AO391" s="258"/>
      <c r="AP391" s="346"/>
      <c r="AQ391" s="300"/>
      <c r="AR391" s="300"/>
      <c r="AS391" s="345"/>
      <c r="AT391" s="345"/>
      <c r="AU391" s="300"/>
      <c r="AV391" s="286" t="b">
        <v>0</v>
      </c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263"/>
      <c r="B392" s="194"/>
      <c r="C392" s="61"/>
      <c r="D392" s="61"/>
      <c r="E392" s="81"/>
      <c r="F392" s="81"/>
      <c r="G392" s="61"/>
      <c r="H392" s="269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 t="b">
        <v>0</v>
      </c>
      <c r="AO392" s="258"/>
      <c r="AP392" s="346"/>
      <c r="AQ392" s="300"/>
      <c r="AR392" s="300"/>
      <c r="AS392" s="345"/>
      <c r="AT392" s="345"/>
      <c r="AU392" s="300"/>
      <c r="AV392" s="286" t="b">
        <v>0</v>
      </c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263"/>
      <c r="B393" s="194"/>
      <c r="C393" s="61"/>
      <c r="D393" s="61"/>
      <c r="E393" s="81"/>
      <c r="F393" s="81"/>
      <c r="G393" s="61"/>
      <c r="H393" s="269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 t="b">
        <v>0</v>
      </c>
      <c r="AO393" s="258"/>
      <c r="AP393" s="346"/>
      <c r="AQ393" s="300"/>
      <c r="AR393" s="300"/>
      <c r="AS393" s="345"/>
      <c r="AT393" s="345"/>
      <c r="AU393" s="300"/>
      <c r="AV393" s="286" t="b">
        <v>0</v>
      </c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263"/>
      <c r="B394" s="194"/>
      <c r="C394" s="61"/>
      <c r="D394" s="61"/>
      <c r="E394" s="81"/>
      <c r="F394" s="81"/>
      <c r="G394" s="61"/>
      <c r="H394" s="269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 t="b">
        <v>0</v>
      </c>
      <c r="AO394" s="258"/>
      <c r="AP394" s="346"/>
      <c r="AQ394" s="300"/>
      <c r="AR394" s="300"/>
      <c r="AS394" s="345"/>
      <c r="AT394" s="345"/>
      <c r="AU394" s="300"/>
      <c r="AV394" s="286" t="b">
        <v>0</v>
      </c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263"/>
      <c r="B395" s="194"/>
      <c r="C395" s="61"/>
      <c r="D395" s="61"/>
      <c r="E395" s="81"/>
      <c r="F395" s="81"/>
      <c r="G395" s="61"/>
      <c r="H395" s="269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 t="b">
        <v>0</v>
      </c>
      <c r="AO395" s="258"/>
      <c r="AP395" s="346"/>
      <c r="AQ395" s="300"/>
      <c r="AR395" s="300"/>
      <c r="AS395" s="345"/>
      <c r="AT395" s="345"/>
      <c r="AU395" s="300"/>
      <c r="AV395" s="286" t="b">
        <v>0</v>
      </c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263"/>
      <c r="B396" s="194"/>
      <c r="C396" s="61"/>
      <c r="D396" s="61"/>
      <c r="E396" s="81"/>
      <c r="F396" s="81"/>
      <c r="G396" s="61"/>
      <c r="H396" s="269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 t="b">
        <v>0</v>
      </c>
      <c r="AO396" s="258"/>
      <c r="AP396" s="346"/>
      <c r="AQ396" s="300"/>
      <c r="AR396" s="300"/>
      <c r="AS396" s="345"/>
      <c r="AT396" s="345"/>
      <c r="AU396" s="300"/>
      <c r="AV396" s="286" t="b">
        <v>0</v>
      </c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263"/>
      <c r="B397" s="194"/>
      <c r="C397" s="61"/>
      <c r="D397" s="61"/>
      <c r="E397" s="81"/>
      <c r="F397" s="81"/>
      <c r="G397" s="61"/>
      <c r="H397" s="269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 t="b">
        <v>0</v>
      </c>
      <c r="AO397" s="258"/>
      <c r="AP397" s="346"/>
      <c r="AQ397" s="300"/>
      <c r="AR397" s="300"/>
      <c r="AS397" s="345"/>
      <c r="AT397" s="345"/>
      <c r="AU397" s="300"/>
      <c r="AV397" s="286" t="b">
        <v>0</v>
      </c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263"/>
      <c r="B398" s="194"/>
      <c r="C398" s="61"/>
      <c r="D398" s="61"/>
      <c r="E398" s="81"/>
      <c r="F398" s="81"/>
      <c r="G398" s="61"/>
      <c r="H398" s="269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 t="b">
        <v>0</v>
      </c>
      <c r="AO398" s="258"/>
      <c r="AP398" s="346"/>
      <c r="AQ398" s="300"/>
      <c r="AR398" s="300"/>
      <c r="AS398" s="345"/>
      <c r="AT398" s="345"/>
      <c r="AU398" s="300"/>
      <c r="AV398" s="286" t="b">
        <v>0</v>
      </c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263"/>
      <c r="B399" s="194"/>
      <c r="C399" s="61"/>
      <c r="D399" s="61"/>
      <c r="E399" s="81"/>
      <c r="F399" s="81"/>
      <c r="G399" s="61"/>
      <c r="H399" s="269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 t="b">
        <v>0</v>
      </c>
      <c r="AO399" s="258"/>
      <c r="AP399" s="346"/>
      <c r="AQ399" s="300"/>
      <c r="AR399" s="300"/>
      <c r="AS399" s="345"/>
      <c r="AT399" s="345"/>
      <c r="AU399" s="300"/>
      <c r="AV399" s="286" t="b">
        <v>0</v>
      </c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263"/>
      <c r="B400" s="194"/>
      <c r="C400" s="61"/>
      <c r="D400" s="61"/>
      <c r="E400" s="81"/>
      <c r="F400" s="81"/>
      <c r="G400" s="61"/>
      <c r="H400" s="269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 t="b">
        <v>0</v>
      </c>
      <c r="AO400" s="258"/>
      <c r="AP400" s="346"/>
      <c r="AQ400" s="300"/>
      <c r="AR400" s="300"/>
      <c r="AS400" s="345"/>
      <c r="AT400" s="345"/>
      <c r="AU400" s="300"/>
      <c r="AV400" s="286" t="b">
        <v>0</v>
      </c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263"/>
      <c r="B401" s="194"/>
      <c r="C401" s="61"/>
      <c r="D401" s="61"/>
      <c r="E401" s="81"/>
      <c r="F401" s="81"/>
      <c r="G401" s="61"/>
      <c r="H401" s="269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 t="b">
        <v>0</v>
      </c>
      <c r="AO401" s="258"/>
      <c r="AP401" s="346"/>
      <c r="AQ401" s="300"/>
      <c r="AR401" s="300"/>
      <c r="AS401" s="345"/>
      <c r="AT401" s="345"/>
      <c r="AU401" s="300"/>
      <c r="AV401" s="286" t="b">
        <v>0</v>
      </c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263"/>
      <c r="B402" s="194"/>
      <c r="C402" s="61"/>
      <c r="D402" s="61"/>
      <c r="E402" s="81"/>
      <c r="F402" s="81"/>
      <c r="G402" s="61"/>
      <c r="H402" s="269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 t="b">
        <v>0</v>
      </c>
      <c r="AO402" s="258"/>
      <c r="AP402" s="346"/>
      <c r="AQ402" s="300"/>
      <c r="AR402" s="300"/>
      <c r="AS402" s="345"/>
      <c r="AT402" s="345"/>
      <c r="AU402" s="300"/>
      <c r="AV402" s="286" t="b">
        <v>0</v>
      </c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263"/>
      <c r="B403" s="194"/>
      <c r="C403" s="61"/>
      <c r="D403" s="61"/>
      <c r="E403" s="81"/>
      <c r="F403" s="81"/>
      <c r="G403" s="61"/>
      <c r="H403" s="269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 t="b">
        <v>0</v>
      </c>
      <c r="AO403" s="258"/>
      <c r="AP403" s="346"/>
      <c r="AQ403" s="300"/>
      <c r="AR403" s="300"/>
      <c r="AS403" s="345"/>
      <c r="AT403" s="345"/>
      <c r="AU403" s="300"/>
      <c r="AV403" s="286" t="b">
        <v>0</v>
      </c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263"/>
      <c r="B404" s="194"/>
      <c r="C404" s="61"/>
      <c r="D404" s="61"/>
      <c r="E404" s="81"/>
      <c r="F404" s="81"/>
      <c r="G404" s="61"/>
      <c r="H404" s="269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 t="b">
        <v>0</v>
      </c>
      <c r="AO404" s="258"/>
      <c r="AP404" s="346"/>
      <c r="AQ404" s="300"/>
      <c r="AR404" s="300"/>
      <c r="AS404" s="345"/>
      <c r="AT404" s="345"/>
      <c r="AU404" s="300"/>
      <c r="AV404" s="286" t="b">
        <v>0</v>
      </c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263"/>
      <c r="B405" s="194"/>
      <c r="C405" s="61"/>
      <c r="D405" s="61"/>
      <c r="E405" s="81"/>
      <c r="F405" s="81"/>
      <c r="G405" s="61"/>
      <c r="H405" s="269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 t="b">
        <v>0</v>
      </c>
      <c r="AO405" s="258"/>
      <c r="AP405" s="346"/>
      <c r="AQ405" s="300"/>
      <c r="AR405" s="300"/>
      <c r="AS405" s="345"/>
      <c r="AT405" s="345"/>
      <c r="AU405" s="300"/>
      <c r="AV405" s="286" t="b">
        <v>0</v>
      </c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263"/>
      <c r="B406" s="194"/>
      <c r="C406" s="61"/>
      <c r="D406" s="61"/>
      <c r="E406" s="81"/>
      <c r="F406" s="81"/>
      <c r="G406" s="61"/>
      <c r="H406" s="269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 t="b">
        <v>0</v>
      </c>
      <c r="AO406" s="258"/>
      <c r="AP406" s="346"/>
      <c r="AQ406" s="300"/>
      <c r="AR406" s="300"/>
      <c r="AS406" s="345"/>
      <c r="AT406" s="345"/>
      <c r="AU406" s="300"/>
      <c r="AV406" s="286" t="b">
        <v>0</v>
      </c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263"/>
      <c r="B407" s="194"/>
      <c r="C407" s="61"/>
      <c r="D407" s="61"/>
      <c r="E407" s="81"/>
      <c r="F407" s="81"/>
      <c r="G407" s="61"/>
      <c r="H407" s="269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 t="b">
        <v>0</v>
      </c>
      <c r="AO407" s="258"/>
      <c r="AP407" s="346"/>
      <c r="AQ407" s="300"/>
      <c r="AR407" s="300"/>
      <c r="AS407" s="345"/>
      <c r="AT407" s="345"/>
      <c r="AU407" s="300"/>
      <c r="AV407" s="286" t="b">
        <v>0</v>
      </c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263"/>
      <c r="B408" s="194"/>
      <c r="C408" s="61"/>
      <c r="D408" s="61"/>
      <c r="E408" s="81"/>
      <c r="F408" s="81"/>
      <c r="G408" s="61"/>
      <c r="H408" s="269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 t="b">
        <v>0</v>
      </c>
      <c r="AO408" s="258"/>
      <c r="AP408" s="346"/>
      <c r="AQ408" s="300"/>
      <c r="AR408" s="300"/>
      <c r="AS408" s="345"/>
      <c r="AT408" s="345"/>
      <c r="AU408" s="300"/>
      <c r="AV408" s="286" t="b">
        <v>0</v>
      </c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263"/>
      <c r="B409" s="194"/>
      <c r="C409" s="61"/>
      <c r="D409" s="61"/>
      <c r="E409" s="81"/>
      <c r="F409" s="81"/>
      <c r="G409" s="61"/>
      <c r="H409" s="269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 t="b">
        <v>0</v>
      </c>
      <c r="AO409" s="258"/>
      <c r="AP409" s="346"/>
      <c r="AQ409" s="300"/>
      <c r="AR409" s="300"/>
      <c r="AS409" s="345"/>
      <c r="AT409" s="345"/>
      <c r="AU409" s="300"/>
      <c r="AV409" s="286" t="b">
        <v>0</v>
      </c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263"/>
      <c r="B410" s="194"/>
      <c r="C410" s="61"/>
      <c r="D410" s="61"/>
      <c r="E410" s="81"/>
      <c r="F410" s="81"/>
      <c r="G410" s="61"/>
      <c r="H410" s="269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 t="b">
        <v>0</v>
      </c>
      <c r="AO410" s="258"/>
      <c r="AP410" s="346"/>
      <c r="AQ410" s="300"/>
      <c r="AR410" s="300"/>
      <c r="AS410" s="345"/>
      <c r="AT410" s="345"/>
      <c r="AU410" s="300"/>
      <c r="AV410" s="286" t="b">
        <v>0</v>
      </c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263"/>
      <c r="B411" s="194"/>
      <c r="C411" s="61"/>
      <c r="D411" s="61"/>
      <c r="E411" s="81"/>
      <c r="F411" s="81"/>
      <c r="G411" s="61"/>
      <c r="H411" s="269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 t="b">
        <v>0</v>
      </c>
      <c r="AO411" s="258"/>
      <c r="AP411" s="346"/>
      <c r="AQ411" s="300"/>
      <c r="AR411" s="300"/>
      <c r="AS411" s="345"/>
      <c r="AT411" s="345"/>
      <c r="AU411" s="300"/>
      <c r="AV411" s="286" t="b">
        <v>0</v>
      </c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263"/>
      <c r="B412" s="194"/>
      <c r="C412" s="61"/>
      <c r="D412" s="61"/>
      <c r="E412" s="81"/>
      <c r="F412" s="81"/>
      <c r="G412" s="61"/>
      <c r="H412" s="269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 t="b">
        <v>0</v>
      </c>
      <c r="AO412" s="258"/>
      <c r="AP412" s="346"/>
      <c r="AQ412" s="300"/>
      <c r="AR412" s="300"/>
      <c r="AS412" s="345"/>
      <c r="AT412" s="345"/>
      <c r="AU412" s="300"/>
      <c r="AV412" s="286" t="b">
        <v>0</v>
      </c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263"/>
      <c r="B413" s="194"/>
      <c r="C413" s="61"/>
      <c r="D413" s="61"/>
      <c r="E413" s="81"/>
      <c r="F413" s="81"/>
      <c r="G413" s="61"/>
      <c r="H413" s="269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 t="b">
        <v>0</v>
      </c>
      <c r="AO413" s="258"/>
      <c r="AP413" s="346"/>
      <c r="AQ413" s="300"/>
      <c r="AR413" s="300"/>
      <c r="AS413" s="345"/>
      <c r="AT413" s="345"/>
      <c r="AU413" s="300"/>
      <c r="AV413" s="286" t="b">
        <v>0</v>
      </c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263"/>
      <c r="B414" s="194"/>
      <c r="C414" s="61"/>
      <c r="D414" s="61"/>
      <c r="E414" s="81"/>
      <c r="F414" s="81"/>
      <c r="G414" s="61"/>
      <c r="H414" s="269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 t="b">
        <v>0</v>
      </c>
      <c r="AO414" s="258"/>
      <c r="AP414" s="346"/>
      <c r="AQ414" s="300"/>
      <c r="AR414" s="300"/>
      <c r="AS414" s="345"/>
      <c r="AT414" s="345"/>
      <c r="AU414" s="300"/>
      <c r="AV414" s="286" t="b">
        <v>0</v>
      </c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263"/>
      <c r="B415" s="194"/>
      <c r="C415" s="61"/>
      <c r="D415" s="61"/>
      <c r="E415" s="81"/>
      <c r="F415" s="81"/>
      <c r="G415" s="61"/>
      <c r="H415" s="269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 t="b">
        <v>0</v>
      </c>
      <c r="AO415" s="258"/>
      <c r="AP415" s="346"/>
      <c r="AQ415" s="300"/>
      <c r="AR415" s="300"/>
      <c r="AS415" s="345"/>
      <c r="AT415" s="345"/>
      <c r="AU415" s="300"/>
      <c r="AV415" s="286" t="b">
        <v>0</v>
      </c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263"/>
      <c r="B416" s="194"/>
      <c r="C416" s="61"/>
      <c r="D416" s="61"/>
      <c r="E416" s="81"/>
      <c r="F416" s="81"/>
      <c r="G416" s="61"/>
      <c r="H416" s="269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 t="b">
        <v>0</v>
      </c>
      <c r="AO416" s="258"/>
      <c r="AP416" s="346"/>
      <c r="AQ416" s="300"/>
      <c r="AR416" s="300"/>
      <c r="AS416" s="345"/>
      <c r="AT416" s="345"/>
      <c r="AU416" s="300"/>
      <c r="AV416" s="286" t="b">
        <v>0</v>
      </c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263"/>
      <c r="B417" s="194"/>
      <c r="C417" s="61"/>
      <c r="D417" s="61"/>
      <c r="E417" s="81"/>
      <c r="F417" s="81"/>
      <c r="G417" s="61"/>
      <c r="H417" s="269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 t="b">
        <v>0</v>
      </c>
      <c r="AO417" s="258"/>
      <c r="AP417" s="346"/>
      <c r="AQ417" s="300"/>
      <c r="AR417" s="300"/>
      <c r="AS417" s="345"/>
      <c r="AT417" s="345"/>
      <c r="AU417" s="300"/>
      <c r="AV417" s="286" t="b">
        <v>0</v>
      </c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263"/>
      <c r="B418" s="194"/>
      <c r="C418" s="61"/>
      <c r="D418" s="61"/>
      <c r="E418" s="81"/>
      <c r="F418" s="81"/>
      <c r="G418" s="61"/>
      <c r="H418" s="269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 t="b">
        <v>0</v>
      </c>
      <c r="AO418" s="258"/>
      <c r="AP418" s="346"/>
      <c r="AQ418" s="300"/>
      <c r="AR418" s="300"/>
      <c r="AS418" s="345"/>
      <c r="AT418" s="345"/>
      <c r="AU418" s="300"/>
      <c r="AV418" s="286" t="b">
        <v>0</v>
      </c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263"/>
      <c r="B419" s="194"/>
      <c r="C419" s="61"/>
      <c r="D419" s="61"/>
      <c r="E419" s="81"/>
      <c r="F419" s="81"/>
      <c r="G419" s="61"/>
      <c r="H419" s="269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 t="b">
        <v>0</v>
      </c>
      <c r="AO419" s="258"/>
      <c r="AP419" s="346"/>
      <c r="AQ419" s="300"/>
      <c r="AR419" s="300"/>
      <c r="AS419" s="345"/>
      <c r="AT419" s="345"/>
      <c r="AU419" s="300"/>
      <c r="AV419" s="286" t="b">
        <v>0</v>
      </c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263"/>
      <c r="B420" s="194"/>
      <c r="C420" s="61"/>
      <c r="D420" s="61"/>
      <c r="E420" s="81"/>
      <c r="F420" s="81"/>
      <c r="G420" s="61"/>
      <c r="H420" s="269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 t="b">
        <v>0</v>
      </c>
      <c r="AO420" s="258"/>
      <c r="AP420" s="346"/>
      <c r="AQ420" s="300"/>
      <c r="AR420" s="300"/>
      <c r="AS420" s="345"/>
      <c r="AT420" s="345"/>
      <c r="AU420" s="300"/>
      <c r="AV420" s="286" t="b">
        <v>0</v>
      </c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263"/>
      <c r="B421" s="194"/>
      <c r="C421" s="61"/>
      <c r="D421" s="61"/>
      <c r="E421" s="81"/>
      <c r="F421" s="81"/>
      <c r="G421" s="61"/>
      <c r="H421" s="269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 t="b">
        <v>0</v>
      </c>
      <c r="AO421" s="258"/>
      <c r="AP421" s="346"/>
      <c r="AQ421" s="300"/>
      <c r="AR421" s="300"/>
      <c r="AS421" s="345"/>
      <c r="AT421" s="345"/>
      <c r="AU421" s="300"/>
      <c r="AV421" s="286" t="b">
        <v>0</v>
      </c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263"/>
      <c r="B422" s="194"/>
      <c r="C422" s="61"/>
      <c r="D422" s="61"/>
      <c r="E422" s="81"/>
      <c r="F422" s="81"/>
      <c r="G422" s="61"/>
      <c r="H422" s="269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 t="b">
        <v>0</v>
      </c>
      <c r="AO422" s="258"/>
      <c r="AP422" s="346"/>
      <c r="AQ422" s="300"/>
      <c r="AR422" s="300"/>
      <c r="AS422" s="345"/>
      <c r="AT422" s="345"/>
      <c r="AU422" s="300"/>
      <c r="AV422" s="286" t="b">
        <v>0</v>
      </c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263"/>
      <c r="B423" s="194"/>
      <c r="C423" s="61"/>
      <c r="D423" s="61"/>
      <c r="E423" s="81"/>
      <c r="F423" s="81"/>
      <c r="G423" s="61"/>
      <c r="H423" s="269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 t="b">
        <v>0</v>
      </c>
      <c r="AO423" s="258"/>
      <c r="AP423" s="346"/>
      <c r="AQ423" s="300"/>
      <c r="AR423" s="300"/>
      <c r="AS423" s="345"/>
      <c r="AT423" s="345"/>
      <c r="AU423" s="300"/>
      <c r="AV423" s="286" t="b">
        <v>0</v>
      </c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263"/>
      <c r="B424" s="194"/>
      <c r="C424" s="61"/>
      <c r="D424" s="61"/>
      <c r="E424" s="81"/>
      <c r="F424" s="81"/>
      <c r="G424" s="61"/>
      <c r="H424" s="269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 t="b">
        <v>0</v>
      </c>
      <c r="AO424" s="258"/>
      <c r="AP424" s="346"/>
      <c r="AQ424" s="300"/>
      <c r="AR424" s="300"/>
      <c r="AS424" s="345"/>
      <c r="AT424" s="345"/>
      <c r="AU424" s="300"/>
      <c r="AV424" s="286" t="b">
        <v>0</v>
      </c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263"/>
      <c r="B425" s="194"/>
      <c r="C425" s="61"/>
      <c r="D425" s="61"/>
      <c r="E425" s="81"/>
      <c r="F425" s="81"/>
      <c r="G425" s="61"/>
      <c r="H425" s="269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 t="b">
        <v>0</v>
      </c>
      <c r="AO425" s="258"/>
      <c r="AP425" s="346"/>
      <c r="AQ425" s="300"/>
      <c r="AR425" s="300"/>
      <c r="AS425" s="345"/>
      <c r="AT425" s="345"/>
      <c r="AU425" s="300"/>
      <c r="AV425" s="286" t="b">
        <v>0</v>
      </c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263"/>
      <c r="B426" s="194"/>
      <c r="C426" s="61"/>
      <c r="D426" s="61"/>
      <c r="E426" s="81"/>
      <c r="F426" s="81"/>
      <c r="G426" s="61"/>
      <c r="H426" s="269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 t="b">
        <v>0</v>
      </c>
      <c r="AO426" s="258"/>
      <c r="AP426" s="346"/>
      <c r="AQ426" s="300"/>
      <c r="AR426" s="300"/>
      <c r="AS426" s="345"/>
      <c r="AT426" s="345"/>
      <c r="AU426" s="300"/>
      <c r="AV426" s="286" t="b">
        <v>0</v>
      </c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263"/>
      <c r="B427" s="194"/>
      <c r="C427" s="61"/>
      <c r="D427" s="61"/>
      <c r="E427" s="81"/>
      <c r="F427" s="81"/>
      <c r="G427" s="61"/>
      <c r="H427" s="269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 t="b">
        <v>0</v>
      </c>
      <c r="AO427" s="258"/>
      <c r="AP427" s="346"/>
      <c r="AQ427" s="300"/>
      <c r="AR427" s="300"/>
      <c r="AS427" s="345"/>
      <c r="AT427" s="345"/>
      <c r="AU427" s="300"/>
      <c r="AV427" s="286" t="b">
        <v>0</v>
      </c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263"/>
      <c r="B428" s="194"/>
      <c r="C428" s="61"/>
      <c r="D428" s="61"/>
      <c r="E428" s="81"/>
      <c r="F428" s="81"/>
      <c r="G428" s="61"/>
      <c r="H428" s="269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 t="b">
        <v>0</v>
      </c>
      <c r="AO428" s="258"/>
      <c r="AP428" s="346"/>
      <c r="AQ428" s="300"/>
      <c r="AR428" s="300"/>
      <c r="AS428" s="345"/>
      <c r="AT428" s="345"/>
      <c r="AU428" s="300"/>
      <c r="AV428" s="286" t="b">
        <v>0</v>
      </c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263"/>
      <c r="B429" s="194"/>
      <c r="C429" s="61"/>
      <c r="D429" s="61"/>
      <c r="E429" s="81"/>
      <c r="F429" s="81"/>
      <c r="G429" s="61"/>
      <c r="H429" s="269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 t="b">
        <v>0</v>
      </c>
      <c r="AO429" s="258"/>
      <c r="AP429" s="346"/>
      <c r="AQ429" s="300"/>
      <c r="AR429" s="300"/>
      <c r="AS429" s="345"/>
      <c r="AT429" s="345"/>
      <c r="AU429" s="300"/>
      <c r="AV429" s="286" t="b">
        <v>0</v>
      </c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263"/>
      <c r="B430" s="194"/>
      <c r="C430" s="61"/>
      <c r="D430" s="61"/>
      <c r="E430" s="81"/>
      <c r="F430" s="81"/>
      <c r="G430" s="61"/>
      <c r="H430" s="269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 t="b">
        <v>0</v>
      </c>
      <c r="AO430" s="258"/>
      <c r="AP430" s="346"/>
      <c r="AQ430" s="300"/>
      <c r="AR430" s="300"/>
      <c r="AS430" s="345"/>
      <c r="AT430" s="345"/>
      <c r="AU430" s="300"/>
      <c r="AV430" s="286" t="b">
        <v>0</v>
      </c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263"/>
      <c r="B431" s="194"/>
      <c r="C431" s="61"/>
      <c r="D431" s="61"/>
      <c r="E431" s="81"/>
      <c r="F431" s="81"/>
      <c r="G431" s="61"/>
      <c r="H431" s="269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 t="b">
        <v>0</v>
      </c>
      <c r="AO431" s="258"/>
      <c r="AP431" s="346"/>
      <c r="AQ431" s="300"/>
      <c r="AR431" s="300"/>
      <c r="AS431" s="345"/>
      <c r="AT431" s="345"/>
      <c r="AU431" s="300"/>
      <c r="AV431" s="286" t="b">
        <v>0</v>
      </c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263"/>
      <c r="B432" s="194"/>
      <c r="C432" s="61"/>
      <c r="D432" s="61"/>
      <c r="E432" s="81"/>
      <c r="F432" s="81"/>
      <c r="G432" s="61"/>
      <c r="H432" s="269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 t="b">
        <v>0</v>
      </c>
      <c r="AO432" s="258"/>
      <c r="AP432" s="346"/>
      <c r="AQ432" s="300"/>
      <c r="AR432" s="300"/>
      <c r="AS432" s="345"/>
      <c r="AT432" s="345"/>
      <c r="AU432" s="300"/>
      <c r="AV432" s="286" t="b">
        <v>0</v>
      </c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263"/>
      <c r="B433" s="194"/>
      <c r="C433" s="61"/>
      <c r="D433" s="61"/>
      <c r="E433" s="81"/>
      <c r="F433" s="81"/>
      <c r="G433" s="61"/>
      <c r="H433" s="269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 t="b">
        <v>0</v>
      </c>
      <c r="AO433" s="258"/>
      <c r="AP433" s="346"/>
      <c r="AQ433" s="300"/>
      <c r="AR433" s="300"/>
      <c r="AS433" s="345"/>
      <c r="AT433" s="345"/>
      <c r="AU433" s="300"/>
      <c r="AV433" s="286" t="b">
        <v>0</v>
      </c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263"/>
      <c r="B434" s="194"/>
      <c r="C434" s="61"/>
      <c r="D434" s="61"/>
      <c r="E434" s="81"/>
      <c r="F434" s="81"/>
      <c r="G434" s="61"/>
      <c r="H434" s="269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 t="b">
        <v>0</v>
      </c>
      <c r="AO434" s="258"/>
      <c r="AP434" s="346"/>
      <c r="AQ434" s="300"/>
      <c r="AR434" s="300"/>
      <c r="AS434" s="345"/>
      <c r="AT434" s="345"/>
      <c r="AU434" s="300"/>
      <c r="AV434" s="286" t="b">
        <v>0</v>
      </c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263"/>
      <c r="B435" s="194"/>
      <c r="C435" s="61"/>
      <c r="D435" s="61"/>
      <c r="E435" s="81"/>
      <c r="F435" s="81"/>
      <c r="G435" s="61"/>
      <c r="H435" s="269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 t="b">
        <v>0</v>
      </c>
      <c r="AO435" s="258"/>
      <c r="AP435" s="346"/>
      <c r="AQ435" s="300"/>
      <c r="AR435" s="300"/>
      <c r="AS435" s="345"/>
      <c r="AT435" s="345"/>
      <c r="AU435" s="300"/>
      <c r="AV435" s="286" t="b">
        <v>0</v>
      </c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263"/>
      <c r="B436" s="194"/>
      <c r="C436" s="61"/>
      <c r="D436" s="61"/>
      <c r="E436" s="81"/>
      <c r="F436" s="81"/>
      <c r="G436" s="61"/>
      <c r="H436" s="269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 t="b">
        <v>0</v>
      </c>
      <c r="AO436" s="258"/>
      <c r="AP436" s="346"/>
      <c r="AQ436" s="300"/>
      <c r="AR436" s="300"/>
      <c r="AS436" s="345"/>
      <c r="AT436" s="345"/>
      <c r="AU436" s="300"/>
      <c r="AV436" s="286" t="b">
        <v>0</v>
      </c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263"/>
      <c r="B437" s="194"/>
      <c r="C437" s="61"/>
      <c r="D437" s="61"/>
      <c r="E437" s="81"/>
      <c r="F437" s="81"/>
      <c r="G437" s="61"/>
      <c r="H437" s="269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 t="b">
        <v>0</v>
      </c>
      <c r="AO437" s="258"/>
      <c r="AP437" s="346"/>
      <c r="AQ437" s="300"/>
      <c r="AR437" s="300"/>
      <c r="AS437" s="345"/>
      <c r="AT437" s="345"/>
      <c r="AU437" s="300"/>
      <c r="AV437" s="286" t="b">
        <v>0</v>
      </c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263"/>
      <c r="B438" s="194"/>
      <c r="C438" s="61"/>
      <c r="D438" s="61"/>
      <c r="E438" s="81"/>
      <c r="F438" s="81"/>
      <c r="G438" s="61"/>
      <c r="H438" s="269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 t="b">
        <v>0</v>
      </c>
      <c r="AO438" s="258"/>
      <c r="AP438" s="346"/>
      <c r="AQ438" s="300"/>
      <c r="AR438" s="300"/>
      <c r="AS438" s="345"/>
      <c r="AT438" s="345"/>
      <c r="AU438" s="300"/>
      <c r="AV438" s="286" t="b">
        <v>0</v>
      </c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263"/>
      <c r="B439" s="194"/>
      <c r="C439" s="61"/>
      <c r="D439" s="61"/>
      <c r="E439" s="81"/>
      <c r="F439" s="81"/>
      <c r="G439" s="61"/>
      <c r="H439" s="269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 t="b">
        <v>0</v>
      </c>
      <c r="AO439" s="258"/>
      <c r="AP439" s="346"/>
      <c r="AQ439" s="300"/>
      <c r="AR439" s="300"/>
      <c r="AS439" s="345"/>
      <c r="AT439" s="345"/>
      <c r="AU439" s="300"/>
      <c r="AV439" s="286" t="b">
        <v>0</v>
      </c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263"/>
      <c r="B440" s="194"/>
      <c r="C440" s="61"/>
      <c r="D440" s="61"/>
      <c r="E440" s="81"/>
      <c r="F440" s="81"/>
      <c r="G440" s="61"/>
      <c r="H440" s="269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 t="b">
        <v>0</v>
      </c>
      <c r="AO440" s="258"/>
      <c r="AP440" s="346"/>
      <c r="AQ440" s="300"/>
      <c r="AR440" s="300"/>
      <c r="AS440" s="345"/>
      <c r="AT440" s="345"/>
      <c r="AU440" s="300"/>
      <c r="AV440" s="286" t="b">
        <v>0</v>
      </c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263"/>
      <c r="B441" s="194"/>
      <c r="C441" s="61"/>
      <c r="D441" s="61"/>
      <c r="E441" s="81"/>
      <c r="F441" s="81"/>
      <c r="G441" s="61"/>
      <c r="H441" s="269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 t="b">
        <v>0</v>
      </c>
      <c r="AO441" s="258"/>
      <c r="AP441" s="346"/>
      <c r="AQ441" s="300"/>
      <c r="AR441" s="300"/>
      <c r="AS441" s="345"/>
      <c r="AT441" s="345"/>
      <c r="AU441" s="300"/>
      <c r="AV441" s="286" t="b">
        <v>0</v>
      </c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263"/>
      <c r="B442" s="194"/>
      <c r="C442" s="61"/>
      <c r="D442" s="61"/>
      <c r="E442" s="81"/>
      <c r="F442" s="81"/>
      <c r="G442" s="61"/>
      <c r="H442" s="269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 t="b">
        <v>0</v>
      </c>
      <c r="AO442" s="258"/>
      <c r="AP442" s="346"/>
      <c r="AQ442" s="300"/>
      <c r="AR442" s="300"/>
      <c r="AS442" s="345"/>
      <c r="AT442" s="345"/>
      <c r="AU442" s="300"/>
      <c r="AV442" s="286" t="b">
        <v>0</v>
      </c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263"/>
      <c r="B443" s="194"/>
      <c r="C443" s="61"/>
      <c r="D443" s="61"/>
      <c r="E443" s="81"/>
      <c r="F443" s="81"/>
      <c r="G443" s="61"/>
      <c r="H443" s="269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 t="b">
        <v>0</v>
      </c>
      <c r="AO443" s="258"/>
      <c r="AP443" s="346"/>
      <c r="AQ443" s="300"/>
      <c r="AR443" s="300"/>
      <c r="AS443" s="345"/>
      <c r="AT443" s="345"/>
      <c r="AU443" s="300"/>
      <c r="AV443" s="286" t="b">
        <v>0</v>
      </c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263"/>
      <c r="B444" s="194"/>
      <c r="C444" s="61"/>
      <c r="D444" s="61"/>
      <c r="E444" s="81"/>
      <c r="F444" s="81"/>
      <c r="G444" s="61"/>
      <c r="H444" s="269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 t="b">
        <v>0</v>
      </c>
      <c r="AO444" s="258"/>
      <c r="AP444" s="346"/>
      <c r="AQ444" s="300"/>
      <c r="AR444" s="300"/>
      <c r="AS444" s="345"/>
      <c r="AT444" s="345"/>
      <c r="AU444" s="300"/>
      <c r="AV444" s="286" t="b">
        <v>0</v>
      </c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263"/>
      <c r="B445" s="194"/>
      <c r="C445" s="61"/>
      <c r="D445" s="61"/>
      <c r="E445" s="81"/>
      <c r="F445" s="81"/>
      <c r="G445" s="61"/>
      <c r="H445" s="269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 t="b">
        <v>0</v>
      </c>
      <c r="AO445" s="258"/>
      <c r="AP445" s="346"/>
      <c r="AQ445" s="300"/>
      <c r="AR445" s="300"/>
      <c r="AS445" s="345"/>
      <c r="AT445" s="345"/>
      <c r="AU445" s="300"/>
      <c r="AV445" s="286" t="b">
        <v>0</v>
      </c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263"/>
      <c r="B446" s="194"/>
      <c r="C446" s="61"/>
      <c r="D446" s="61"/>
      <c r="E446" s="81"/>
      <c r="F446" s="81"/>
      <c r="G446" s="61"/>
      <c r="H446" s="269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 t="b">
        <v>0</v>
      </c>
      <c r="AO446" s="258"/>
      <c r="AP446" s="346"/>
      <c r="AQ446" s="300"/>
      <c r="AR446" s="300"/>
      <c r="AS446" s="345"/>
      <c r="AT446" s="345"/>
      <c r="AU446" s="300"/>
      <c r="AV446" s="286" t="b">
        <v>0</v>
      </c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263"/>
      <c r="B447" s="194"/>
      <c r="C447" s="61"/>
      <c r="D447" s="61"/>
      <c r="E447" s="81"/>
      <c r="F447" s="81"/>
      <c r="G447" s="61"/>
      <c r="H447" s="269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 t="b">
        <v>0</v>
      </c>
      <c r="AO447" s="258"/>
      <c r="AP447" s="346"/>
      <c r="AQ447" s="300"/>
      <c r="AR447" s="300"/>
      <c r="AS447" s="345"/>
      <c r="AT447" s="345"/>
      <c r="AU447" s="300"/>
      <c r="AV447" s="286" t="b">
        <v>0</v>
      </c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263"/>
      <c r="B448" s="194"/>
      <c r="C448" s="61"/>
      <c r="D448" s="61"/>
      <c r="E448" s="81"/>
      <c r="F448" s="81"/>
      <c r="G448" s="61"/>
      <c r="H448" s="269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 t="b">
        <v>0</v>
      </c>
      <c r="AO448" s="258"/>
      <c r="AP448" s="346"/>
      <c r="AQ448" s="300"/>
      <c r="AR448" s="300"/>
      <c r="AS448" s="345"/>
      <c r="AT448" s="345"/>
      <c r="AU448" s="300"/>
      <c r="AV448" s="286" t="b">
        <v>0</v>
      </c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263"/>
      <c r="B449" s="194"/>
      <c r="C449" s="61"/>
      <c r="D449" s="61"/>
      <c r="E449" s="81"/>
      <c r="F449" s="81"/>
      <c r="G449" s="61"/>
      <c r="H449" s="269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 t="b">
        <v>0</v>
      </c>
      <c r="AO449" s="258"/>
      <c r="AP449" s="346"/>
      <c r="AQ449" s="300"/>
      <c r="AR449" s="300"/>
      <c r="AS449" s="345"/>
      <c r="AT449" s="345"/>
      <c r="AU449" s="300"/>
      <c r="AV449" s="286" t="b">
        <v>0</v>
      </c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263"/>
      <c r="B450" s="194"/>
      <c r="C450" s="61"/>
      <c r="D450" s="61"/>
      <c r="E450" s="81"/>
      <c r="F450" s="81"/>
      <c r="G450" s="61"/>
      <c r="H450" s="269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 t="b">
        <v>0</v>
      </c>
      <c r="AO450" s="258"/>
      <c r="AP450" s="346"/>
      <c r="AQ450" s="300"/>
      <c r="AR450" s="300"/>
      <c r="AS450" s="345"/>
      <c r="AT450" s="345"/>
      <c r="AU450" s="300"/>
      <c r="AV450" s="286" t="b">
        <v>0</v>
      </c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263"/>
      <c r="B451" s="194"/>
      <c r="C451" s="61"/>
      <c r="D451" s="61"/>
      <c r="E451" s="81"/>
      <c r="F451" s="81"/>
      <c r="G451" s="61"/>
      <c r="H451" s="269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 t="b">
        <v>0</v>
      </c>
      <c r="AO451" s="258"/>
      <c r="AP451" s="346"/>
      <c r="AQ451" s="300"/>
      <c r="AR451" s="300"/>
      <c r="AS451" s="345"/>
      <c r="AT451" s="345"/>
      <c r="AU451" s="300"/>
      <c r="AV451" s="286" t="b">
        <v>0</v>
      </c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263"/>
      <c r="B452" s="194"/>
      <c r="C452" s="61"/>
      <c r="D452" s="61"/>
      <c r="E452" s="81"/>
      <c r="F452" s="81"/>
      <c r="G452" s="61"/>
      <c r="H452" s="269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 t="b">
        <v>0</v>
      </c>
      <c r="AO452" s="258"/>
      <c r="AP452" s="346"/>
      <c r="AQ452" s="300"/>
      <c r="AR452" s="300"/>
      <c r="AS452" s="345"/>
      <c r="AT452" s="345"/>
      <c r="AU452" s="300"/>
      <c r="AV452" s="286" t="b">
        <v>0</v>
      </c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263"/>
      <c r="B453" s="194"/>
      <c r="C453" s="61"/>
      <c r="D453" s="61"/>
      <c r="E453" s="81"/>
      <c r="F453" s="81"/>
      <c r="G453" s="61"/>
      <c r="H453" s="269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 t="b">
        <v>0</v>
      </c>
      <c r="AO453" s="258"/>
      <c r="AP453" s="346"/>
      <c r="AQ453" s="300"/>
      <c r="AR453" s="300"/>
      <c r="AS453" s="345"/>
      <c r="AT453" s="345"/>
      <c r="AU453" s="300"/>
      <c r="AV453" s="286" t="b">
        <v>0</v>
      </c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263"/>
      <c r="B454" s="194"/>
      <c r="C454" s="61"/>
      <c r="D454" s="61"/>
      <c r="E454" s="81"/>
      <c r="F454" s="81"/>
      <c r="G454" s="61"/>
      <c r="H454" s="269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 t="b">
        <v>0</v>
      </c>
      <c r="AO454" s="258"/>
      <c r="AP454" s="346"/>
      <c r="AQ454" s="300"/>
      <c r="AR454" s="300"/>
      <c r="AS454" s="345"/>
      <c r="AT454" s="345"/>
      <c r="AU454" s="300"/>
      <c r="AV454" s="286" t="b">
        <v>0</v>
      </c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263"/>
      <c r="B455" s="194"/>
      <c r="C455" s="61"/>
      <c r="D455" s="61"/>
      <c r="E455" s="81"/>
      <c r="F455" s="81"/>
      <c r="G455" s="61"/>
      <c r="H455" s="269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 t="b">
        <v>0</v>
      </c>
      <c r="AO455" s="258"/>
      <c r="AP455" s="346"/>
      <c r="AQ455" s="300"/>
      <c r="AR455" s="300"/>
      <c r="AS455" s="345"/>
      <c r="AT455" s="345"/>
      <c r="AU455" s="300"/>
      <c r="AV455" s="286" t="b">
        <v>0</v>
      </c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263"/>
      <c r="B456" s="194"/>
      <c r="C456" s="61"/>
      <c r="D456" s="61"/>
      <c r="E456" s="81"/>
      <c r="F456" s="81"/>
      <c r="G456" s="61"/>
      <c r="H456" s="269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 t="b">
        <v>0</v>
      </c>
      <c r="AO456" s="258"/>
      <c r="AP456" s="346"/>
      <c r="AQ456" s="300"/>
      <c r="AR456" s="300"/>
      <c r="AS456" s="345"/>
      <c r="AT456" s="345"/>
      <c r="AU456" s="300"/>
      <c r="AV456" s="286" t="b">
        <v>0</v>
      </c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263"/>
      <c r="B457" s="194"/>
      <c r="C457" s="61"/>
      <c r="D457" s="61"/>
      <c r="E457" s="81"/>
      <c r="F457" s="81"/>
      <c r="G457" s="61"/>
      <c r="H457" s="269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 t="b">
        <v>0</v>
      </c>
      <c r="AO457" s="258"/>
      <c r="AP457" s="346"/>
      <c r="AQ457" s="300"/>
      <c r="AR457" s="300"/>
      <c r="AS457" s="345"/>
      <c r="AT457" s="345"/>
      <c r="AU457" s="300"/>
      <c r="AV457" s="286" t="b">
        <v>0</v>
      </c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263"/>
      <c r="B458" s="194"/>
      <c r="C458" s="61"/>
      <c r="D458" s="61"/>
      <c r="E458" s="81"/>
      <c r="F458" s="81"/>
      <c r="G458" s="61"/>
      <c r="H458" s="269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 t="b">
        <v>0</v>
      </c>
      <c r="AO458" s="258"/>
      <c r="AP458" s="346"/>
      <c r="AQ458" s="300"/>
      <c r="AR458" s="300"/>
      <c r="AS458" s="345"/>
      <c r="AT458" s="345"/>
      <c r="AU458" s="300"/>
      <c r="AV458" s="286" t="b">
        <v>0</v>
      </c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263"/>
      <c r="B459" s="194"/>
      <c r="C459" s="61"/>
      <c r="D459" s="61"/>
      <c r="E459" s="81"/>
      <c r="F459" s="81"/>
      <c r="G459" s="61"/>
      <c r="H459" s="269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 t="b">
        <v>0</v>
      </c>
      <c r="AO459" s="258"/>
      <c r="AP459" s="346"/>
      <c r="AQ459" s="300"/>
      <c r="AR459" s="300"/>
      <c r="AS459" s="345"/>
      <c r="AT459" s="345"/>
      <c r="AU459" s="300"/>
      <c r="AV459" s="286" t="b">
        <v>0</v>
      </c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263"/>
      <c r="B460" s="194"/>
      <c r="C460" s="61"/>
      <c r="D460" s="61"/>
      <c r="E460" s="81"/>
      <c r="F460" s="81"/>
      <c r="G460" s="61"/>
      <c r="H460" s="269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 t="b">
        <v>0</v>
      </c>
      <c r="AO460" s="258"/>
      <c r="AP460" s="346"/>
      <c r="AQ460" s="300"/>
      <c r="AR460" s="300"/>
      <c r="AS460" s="345"/>
      <c r="AT460" s="345"/>
      <c r="AU460" s="300"/>
      <c r="AV460" s="286" t="b">
        <v>0</v>
      </c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263"/>
      <c r="B461" s="194"/>
      <c r="C461" s="61"/>
      <c r="D461" s="61"/>
      <c r="E461" s="81"/>
      <c r="F461" s="81"/>
      <c r="G461" s="61"/>
      <c r="H461" s="269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 t="b">
        <v>0</v>
      </c>
      <c r="AO461" s="258"/>
      <c r="AP461" s="346"/>
      <c r="AQ461" s="300"/>
      <c r="AR461" s="300"/>
      <c r="AS461" s="345"/>
      <c r="AT461" s="345"/>
      <c r="AU461" s="300"/>
      <c r="AV461" s="286" t="b">
        <v>0</v>
      </c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263"/>
      <c r="B462" s="194"/>
      <c r="C462" s="61"/>
      <c r="D462" s="61"/>
      <c r="E462" s="81"/>
      <c r="F462" s="81"/>
      <c r="G462" s="61"/>
      <c r="H462" s="269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 t="b">
        <v>0</v>
      </c>
      <c r="AO462" s="258"/>
      <c r="AP462" s="346"/>
      <c r="AQ462" s="300"/>
      <c r="AR462" s="300"/>
      <c r="AS462" s="345"/>
      <c r="AT462" s="345"/>
      <c r="AU462" s="300"/>
      <c r="AV462" s="286" t="b">
        <v>0</v>
      </c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263"/>
      <c r="B463" s="194"/>
      <c r="C463" s="61"/>
      <c r="D463" s="61"/>
      <c r="E463" s="81"/>
      <c r="F463" s="81"/>
      <c r="G463" s="61"/>
      <c r="H463" s="269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 t="b">
        <v>0</v>
      </c>
      <c r="AO463" s="258"/>
      <c r="AP463" s="346"/>
      <c r="AQ463" s="300"/>
      <c r="AR463" s="300"/>
      <c r="AS463" s="345"/>
      <c r="AT463" s="345"/>
      <c r="AU463" s="300"/>
      <c r="AV463" s="286" t="b">
        <v>0</v>
      </c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263"/>
      <c r="B464" s="194"/>
      <c r="C464" s="61"/>
      <c r="D464" s="61"/>
      <c r="E464" s="81"/>
      <c r="F464" s="81"/>
      <c r="G464" s="61"/>
      <c r="H464" s="269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 t="b">
        <v>0</v>
      </c>
      <c r="AO464" s="258"/>
      <c r="AP464" s="346"/>
      <c r="AQ464" s="300"/>
      <c r="AR464" s="300"/>
      <c r="AS464" s="345"/>
      <c r="AT464" s="345"/>
      <c r="AU464" s="300"/>
      <c r="AV464" s="286" t="b">
        <v>0</v>
      </c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263"/>
      <c r="B465" s="194"/>
      <c r="C465" s="61"/>
      <c r="D465" s="61"/>
      <c r="E465" s="81"/>
      <c r="F465" s="81"/>
      <c r="G465" s="61"/>
      <c r="H465" s="269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 t="b">
        <v>0</v>
      </c>
      <c r="AO465" s="258"/>
      <c r="AP465" s="346"/>
      <c r="AQ465" s="300"/>
      <c r="AR465" s="300"/>
      <c r="AS465" s="345"/>
      <c r="AT465" s="345"/>
      <c r="AU465" s="300"/>
      <c r="AV465" s="286" t="b">
        <v>0</v>
      </c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263"/>
      <c r="B466" s="194"/>
      <c r="C466" s="61"/>
      <c r="D466" s="61"/>
      <c r="E466" s="81"/>
      <c r="F466" s="81"/>
      <c r="G466" s="61"/>
      <c r="H466" s="269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 t="b">
        <v>0</v>
      </c>
      <c r="AO466" s="258"/>
      <c r="AP466" s="346"/>
      <c r="AQ466" s="300"/>
      <c r="AR466" s="300"/>
      <c r="AS466" s="345"/>
      <c r="AT466" s="345"/>
      <c r="AU466" s="300"/>
      <c r="AV466" s="286" t="b">
        <v>0</v>
      </c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263"/>
      <c r="B467" s="194"/>
      <c r="C467" s="61"/>
      <c r="D467" s="61"/>
      <c r="E467" s="81"/>
      <c r="F467" s="81"/>
      <c r="G467" s="61"/>
      <c r="H467" s="269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 t="b">
        <v>0</v>
      </c>
      <c r="AO467" s="258"/>
      <c r="AP467" s="346"/>
      <c r="AQ467" s="300"/>
      <c r="AR467" s="300"/>
      <c r="AS467" s="345"/>
      <c r="AT467" s="345"/>
      <c r="AU467" s="300"/>
      <c r="AV467" s="286" t="b">
        <v>0</v>
      </c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263"/>
      <c r="B468" s="194"/>
      <c r="C468" s="61"/>
      <c r="D468" s="61"/>
      <c r="E468" s="81"/>
      <c r="F468" s="81"/>
      <c r="G468" s="61"/>
      <c r="H468" s="269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 t="b">
        <v>0</v>
      </c>
      <c r="AO468" s="258"/>
      <c r="AP468" s="346"/>
      <c r="AQ468" s="300"/>
      <c r="AR468" s="300"/>
      <c r="AS468" s="345"/>
      <c r="AT468" s="345"/>
      <c r="AU468" s="300"/>
      <c r="AV468" s="286" t="b">
        <v>0</v>
      </c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263"/>
      <c r="B469" s="194"/>
      <c r="C469" s="61"/>
      <c r="D469" s="61"/>
      <c r="E469" s="81"/>
      <c r="F469" s="81"/>
      <c r="G469" s="61"/>
      <c r="H469" s="269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 t="b">
        <v>0</v>
      </c>
      <c r="AO469" s="258"/>
      <c r="AP469" s="346"/>
      <c r="AQ469" s="300"/>
      <c r="AR469" s="300"/>
      <c r="AS469" s="345"/>
      <c r="AT469" s="345"/>
      <c r="AU469" s="300"/>
      <c r="AV469" s="286" t="b">
        <v>0</v>
      </c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263"/>
      <c r="B470" s="194"/>
      <c r="C470" s="61"/>
      <c r="D470" s="61"/>
      <c r="E470" s="81"/>
      <c r="F470" s="81"/>
      <c r="G470" s="61"/>
      <c r="H470" s="269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 t="b">
        <v>0</v>
      </c>
      <c r="AO470" s="258"/>
      <c r="AP470" s="346"/>
      <c r="AQ470" s="300"/>
      <c r="AR470" s="300"/>
      <c r="AS470" s="345"/>
      <c r="AT470" s="345"/>
      <c r="AU470" s="300"/>
      <c r="AV470" s="286" t="b">
        <v>0</v>
      </c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263"/>
      <c r="B471" s="194"/>
      <c r="C471" s="61"/>
      <c r="D471" s="61"/>
      <c r="E471" s="81"/>
      <c r="F471" s="81"/>
      <c r="G471" s="61"/>
      <c r="H471" s="269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 t="b">
        <v>0</v>
      </c>
      <c r="AO471" s="258"/>
      <c r="AP471" s="346"/>
      <c r="AQ471" s="300"/>
      <c r="AR471" s="300"/>
      <c r="AS471" s="345"/>
      <c r="AT471" s="345"/>
      <c r="AU471" s="300"/>
      <c r="AV471" s="286" t="b">
        <v>0</v>
      </c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263"/>
      <c r="B472" s="194"/>
      <c r="C472" s="61"/>
      <c r="D472" s="61"/>
      <c r="E472" s="81"/>
      <c r="F472" s="81"/>
      <c r="G472" s="61"/>
      <c r="H472" s="269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 t="b">
        <v>0</v>
      </c>
      <c r="AO472" s="258"/>
      <c r="AP472" s="346"/>
      <c r="AQ472" s="300"/>
      <c r="AR472" s="300"/>
      <c r="AS472" s="345"/>
      <c r="AT472" s="345"/>
      <c r="AU472" s="300"/>
      <c r="AV472" s="286" t="b">
        <v>0</v>
      </c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263"/>
      <c r="B473" s="194"/>
      <c r="C473" s="61"/>
      <c r="D473" s="61"/>
      <c r="E473" s="81"/>
      <c r="F473" s="81"/>
      <c r="G473" s="61"/>
      <c r="H473" s="269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 t="b">
        <v>0</v>
      </c>
      <c r="AO473" s="258"/>
      <c r="AP473" s="346"/>
      <c r="AQ473" s="300"/>
      <c r="AR473" s="300"/>
      <c r="AS473" s="345"/>
      <c r="AT473" s="345"/>
      <c r="AU473" s="300"/>
      <c r="AV473" s="286" t="b">
        <v>0</v>
      </c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263"/>
      <c r="B474" s="194"/>
      <c r="C474" s="61"/>
      <c r="D474" s="61"/>
      <c r="E474" s="81"/>
      <c r="F474" s="81"/>
      <c r="G474" s="61"/>
      <c r="H474" s="269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 t="b">
        <v>0</v>
      </c>
      <c r="AO474" s="258"/>
      <c r="AP474" s="346"/>
      <c r="AQ474" s="300"/>
      <c r="AR474" s="300"/>
      <c r="AS474" s="345"/>
      <c r="AT474" s="345"/>
      <c r="AU474" s="300"/>
      <c r="AV474" s="286" t="b">
        <v>0</v>
      </c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263"/>
      <c r="B475" s="194"/>
      <c r="C475" s="61"/>
      <c r="D475" s="61"/>
      <c r="E475" s="81"/>
      <c r="F475" s="81"/>
      <c r="G475" s="61"/>
      <c r="H475" s="269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 t="b">
        <v>0</v>
      </c>
      <c r="AO475" s="258"/>
      <c r="AP475" s="346"/>
      <c r="AQ475" s="300"/>
      <c r="AR475" s="300"/>
      <c r="AS475" s="345"/>
      <c r="AT475" s="345"/>
      <c r="AU475" s="300"/>
      <c r="AV475" s="286" t="b">
        <v>0</v>
      </c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263"/>
      <c r="B476" s="194"/>
      <c r="C476" s="61"/>
      <c r="D476" s="61"/>
      <c r="E476" s="81"/>
      <c r="F476" s="81"/>
      <c r="G476" s="61"/>
      <c r="H476" s="269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 t="b">
        <v>0</v>
      </c>
      <c r="AO476" s="258"/>
      <c r="AP476" s="346"/>
      <c r="AQ476" s="300"/>
      <c r="AR476" s="300"/>
      <c r="AS476" s="345"/>
      <c r="AT476" s="345"/>
      <c r="AU476" s="300"/>
      <c r="AV476" s="286" t="b">
        <v>0</v>
      </c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263"/>
      <c r="B477" s="194"/>
      <c r="C477" s="61"/>
      <c r="D477" s="61"/>
      <c r="E477" s="81"/>
      <c r="F477" s="81"/>
      <c r="G477" s="61"/>
      <c r="H477" s="269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 t="b">
        <v>0</v>
      </c>
      <c r="AO477" s="258"/>
      <c r="AP477" s="346"/>
      <c r="AQ477" s="300"/>
      <c r="AR477" s="300"/>
      <c r="AS477" s="345"/>
      <c r="AT477" s="345"/>
      <c r="AU477" s="300"/>
      <c r="AV477" s="286" t="b">
        <v>0</v>
      </c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263"/>
      <c r="B478" s="194"/>
      <c r="C478" s="61"/>
      <c r="D478" s="61"/>
      <c r="E478" s="81"/>
      <c r="F478" s="81"/>
      <c r="G478" s="61"/>
      <c r="H478" s="269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 t="b">
        <v>0</v>
      </c>
      <c r="AO478" s="258"/>
      <c r="AP478" s="346"/>
      <c r="AQ478" s="300"/>
      <c r="AR478" s="300"/>
      <c r="AS478" s="345"/>
      <c r="AT478" s="345"/>
      <c r="AU478" s="300"/>
      <c r="AV478" s="286" t="b">
        <v>0</v>
      </c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263"/>
      <c r="B479" s="194"/>
      <c r="C479" s="61"/>
      <c r="D479" s="61"/>
      <c r="E479" s="81"/>
      <c r="F479" s="81"/>
      <c r="G479" s="61"/>
      <c r="H479" s="269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 t="b">
        <v>0</v>
      </c>
      <c r="AO479" s="258"/>
      <c r="AP479" s="346"/>
      <c r="AQ479" s="300"/>
      <c r="AR479" s="300"/>
      <c r="AS479" s="345"/>
      <c r="AT479" s="345"/>
      <c r="AU479" s="300"/>
      <c r="AV479" s="286" t="b">
        <v>0</v>
      </c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263"/>
      <c r="B480" s="194"/>
      <c r="C480" s="61"/>
      <c r="D480" s="61"/>
      <c r="E480" s="81"/>
      <c r="F480" s="81"/>
      <c r="G480" s="61"/>
      <c r="H480" s="269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 t="b">
        <v>0</v>
      </c>
      <c r="AO480" s="258"/>
      <c r="AP480" s="346"/>
      <c r="AQ480" s="300"/>
      <c r="AR480" s="300"/>
      <c r="AS480" s="345"/>
      <c r="AT480" s="345"/>
      <c r="AU480" s="300"/>
      <c r="AV480" s="286" t="b">
        <v>0</v>
      </c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263"/>
      <c r="B481" s="194"/>
      <c r="C481" s="61"/>
      <c r="D481" s="61"/>
      <c r="E481" s="81"/>
      <c r="F481" s="81"/>
      <c r="G481" s="61"/>
      <c r="H481" s="269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 t="b">
        <v>0</v>
      </c>
      <c r="AO481" s="258"/>
      <c r="AP481" s="346"/>
      <c r="AQ481" s="300"/>
      <c r="AR481" s="300"/>
      <c r="AS481" s="345"/>
      <c r="AT481" s="345"/>
      <c r="AU481" s="300"/>
      <c r="AV481" s="286" t="b">
        <v>0</v>
      </c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263"/>
      <c r="B482" s="194"/>
      <c r="C482" s="61"/>
      <c r="D482" s="61"/>
      <c r="E482" s="81"/>
      <c r="F482" s="81"/>
      <c r="G482" s="61"/>
      <c r="H482" s="269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 t="b">
        <v>0</v>
      </c>
      <c r="AO482" s="258"/>
      <c r="AP482" s="346"/>
      <c r="AQ482" s="300"/>
      <c r="AR482" s="300"/>
      <c r="AS482" s="345"/>
      <c r="AT482" s="345"/>
      <c r="AU482" s="300"/>
      <c r="AV482" s="286" t="b">
        <v>0</v>
      </c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263"/>
      <c r="B483" s="194"/>
      <c r="C483" s="61"/>
      <c r="D483" s="61"/>
      <c r="E483" s="81"/>
      <c r="F483" s="81"/>
      <c r="G483" s="61"/>
      <c r="H483" s="269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 t="b">
        <v>0</v>
      </c>
      <c r="AO483" s="258"/>
      <c r="AP483" s="346"/>
      <c r="AQ483" s="300"/>
      <c r="AR483" s="300"/>
      <c r="AS483" s="345"/>
      <c r="AT483" s="345"/>
      <c r="AU483" s="300"/>
      <c r="AV483" s="286" t="b">
        <v>0</v>
      </c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263"/>
      <c r="B484" s="194"/>
      <c r="C484" s="61"/>
      <c r="D484" s="61"/>
      <c r="E484" s="81"/>
      <c r="F484" s="81"/>
      <c r="G484" s="61"/>
      <c r="H484" s="269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 t="b">
        <v>0</v>
      </c>
      <c r="AO484" s="258"/>
      <c r="AP484" s="346"/>
      <c r="AQ484" s="300"/>
      <c r="AR484" s="300"/>
      <c r="AS484" s="345"/>
      <c r="AT484" s="345"/>
      <c r="AU484" s="300"/>
      <c r="AV484" s="286" t="b">
        <v>0</v>
      </c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263"/>
      <c r="B485" s="194"/>
      <c r="C485" s="61"/>
      <c r="D485" s="61"/>
      <c r="E485" s="81"/>
      <c r="F485" s="81"/>
      <c r="G485" s="61"/>
      <c r="H485" s="269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 t="b">
        <v>0</v>
      </c>
      <c r="AO485" s="258"/>
      <c r="AP485" s="346"/>
      <c r="AQ485" s="300"/>
      <c r="AR485" s="300"/>
      <c r="AS485" s="345"/>
      <c r="AT485" s="345"/>
      <c r="AU485" s="300"/>
      <c r="AV485" s="286" t="b">
        <v>0</v>
      </c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263"/>
      <c r="B486" s="194"/>
      <c r="C486" s="61"/>
      <c r="D486" s="61"/>
      <c r="E486" s="81"/>
      <c r="F486" s="81"/>
      <c r="G486" s="61"/>
      <c r="H486" s="269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 t="b">
        <v>0</v>
      </c>
      <c r="AO486" s="258"/>
      <c r="AP486" s="346"/>
      <c r="AQ486" s="300"/>
      <c r="AR486" s="300"/>
      <c r="AS486" s="345"/>
      <c r="AT486" s="345"/>
      <c r="AU486" s="300"/>
      <c r="AV486" s="286" t="b">
        <v>0</v>
      </c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263"/>
      <c r="B487" s="194"/>
      <c r="C487" s="61"/>
      <c r="D487" s="61"/>
      <c r="E487" s="81"/>
      <c r="F487" s="81"/>
      <c r="G487" s="61"/>
      <c r="H487" s="269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 t="b">
        <v>0</v>
      </c>
      <c r="AO487" s="258"/>
      <c r="AP487" s="346"/>
      <c r="AQ487" s="300"/>
      <c r="AR487" s="300"/>
      <c r="AS487" s="345"/>
      <c r="AT487" s="345"/>
      <c r="AU487" s="300"/>
      <c r="AV487" s="286" t="b">
        <v>0</v>
      </c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263"/>
      <c r="B488" s="194"/>
      <c r="C488" s="61"/>
      <c r="D488" s="61"/>
      <c r="E488" s="81"/>
      <c r="F488" s="81"/>
      <c r="G488" s="61"/>
      <c r="H488" s="269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 t="b">
        <v>0</v>
      </c>
      <c r="AO488" s="258"/>
      <c r="AP488" s="346"/>
      <c r="AQ488" s="300"/>
      <c r="AR488" s="300"/>
      <c r="AS488" s="345"/>
      <c r="AT488" s="345"/>
      <c r="AU488" s="300"/>
      <c r="AV488" s="286" t="b">
        <v>0</v>
      </c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263"/>
      <c r="B489" s="194"/>
      <c r="C489" s="61"/>
      <c r="D489" s="61"/>
      <c r="E489" s="81"/>
      <c r="F489" s="81"/>
      <c r="G489" s="61"/>
      <c r="H489" s="269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 t="b">
        <v>0</v>
      </c>
      <c r="AO489" s="258"/>
      <c r="AP489" s="346"/>
      <c r="AQ489" s="300"/>
      <c r="AR489" s="300"/>
      <c r="AS489" s="345"/>
      <c r="AT489" s="345"/>
      <c r="AU489" s="300"/>
      <c r="AV489" s="286" t="b">
        <v>0</v>
      </c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263"/>
      <c r="B490" s="194"/>
      <c r="C490" s="61"/>
      <c r="D490" s="61"/>
      <c r="E490" s="81"/>
      <c r="F490" s="81"/>
      <c r="G490" s="61"/>
      <c r="H490" s="269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 t="b">
        <v>0</v>
      </c>
      <c r="AO490" s="258"/>
      <c r="AP490" s="346"/>
      <c r="AQ490" s="300"/>
      <c r="AR490" s="300"/>
      <c r="AS490" s="345"/>
      <c r="AT490" s="345"/>
      <c r="AU490" s="300"/>
      <c r="AV490" s="286" t="b">
        <v>0</v>
      </c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263"/>
      <c r="B491" s="194"/>
      <c r="C491" s="61"/>
      <c r="D491" s="61"/>
      <c r="E491" s="81"/>
      <c r="F491" s="81"/>
      <c r="G491" s="61"/>
      <c r="H491" s="269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 t="b">
        <v>0</v>
      </c>
      <c r="AO491" s="258"/>
      <c r="AP491" s="346"/>
      <c r="AQ491" s="300"/>
      <c r="AR491" s="300"/>
      <c r="AS491" s="345"/>
      <c r="AT491" s="345"/>
      <c r="AU491" s="300"/>
      <c r="AV491" s="286" t="b">
        <v>0</v>
      </c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263"/>
      <c r="B492" s="194"/>
      <c r="C492" s="61"/>
      <c r="D492" s="61"/>
      <c r="E492" s="81"/>
      <c r="F492" s="81"/>
      <c r="G492" s="61"/>
      <c r="H492" s="269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 t="b">
        <v>0</v>
      </c>
      <c r="AO492" s="258"/>
      <c r="AP492" s="346"/>
      <c r="AQ492" s="300"/>
      <c r="AR492" s="300"/>
      <c r="AS492" s="345"/>
      <c r="AT492" s="345"/>
      <c r="AU492" s="300"/>
      <c r="AV492" s="286" t="b">
        <v>0</v>
      </c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263"/>
      <c r="B493" s="194"/>
      <c r="C493" s="61"/>
      <c r="D493" s="61"/>
      <c r="E493" s="81"/>
      <c r="F493" s="81"/>
      <c r="G493" s="61"/>
      <c r="H493" s="269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 t="b">
        <v>0</v>
      </c>
      <c r="AO493" s="258"/>
      <c r="AP493" s="346"/>
      <c r="AQ493" s="300"/>
      <c r="AR493" s="300"/>
      <c r="AS493" s="345"/>
      <c r="AT493" s="345"/>
      <c r="AU493" s="300"/>
      <c r="AV493" s="286" t="b">
        <v>0</v>
      </c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263"/>
      <c r="B494" s="194"/>
      <c r="C494" s="61"/>
      <c r="D494" s="61"/>
      <c r="E494" s="81"/>
      <c r="F494" s="81"/>
      <c r="G494" s="61"/>
      <c r="H494" s="269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 t="b">
        <v>0</v>
      </c>
      <c r="AO494" s="258"/>
      <c r="AP494" s="346"/>
      <c r="AQ494" s="300"/>
      <c r="AR494" s="300"/>
      <c r="AS494" s="345"/>
      <c r="AT494" s="345"/>
      <c r="AU494" s="300"/>
      <c r="AV494" s="286" t="b">
        <v>0</v>
      </c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263"/>
      <c r="B495" s="194"/>
      <c r="C495" s="61"/>
      <c r="D495" s="61"/>
      <c r="E495" s="81"/>
      <c r="F495" s="81"/>
      <c r="G495" s="61"/>
      <c r="H495" s="269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 t="b">
        <v>0</v>
      </c>
      <c r="AO495" s="258"/>
      <c r="AP495" s="346"/>
      <c r="AQ495" s="300"/>
      <c r="AR495" s="300"/>
      <c r="AS495" s="345"/>
      <c r="AT495" s="345"/>
      <c r="AU495" s="300"/>
      <c r="AV495" s="286" t="b">
        <v>0</v>
      </c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263"/>
      <c r="B496" s="194"/>
      <c r="C496" s="61"/>
      <c r="D496" s="61"/>
      <c r="E496" s="81"/>
      <c r="F496" s="81"/>
      <c r="G496" s="61"/>
      <c r="H496" s="269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 t="b">
        <v>0</v>
      </c>
      <c r="AO496" s="258"/>
      <c r="AP496" s="346"/>
      <c r="AQ496" s="300"/>
      <c r="AR496" s="300"/>
      <c r="AS496" s="345"/>
      <c r="AT496" s="345"/>
      <c r="AU496" s="300"/>
      <c r="AV496" s="286" t="b">
        <v>0</v>
      </c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263"/>
      <c r="B497" s="194"/>
      <c r="C497" s="61"/>
      <c r="D497" s="61"/>
      <c r="E497" s="81"/>
      <c r="F497" s="81"/>
      <c r="G497" s="61"/>
      <c r="H497" s="269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 t="b">
        <v>0</v>
      </c>
      <c r="AO497" s="258"/>
      <c r="AP497" s="346"/>
      <c r="AQ497" s="300"/>
      <c r="AR497" s="300"/>
      <c r="AS497" s="345"/>
      <c r="AT497" s="345"/>
      <c r="AU497" s="300"/>
      <c r="AV497" s="286" t="b">
        <v>0</v>
      </c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263"/>
      <c r="B498" s="194"/>
      <c r="C498" s="61"/>
      <c r="D498" s="61"/>
      <c r="E498" s="81"/>
      <c r="F498" s="81"/>
      <c r="G498" s="61"/>
      <c r="H498" s="269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 t="b">
        <v>0</v>
      </c>
      <c r="AO498" s="258"/>
      <c r="AP498" s="346"/>
      <c r="AQ498" s="300"/>
      <c r="AR498" s="300"/>
      <c r="AS498" s="345"/>
      <c r="AT498" s="345"/>
      <c r="AU498" s="300"/>
      <c r="AV498" s="286" t="b">
        <v>0</v>
      </c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263"/>
      <c r="B499" s="194"/>
      <c r="C499" s="61"/>
      <c r="D499" s="61"/>
      <c r="E499" s="81"/>
      <c r="F499" s="81"/>
      <c r="G499" s="61"/>
      <c r="H499" s="269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 t="b">
        <v>0</v>
      </c>
      <c r="AO499" s="258"/>
      <c r="AP499" s="346"/>
      <c r="AQ499" s="300"/>
      <c r="AR499" s="300"/>
      <c r="AS499" s="345"/>
      <c r="AT499" s="345"/>
      <c r="AU499" s="300"/>
      <c r="AV499" s="286" t="b">
        <v>0</v>
      </c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263"/>
      <c r="B500" s="194"/>
      <c r="C500" s="61"/>
      <c r="D500" s="61"/>
      <c r="E500" s="81"/>
      <c r="F500" s="81"/>
      <c r="G500" s="61"/>
      <c r="H500" s="269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 t="b">
        <v>0</v>
      </c>
      <c r="AO500" s="258"/>
      <c r="AP500" s="346"/>
      <c r="AQ500" s="300"/>
      <c r="AR500" s="300"/>
      <c r="AS500" s="345"/>
      <c r="AT500" s="345"/>
      <c r="AU500" s="300"/>
      <c r="AV500" s="286" t="b">
        <v>0</v>
      </c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263"/>
      <c r="B501" s="194"/>
      <c r="C501" s="61"/>
      <c r="D501" s="61"/>
      <c r="E501" s="81"/>
      <c r="F501" s="81"/>
      <c r="G501" s="61"/>
      <c r="H501" s="269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 t="b">
        <v>0</v>
      </c>
      <c r="AO501" s="258"/>
      <c r="AP501" s="346"/>
      <c r="AQ501" s="300"/>
      <c r="AR501" s="300"/>
      <c r="AS501" s="345"/>
      <c r="AT501" s="345"/>
      <c r="AU501" s="300"/>
      <c r="AV501" s="286" t="b">
        <v>0</v>
      </c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263"/>
      <c r="B502" s="194"/>
      <c r="C502" s="61"/>
      <c r="D502" s="61"/>
      <c r="E502" s="81"/>
      <c r="F502" s="81"/>
      <c r="G502" s="61"/>
      <c r="H502" s="269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 t="b">
        <v>0</v>
      </c>
      <c r="AO502" s="258"/>
      <c r="AP502" s="346"/>
      <c r="AQ502" s="300"/>
      <c r="AR502" s="300"/>
      <c r="AS502" s="345"/>
      <c r="AT502" s="345"/>
      <c r="AU502" s="300"/>
      <c r="AV502" s="286" t="b">
        <v>0</v>
      </c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263"/>
      <c r="B503" s="194"/>
      <c r="C503" s="61"/>
      <c r="D503" s="61"/>
      <c r="E503" s="81"/>
      <c r="F503" s="81"/>
      <c r="G503" s="61"/>
      <c r="H503" s="269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 t="b">
        <v>0</v>
      </c>
      <c r="AO503" s="258"/>
      <c r="AP503" s="346"/>
      <c r="AQ503" s="300"/>
      <c r="AR503" s="300"/>
      <c r="AS503" s="345"/>
      <c r="AT503" s="345"/>
      <c r="AU503" s="300"/>
      <c r="AV503" s="286" t="b">
        <v>0</v>
      </c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263"/>
      <c r="B504" s="194"/>
      <c r="C504" s="61"/>
      <c r="D504" s="61"/>
      <c r="E504" s="81"/>
      <c r="F504" s="81"/>
      <c r="G504" s="61"/>
      <c r="H504" s="269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 t="b">
        <v>0</v>
      </c>
      <c r="AO504" s="258"/>
      <c r="AP504" s="346"/>
      <c r="AQ504" s="300"/>
      <c r="AR504" s="300"/>
      <c r="AS504" s="345"/>
      <c r="AT504" s="345"/>
      <c r="AU504" s="300"/>
      <c r="AV504" s="286" t="b">
        <v>0</v>
      </c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263"/>
      <c r="B505" s="194"/>
      <c r="C505" s="61"/>
      <c r="D505" s="61"/>
      <c r="E505" s="81"/>
      <c r="F505" s="81"/>
      <c r="G505" s="61"/>
      <c r="H505" s="269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 t="b">
        <v>0</v>
      </c>
      <c r="AO505" s="258"/>
      <c r="AP505" s="346"/>
      <c r="AQ505" s="300"/>
      <c r="AR505" s="300"/>
      <c r="AS505" s="345"/>
      <c r="AT505" s="345"/>
      <c r="AU505" s="300"/>
      <c r="AV505" s="286" t="b">
        <v>0</v>
      </c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263"/>
      <c r="B506" s="194"/>
      <c r="C506" s="61"/>
      <c r="D506" s="61"/>
      <c r="E506" s="81"/>
      <c r="F506" s="81"/>
      <c r="G506" s="61"/>
      <c r="H506" s="269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 t="b">
        <v>0</v>
      </c>
      <c r="AO506" s="258"/>
      <c r="AP506" s="346"/>
      <c r="AQ506" s="300"/>
      <c r="AR506" s="300"/>
      <c r="AS506" s="345"/>
      <c r="AT506" s="345"/>
      <c r="AU506" s="300"/>
      <c r="AV506" s="286" t="b">
        <v>0</v>
      </c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263"/>
      <c r="B507" s="194"/>
      <c r="C507" s="61"/>
      <c r="D507" s="61"/>
      <c r="E507" s="81"/>
      <c r="F507" s="81"/>
      <c r="G507" s="61"/>
      <c r="H507" s="269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 t="b">
        <v>0</v>
      </c>
      <c r="AO507" s="258"/>
      <c r="AP507" s="346"/>
      <c r="AQ507" s="300"/>
      <c r="AR507" s="300"/>
      <c r="AS507" s="345"/>
      <c r="AT507" s="345"/>
      <c r="AU507" s="300"/>
      <c r="AV507" s="286" t="b">
        <v>0</v>
      </c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263"/>
      <c r="B508" s="194"/>
      <c r="C508" s="61"/>
      <c r="D508" s="61"/>
      <c r="E508" s="81"/>
      <c r="F508" s="81"/>
      <c r="G508" s="61"/>
      <c r="H508" s="269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 t="b">
        <v>0</v>
      </c>
      <c r="AO508" s="258"/>
      <c r="AP508" s="346"/>
      <c r="AQ508" s="300"/>
      <c r="AR508" s="300"/>
      <c r="AS508" s="345"/>
      <c r="AT508" s="345"/>
      <c r="AU508" s="300"/>
      <c r="AV508" s="286" t="b">
        <v>0</v>
      </c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263"/>
      <c r="B509" s="194"/>
      <c r="C509" s="61"/>
      <c r="D509" s="61"/>
      <c r="E509" s="81"/>
      <c r="F509" s="81"/>
      <c r="G509" s="61"/>
      <c r="H509" s="269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 t="b">
        <v>0</v>
      </c>
      <c r="AO509" s="258"/>
      <c r="AP509" s="346"/>
      <c r="AQ509" s="300"/>
      <c r="AR509" s="300"/>
      <c r="AS509" s="345"/>
      <c r="AT509" s="345"/>
      <c r="AU509" s="300"/>
      <c r="AV509" s="286" t="b">
        <v>0</v>
      </c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263"/>
      <c r="B510" s="194"/>
      <c r="C510" s="61"/>
      <c r="D510" s="61"/>
      <c r="E510" s="81"/>
      <c r="F510" s="81"/>
      <c r="G510" s="61"/>
      <c r="H510" s="269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 t="b">
        <v>0</v>
      </c>
      <c r="AO510" s="258"/>
      <c r="AP510" s="346"/>
      <c r="AQ510" s="300"/>
      <c r="AR510" s="300"/>
      <c r="AS510" s="345"/>
      <c r="AT510" s="345"/>
      <c r="AU510" s="300"/>
      <c r="AV510" s="286" t="b">
        <v>0</v>
      </c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263"/>
      <c r="B511" s="194"/>
      <c r="C511" s="61"/>
      <c r="D511" s="61"/>
      <c r="E511" s="81"/>
      <c r="F511" s="81"/>
      <c r="G511" s="61"/>
      <c r="H511" s="269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 t="b">
        <v>0</v>
      </c>
      <c r="AO511" s="258"/>
      <c r="AP511" s="346"/>
      <c r="AQ511" s="300"/>
      <c r="AR511" s="300"/>
      <c r="AS511" s="345"/>
      <c r="AT511" s="345"/>
      <c r="AU511" s="300"/>
      <c r="AV511" s="286" t="b">
        <v>0</v>
      </c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263"/>
      <c r="B512" s="194"/>
      <c r="C512" s="61"/>
      <c r="D512" s="61"/>
      <c r="E512" s="81"/>
      <c r="F512" s="81"/>
      <c r="G512" s="61"/>
      <c r="H512" s="269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 t="b">
        <v>0</v>
      </c>
      <c r="AO512" s="258"/>
      <c r="AP512" s="346"/>
      <c r="AQ512" s="300"/>
      <c r="AR512" s="300"/>
      <c r="AS512" s="345"/>
      <c r="AT512" s="345"/>
      <c r="AU512" s="300"/>
      <c r="AV512" s="286" t="b">
        <v>0</v>
      </c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263"/>
      <c r="B513" s="194"/>
      <c r="C513" s="61"/>
      <c r="D513" s="61"/>
      <c r="E513" s="81"/>
      <c r="F513" s="81"/>
      <c r="G513" s="61"/>
      <c r="H513" s="269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 t="b">
        <v>0</v>
      </c>
      <c r="AO513" s="258"/>
      <c r="AP513" s="346"/>
      <c r="AQ513" s="300"/>
      <c r="AR513" s="300"/>
      <c r="AS513" s="345"/>
      <c r="AT513" s="345"/>
      <c r="AU513" s="300"/>
      <c r="AV513" s="286" t="b">
        <v>0</v>
      </c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263"/>
      <c r="B514" s="194"/>
      <c r="C514" s="61"/>
      <c r="D514" s="61"/>
      <c r="E514" s="81"/>
      <c r="F514" s="81"/>
      <c r="G514" s="61"/>
      <c r="H514" s="269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 t="b">
        <v>0</v>
      </c>
      <c r="AO514" s="258"/>
      <c r="AP514" s="346"/>
      <c r="AQ514" s="300"/>
      <c r="AR514" s="300"/>
      <c r="AS514" s="345"/>
      <c r="AT514" s="345"/>
      <c r="AU514" s="300"/>
      <c r="AV514" s="286" t="b">
        <v>0</v>
      </c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263"/>
      <c r="B515" s="194"/>
      <c r="C515" s="61"/>
      <c r="D515" s="61"/>
      <c r="E515" s="81"/>
      <c r="F515" s="81"/>
      <c r="G515" s="61"/>
      <c r="H515" s="269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 t="b">
        <v>0</v>
      </c>
      <c r="AO515" s="258"/>
      <c r="AP515" s="346"/>
      <c r="AQ515" s="300"/>
      <c r="AR515" s="300"/>
      <c r="AS515" s="345"/>
      <c r="AT515" s="345"/>
      <c r="AU515" s="300"/>
      <c r="AV515" s="286" t="b">
        <v>0</v>
      </c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263"/>
      <c r="B516" s="194"/>
      <c r="C516" s="61"/>
      <c r="D516" s="61"/>
      <c r="E516" s="81"/>
      <c r="F516" s="81"/>
      <c r="G516" s="61"/>
      <c r="H516" s="269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 t="b">
        <v>0</v>
      </c>
      <c r="AO516" s="258"/>
      <c r="AP516" s="346"/>
      <c r="AQ516" s="300"/>
      <c r="AR516" s="300"/>
      <c r="AS516" s="345"/>
      <c r="AT516" s="345"/>
      <c r="AU516" s="300"/>
      <c r="AV516" s="286" t="b">
        <v>0</v>
      </c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263"/>
      <c r="B517" s="194"/>
      <c r="C517" s="61"/>
      <c r="D517" s="61"/>
      <c r="E517" s="81"/>
      <c r="F517" s="81"/>
      <c r="G517" s="61"/>
      <c r="H517" s="269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 t="b">
        <v>0</v>
      </c>
      <c r="AO517" s="258"/>
      <c r="AP517" s="346"/>
      <c r="AQ517" s="300"/>
      <c r="AR517" s="300"/>
      <c r="AS517" s="345"/>
      <c r="AT517" s="345"/>
      <c r="AU517" s="300"/>
      <c r="AV517" s="286" t="b">
        <v>0</v>
      </c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263"/>
      <c r="B518" s="194"/>
      <c r="C518" s="61"/>
      <c r="D518" s="61"/>
      <c r="E518" s="81"/>
      <c r="F518" s="81"/>
      <c r="G518" s="61"/>
      <c r="H518" s="269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 t="b">
        <v>0</v>
      </c>
      <c r="AO518" s="258"/>
      <c r="AP518" s="346"/>
      <c r="AQ518" s="300"/>
      <c r="AR518" s="300"/>
      <c r="AS518" s="345"/>
      <c r="AT518" s="345"/>
      <c r="AU518" s="300"/>
      <c r="AV518" s="286" t="b">
        <v>0</v>
      </c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263"/>
      <c r="B519" s="194"/>
      <c r="C519" s="61"/>
      <c r="D519" s="61"/>
      <c r="E519" s="81"/>
      <c r="F519" s="81"/>
      <c r="G519" s="61"/>
      <c r="H519" s="269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 t="b">
        <v>0</v>
      </c>
      <c r="AO519" s="258"/>
      <c r="AP519" s="346"/>
      <c r="AQ519" s="300"/>
      <c r="AR519" s="300"/>
      <c r="AS519" s="345"/>
      <c r="AT519" s="345"/>
      <c r="AU519" s="300"/>
      <c r="AV519" s="286" t="b">
        <v>0</v>
      </c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263"/>
      <c r="B520" s="194"/>
      <c r="C520" s="61"/>
      <c r="D520" s="61"/>
      <c r="E520" s="81"/>
      <c r="F520" s="81"/>
      <c r="G520" s="61"/>
      <c r="H520" s="269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 t="b">
        <v>0</v>
      </c>
      <c r="AO520" s="258"/>
      <c r="AP520" s="346"/>
      <c r="AQ520" s="300"/>
      <c r="AR520" s="300"/>
      <c r="AS520" s="345"/>
      <c r="AT520" s="345"/>
      <c r="AU520" s="300"/>
      <c r="AV520" s="286" t="b">
        <v>0</v>
      </c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263"/>
      <c r="B521" s="194"/>
      <c r="C521" s="61"/>
      <c r="D521" s="61"/>
      <c r="E521" s="81"/>
      <c r="F521" s="81"/>
      <c r="G521" s="61"/>
      <c r="H521" s="269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 t="b">
        <v>0</v>
      </c>
      <c r="AO521" s="258"/>
      <c r="AP521" s="346"/>
      <c r="AQ521" s="300"/>
      <c r="AR521" s="300"/>
      <c r="AS521" s="345"/>
      <c r="AT521" s="345"/>
      <c r="AU521" s="300"/>
      <c r="AV521" s="286" t="b">
        <v>0</v>
      </c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263"/>
      <c r="B522" s="194"/>
      <c r="C522" s="61"/>
      <c r="D522" s="61"/>
      <c r="E522" s="81"/>
      <c r="F522" s="81"/>
      <c r="G522" s="61"/>
      <c r="H522" s="269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 t="b">
        <v>0</v>
      </c>
      <c r="AO522" s="258"/>
      <c r="AP522" s="346"/>
      <c r="AQ522" s="300"/>
      <c r="AR522" s="300"/>
      <c r="AS522" s="345"/>
      <c r="AT522" s="345"/>
      <c r="AU522" s="300"/>
      <c r="AV522" s="286" t="b">
        <v>0</v>
      </c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263"/>
      <c r="B523" s="194"/>
      <c r="C523" s="61"/>
      <c r="D523" s="61"/>
      <c r="E523" s="81"/>
      <c r="F523" s="81"/>
      <c r="G523" s="61"/>
      <c r="H523" s="269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 t="b">
        <v>0</v>
      </c>
      <c r="AO523" s="258"/>
      <c r="AP523" s="346"/>
      <c r="AQ523" s="300"/>
      <c r="AR523" s="300"/>
      <c r="AS523" s="345"/>
      <c r="AT523" s="345"/>
      <c r="AU523" s="300"/>
      <c r="AV523" s="286" t="b">
        <v>0</v>
      </c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263"/>
      <c r="B524" s="194"/>
      <c r="C524" s="61"/>
      <c r="D524" s="61"/>
      <c r="E524" s="81"/>
      <c r="F524" s="81"/>
      <c r="G524" s="61"/>
      <c r="H524" s="269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 t="b">
        <v>0</v>
      </c>
      <c r="AO524" s="258"/>
      <c r="AP524" s="346"/>
      <c r="AQ524" s="300"/>
      <c r="AR524" s="300"/>
      <c r="AS524" s="345"/>
      <c r="AT524" s="345"/>
      <c r="AU524" s="300"/>
      <c r="AV524" s="286" t="b">
        <v>0</v>
      </c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263"/>
      <c r="B525" s="194"/>
      <c r="C525" s="61"/>
      <c r="D525" s="61"/>
      <c r="E525" s="81"/>
      <c r="F525" s="81"/>
      <c r="G525" s="61"/>
      <c r="H525" s="269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 t="b">
        <v>0</v>
      </c>
      <c r="AO525" s="258"/>
      <c r="AP525" s="346"/>
      <c r="AQ525" s="300"/>
      <c r="AR525" s="300"/>
      <c r="AS525" s="345"/>
      <c r="AT525" s="345"/>
      <c r="AU525" s="300"/>
      <c r="AV525" s="286" t="b">
        <v>0</v>
      </c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263"/>
      <c r="B526" s="194"/>
      <c r="C526" s="61"/>
      <c r="D526" s="61"/>
      <c r="E526" s="81"/>
      <c r="F526" s="81"/>
      <c r="G526" s="61"/>
      <c r="H526" s="269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 t="b">
        <v>0</v>
      </c>
      <c r="AO526" s="258"/>
      <c r="AP526" s="346"/>
      <c r="AQ526" s="300"/>
      <c r="AR526" s="300"/>
      <c r="AS526" s="345"/>
      <c r="AT526" s="345"/>
      <c r="AU526" s="300"/>
      <c r="AV526" s="286" t="b">
        <v>0</v>
      </c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263"/>
      <c r="B527" s="194"/>
      <c r="C527" s="61"/>
      <c r="D527" s="61"/>
      <c r="E527" s="81"/>
      <c r="F527" s="81"/>
      <c r="G527" s="61"/>
      <c r="H527" s="269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 t="b">
        <v>0</v>
      </c>
      <c r="AO527" s="258"/>
      <c r="AP527" s="346"/>
      <c r="AQ527" s="300"/>
      <c r="AR527" s="300"/>
      <c r="AS527" s="345"/>
      <c r="AT527" s="345"/>
      <c r="AU527" s="300"/>
      <c r="AV527" s="286" t="b">
        <v>0</v>
      </c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263"/>
      <c r="B528" s="194"/>
      <c r="C528" s="61"/>
      <c r="D528" s="61"/>
      <c r="E528" s="81"/>
      <c r="F528" s="81"/>
      <c r="G528" s="61"/>
      <c r="H528" s="269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 t="b">
        <v>0</v>
      </c>
      <c r="AO528" s="258"/>
      <c r="AP528" s="346"/>
      <c r="AQ528" s="300"/>
      <c r="AR528" s="300"/>
      <c r="AS528" s="345"/>
      <c r="AT528" s="345"/>
      <c r="AU528" s="300"/>
      <c r="AV528" s="286" t="b">
        <v>0</v>
      </c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263"/>
      <c r="B529" s="194"/>
      <c r="C529" s="61"/>
      <c r="D529" s="61"/>
      <c r="E529" s="81"/>
      <c r="F529" s="81"/>
      <c r="G529" s="61"/>
      <c r="H529" s="269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 t="b">
        <v>0</v>
      </c>
      <c r="AO529" s="258"/>
      <c r="AP529" s="346"/>
      <c r="AQ529" s="300"/>
      <c r="AR529" s="300"/>
      <c r="AS529" s="345"/>
      <c r="AT529" s="345"/>
      <c r="AU529" s="300"/>
      <c r="AV529" s="286" t="b">
        <v>0</v>
      </c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263"/>
      <c r="B530" s="194"/>
      <c r="C530" s="61"/>
      <c r="D530" s="61"/>
      <c r="E530" s="81"/>
      <c r="F530" s="81"/>
      <c r="G530" s="61"/>
      <c r="H530" s="269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 t="b">
        <v>0</v>
      </c>
      <c r="AO530" s="258"/>
      <c r="AP530" s="346"/>
      <c r="AQ530" s="300"/>
      <c r="AR530" s="300"/>
      <c r="AS530" s="345"/>
      <c r="AT530" s="345"/>
      <c r="AU530" s="300"/>
      <c r="AV530" s="286" t="b">
        <v>0</v>
      </c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263"/>
      <c r="B531" s="194"/>
      <c r="C531" s="61"/>
      <c r="D531" s="61"/>
      <c r="E531" s="81"/>
      <c r="F531" s="81"/>
      <c r="G531" s="61"/>
      <c r="H531" s="269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 t="b">
        <v>0</v>
      </c>
      <c r="AO531" s="258"/>
      <c r="AP531" s="346"/>
      <c r="AQ531" s="300"/>
      <c r="AR531" s="300"/>
      <c r="AS531" s="345"/>
      <c r="AT531" s="345"/>
      <c r="AU531" s="300"/>
      <c r="AV531" s="286" t="b">
        <v>0</v>
      </c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263"/>
      <c r="B532" s="194"/>
      <c r="C532" s="61"/>
      <c r="D532" s="61"/>
      <c r="E532" s="81"/>
      <c r="F532" s="81"/>
      <c r="G532" s="61"/>
      <c r="H532" s="269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 t="b">
        <v>0</v>
      </c>
      <c r="AO532" s="258"/>
      <c r="AP532" s="346"/>
      <c r="AQ532" s="300"/>
      <c r="AR532" s="300"/>
      <c r="AS532" s="345"/>
      <c r="AT532" s="345"/>
      <c r="AU532" s="300"/>
      <c r="AV532" s="286" t="b">
        <v>0</v>
      </c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263"/>
      <c r="B533" s="194"/>
      <c r="C533" s="61"/>
      <c r="D533" s="61"/>
      <c r="E533" s="81"/>
      <c r="F533" s="81"/>
      <c r="G533" s="61"/>
      <c r="H533" s="269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 t="b">
        <v>0</v>
      </c>
      <c r="AO533" s="258"/>
      <c r="AP533" s="346"/>
      <c r="AQ533" s="300"/>
      <c r="AR533" s="300"/>
      <c r="AS533" s="345"/>
      <c r="AT533" s="345"/>
      <c r="AU533" s="300"/>
      <c r="AV533" s="286" t="b">
        <v>0</v>
      </c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263"/>
      <c r="B534" s="194"/>
      <c r="C534" s="61"/>
      <c r="D534" s="61"/>
      <c r="E534" s="81"/>
      <c r="F534" s="81"/>
      <c r="G534" s="61"/>
      <c r="H534" s="269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 t="b">
        <v>0</v>
      </c>
      <c r="AO534" s="258"/>
      <c r="AP534" s="346"/>
      <c r="AQ534" s="300"/>
      <c r="AR534" s="300"/>
      <c r="AS534" s="345"/>
      <c r="AT534" s="345"/>
      <c r="AU534" s="300"/>
      <c r="AV534" s="286" t="b">
        <v>0</v>
      </c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263"/>
      <c r="B535" s="194"/>
      <c r="C535" s="61"/>
      <c r="D535" s="61"/>
      <c r="E535" s="81"/>
      <c r="F535" s="81"/>
      <c r="G535" s="61"/>
      <c r="H535" s="269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 t="b">
        <v>0</v>
      </c>
      <c r="AO535" s="258"/>
      <c r="AP535" s="346"/>
      <c r="AQ535" s="300"/>
      <c r="AR535" s="300"/>
      <c r="AS535" s="345"/>
      <c r="AT535" s="345"/>
      <c r="AU535" s="300"/>
      <c r="AV535" s="286" t="b">
        <v>0</v>
      </c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263"/>
      <c r="B536" s="194"/>
      <c r="C536" s="61"/>
      <c r="D536" s="61"/>
      <c r="E536" s="81"/>
      <c r="F536" s="81"/>
      <c r="G536" s="61"/>
      <c r="H536" s="269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 t="b">
        <v>0</v>
      </c>
      <c r="AO536" s="258"/>
      <c r="AP536" s="346"/>
      <c r="AQ536" s="300"/>
      <c r="AR536" s="300"/>
      <c r="AS536" s="345"/>
      <c r="AT536" s="345"/>
      <c r="AU536" s="300"/>
      <c r="AV536" s="286" t="b">
        <v>0</v>
      </c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263"/>
      <c r="B537" s="194"/>
      <c r="C537" s="61"/>
      <c r="D537" s="61"/>
      <c r="E537" s="81"/>
      <c r="F537" s="81"/>
      <c r="G537" s="61"/>
      <c r="H537" s="269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 t="b">
        <v>0</v>
      </c>
      <c r="AO537" s="258"/>
      <c r="AP537" s="346"/>
      <c r="AQ537" s="300"/>
      <c r="AR537" s="300"/>
      <c r="AS537" s="345"/>
      <c r="AT537" s="345"/>
      <c r="AU537" s="300"/>
      <c r="AV537" s="286" t="b">
        <v>0</v>
      </c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263"/>
      <c r="B538" s="194"/>
      <c r="C538" s="61"/>
      <c r="D538" s="61"/>
      <c r="E538" s="81"/>
      <c r="F538" s="81"/>
      <c r="G538" s="61"/>
      <c r="H538" s="269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 t="b">
        <v>0</v>
      </c>
      <c r="AO538" s="258"/>
      <c r="AP538" s="346"/>
      <c r="AQ538" s="300"/>
      <c r="AR538" s="300"/>
      <c r="AS538" s="345"/>
      <c r="AT538" s="345"/>
      <c r="AU538" s="300"/>
      <c r="AV538" s="286" t="b">
        <v>0</v>
      </c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263"/>
      <c r="B539" s="194"/>
      <c r="C539" s="61"/>
      <c r="D539" s="61"/>
      <c r="E539" s="81"/>
      <c r="F539" s="81"/>
      <c r="G539" s="61"/>
      <c r="H539" s="269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 t="b">
        <v>0</v>
      </c>
      <c r="AO539" s="258"/>
      <c r="AP539" s="346"/>
      <c r="AQ539" s="300"/>
      <c r="AR539" s="300"/>
      <c r="AS539" s="345"/>
      <c r="AT539" s="345"/>
      <c r="AU539" s="300"/>
      <c r="AV539" s="286" t="b">
        <v>0</v>
      </c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263"/>
      <c r="B540" s="194"/>
      <c r="C540" s="61"/>
      <c r="D540" s="61"/>
      <c r="E540" s="81"/>
      <c r="F540" s="81"/>
      <c r="G540" s="61"/>
      <c r="H540" s="269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 t="b">
        <v>0</v>
      </c>
      <c r="AO540" s="258"/>
      <c r="AP540" s="346"/>
      <c r="AQ540" s="300"/>
      <c r="AR540" s="300"/>
      <c r="AS540" s="345"/>
      <c r="AT540" s="345"/>
      <c r="AU540" s="300"/>
      <c r="AV540" s="286" t="b">
        <v>0</v>
      </c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263"/>
      <c r="B541" s="194"/>
      <c r="C541" s="61"/>
      <c r="D541" s="61"/>
      <c r="E541" s="81"/>
      <c r="F541" s="81"/>
      <c r="G541" s="61"/>
      <c r="H541" s="269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 t="b">
        <v>0</v>
      </c>
      <c r="AO541" s="258"/>
      <c r="AP541" s="346"/>
      <c r="AQ541" s="300"/>
      <c r="AR541" s="300"/>
      <c r="AS541" s="345"/>
      <c r="AT541" s="345"/>
      <c r="AU541" s="300"/>
      <c r="AV541" s="286" t="b">
        <v>0</v>
      </c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263"/>
      <c r="B542" s="194"/>
      <c r="C542" s="61"/>
      <c r="D542" s="61"/>
      <c r="E542" s="81"/>
      <c r="F542" s="81"/>
      <c r="G542" s="61"/>
      <c r="H542" s="269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 t="b">
        <v>0</v>
      </c>
      <c r="AO542" s="258"/>
      <c r="AP542" s="346"/>
      <c r="AQ542" s="300"/>
      <c r="AR542" s="300"/>
      <c r="AS542" s="345"/>
      <c r="AT542" s="345"/>
      <c r="AU542" s="300"/>
      <c r="AV542" s="286" t="b">
        <v>0</v>
      </c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263"/>
      <c r="B543" s="194"/>
      <c r="C543" s="61"/>
      <c r="D543" s="61"/>
      <c r="E543" s="81"/>
      <c r="F543" s="81"/>
      <c r="G543" s="61"/>
      <c r="H543" s="269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 t="b">
        <v>0</v>
      </c>
      <c r="AO543" s="258"/>
      <c r="AP543" s="346"/>
      <c r="AQ543" s="300"/>
      <c r="AR543" s="300"/>
      <c r="AS543" s="345"/>
      <c r="AT543" s="345"/>
      <c r="AU543" s="300"/>
      <c r="AV543" s="286" t="b">
        <v>0</v>
      </c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263"/>
      <c r="B544" s="194"/>
      <c r="C544" s="61"/>
      <c r="D544" s="61"/>
      <c r="E544" s="81"/>
      <c r="F544" s="81"/>
      <c r="G544" s="61"/>
      <c r="H544" s="269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 t="b">
        <v>0</v>
      </c>
      <c r="AO544" s="258"/>
      <c r="AP544" s="346"/>
      <c r="AQ544" s="300"/>
      <c r="AR544" s="300"/>
      <c r="AS544" s="345"/>
      <c r="AT544" s="345"/>
      <c r="AU544" s="300"/>
      <c r="AV544" s="286" t="b">
        <v>0</v>
      </c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263"/>
      <c r="B545" s="194"/>
      <c r="C545" s="61"/>
      <c r="D545" s="61"/>
      <c r="E545" s="81"/>
      <c r="F545" s="81"/>
      <c r="G545" s="61"/>
      <c r="H545" s="269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 t="b">
        <v>0</v>
      </c>
      <c r="AO545" s="258"/>
      <c r="AP545" s="346"/>
      <c r="AQ545" s="300"/>
      <c r="AR545" s="300"/>
      <c r="AS545" s="345"/>
      <c r="AT545" s="345"/>
      <c r="AU545" s="300"/>
      <c r="AV545" s="286" t="b">
        <v>0</v>
      </c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263"/>
      <c r="B546" s="194"/>
      <c r="C546" s="61"/>
      <c r="D546" s="61"/>
      <c r="E546" s="81"/>
      <c r="F546" s="81"/>
      <c r="G546" s="61"/>
      <c r="H546" s="269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 t="b">
        <v>0</v>
      </c>
      <c r="AO546" s="258"/>
      <c r="AP546" s="346"/>
      <c r="AQ546" s="300"/>
      <c r="AR546" s="300"/>
      <c r="AS546" s="345"/>
      <c r="AT546" s="345"/>
      <c r="AU546" s="300"/>
      <c r="AV546" s="286" t="b">
        <v>0</v>
      </c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263"/>
      <c r="B547" s="194"/>
      <c r="C547" s="61"/>
      <c r="D547" s="61"/>
      <c r="E547" s="81"/>
      <c r="F547" s="81"/>
      <c r="G547" s="61"/>
      <c r="H547" s="269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 t="b">
        <v>0</v>
      </c>
      <c r="AO547" s="258"/>
      <c r="AP547" s="346"/>
      <c r="AQ547" s="300"/>
      <c r="AR547" s="300"/>
      <c r="AS547" s="345"/>
      <c r="AT547" s="345"/>
      <c r="AU547" s="300"/>
      <c r="AV547" s="286" t="b">
        <v>0</v>
      </c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263"/>
      <c r="B548" s="194"/>
      <c r="C548" s="61"/>
      <c r="D548" s="61"/>
      <c r="E548" s="81"/>
      <c r="F548" s="81"/>
      <c r="G548" s="61"/>
      <c r="H548" s="269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 t="b">
        <v>0</v>
      </c>
      <c r="AO548" s="258"/>
      <c r="AP548" s="346"/>
      <c r="AQ548" s="300"/>
      <c r="AR548" s="300"/>
      <c r="AS548" s="345"/>
      <c r="AT548" s="345"/>
      <c r="AU548" s="300"/>
      <c r="AV548" s="286" t="b">
        <v>0</v>
      </c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263"/>
      <c r="B549" s="194"/>
      <c r="C549" s="61"/>
      <c r="D549" s="61"/>
      <c r="E549" s="81"/>
      <c r="F549" s="81"/>
      <c r="G549" s="61"/>
      <c r="H549" s="269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 t="b">
        <v>0</v>
      </c>
      <c r="AO549" s="258"/>
      <c r="AP549" s="346"/>
      <c r="AQ549" s="300"/>
      <c r="AR549" s="300"/>
      <c r="AS549" s="345"/>
      <c r="AT549" s="345"/>
      <c r="AU549" s="300"/>
      <c r="AV549" s="286" t="b">
        <v>0</v>
      </c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263"/>
      <c r="B550" s="194"/>
      <c r="C550" s="61"/>
      <c r="D550" s="61"/>
      <c r="E550" s="81"/>
      <c r="F550" s="81"/>
      <c r="G550" s="61"/>
      <c r="H550" s="269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 t="b">
        <v>0</v>
      </c>
      <c r="AO550" s="258"/>
      <c r="AP550" s="346"/>
      <c r="AQ550" s="300"/>
      <c r="AR550" s="300"/>
      <c r="AS550" s="345"/>
      <c r="AT550" s="345"/>
      <c r="AU550" s="300"/>
      <c r="AV550" s="286" t="b">
        <v>0</v>
      </c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263"/>
      <c r="B551" s="194"/>
      <c r="C551" s="61"/>
      <c r="D551" s="61"/>
      <c r="E551" s="81"/>
      <c r="F551" s="81"/>
      <c r="G551" s="61"/>
      <c r="H551" s="269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 t="b">
        <v>0</v>
      </c>
      <c r="AO551" s="258"/>
      <c r="AP551" s="346"/>
      <c r="AQ551" s="300"/>
      <c r="AR551" s="300"/>
      <c r="AS551" s="345"/>
      <c r="AT551" s="345"/>
      <c r="AU551" s="300"/>
      <c r="AV551" s="286" t="b">
        <v>0</v>
      </c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263"/>
      <c r="B552" s="194"/>
      <c r="C552" s="61"/>
      <c r="D552" s="61"/>
      <c r="E552" s="81"/>
      <c r="F552" s="81"/>
      <c r="G552" s="61"/>
      <c r="H552" s="269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 t="b">
        <v>0</v>
      </c>
      <c r="AO552" s="258"/>
      <c r="AP552" s="346"/>
      <c r="AQ552" s="300"/>
      <c r="AR552" s="300"/>
      <c r="AS552" s="345"/>
      <c r="AT552" s="345"/>
      <c r="AU552" s="300"/>
      <c r="AV552" s="286" t="b">
        <v>0</v>
      </c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263"/>
      <c r="B553" s="194"/>
      <c r="C553" s="61"/>
      <c r="D553" s="61"/>
      <c r="E553" s="81"/>
      <c r="F553" s="81"/>
      <c r="G553" s="61"/>
      <c r="H553" s="269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 t="b">
        <v>0</v>
      </c>
      <c r="AO553" s="258"/>
      <c r="AP553" s="346"/>
      <c r="AQ553" s="300"/>
      <c r="AR553" s="300"/>
      <c r="AS553" s="345"/>
      <c r="AT553" s="345"/>
      <c r="AU553" s="300"/>
      <c r="AV553" s="286" t="b">
        <v>0</v>
      </c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263"/>
      <c r="B554" s="194"/>
      <c r="C554" s="61"/>
      <c r="D554" s="61"/>
      <c r="E554" s="81"/>
      <c r="F554" s="81"/>
      <c r="G554" s="61"/>
      <c r="H554" s="269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 t="b">
        <v>0</v>
      </c>
      <c r="AO554" s="258"/>
      <c r="AP554" s="346"/>
      <c r="AQ554" s="300"/>
      <c r="AR554" s="300"/>
      <c r="AS554" s="345"/>
      <c r="AT554" s="345"/>
      <c r="AU554" s="300"/>
      <c r="AV554" s="286" t="b">
        <v>0</v>
      </c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263"/>
      <c r="B555" s="194"/>
      <c r="C555" s="61"/>
      <c r="D555" s="61"/>
      <c r="E555" s="81"/>
      <c r="F555" s="81"/>
      <c r="G555" s="61"/>
      <c r="H555" s="269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 t="b">
        <v>0</v>
      </c>
      <c r="AO555" s="258"/>
      <c r="AP555" s="346"/>
      <c r="AQ555" s="300"/>
      <c r="AR555" s="300"/>
      <c r="AS555" s="345"/>
      <c r="AT555" s="345"/>
      <c r="AU555" s="300"/>
      <c r="AV555" s="286" t="b">
        <v>0</v>
      </c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263"/>
      <c r="B556" s="194"/>
      <c r="C556" s="61"/>
      <c r="D556" s="61"/>
      <c r="E556" s="81"/>
      <c r="F556" s="81"/>
      <c r="G556" s="61"/>
      <c r="H556" s="269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 t="b">
        <v>0</v>
      </c>
      <c r="AO556" s="258"/>
      <c r="AP556" s="346"/>
      <c r="AQ556" s="300"/>
      <c r="AR556" s="300"/>
      <c r="AS556" s="345"/>
      <c r="AT556" s="345"/>
      <c r="AU556" s="300"/>
      <c r="AV556" s="286" t="b">
        <v>0</v>
      </c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263"/>
      <c r="B557" s="194"/>
      <c r="C557" s="61"/>
      <c r="D557" s="61"/>
      <c r="E557" s="81"/>
      <c r="F557" s="81"/>
      <c r="G557" s="61"/>
      <c r="H557" s="269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 t="b">
        <v>0</v>
      </c>
      <c r="AO557" s="258"/>
      <c r="AP557" s="346"/>
      <c r="AQ557" s="300"/>
      <c r="AR557" s="300"/>
      <c r="AS557" s="345"/>
      <c r="AT557" s="345"/>
      <c r="AU557" s="300"/>
      <c r="AV557" s="286" t="b">
        <v>0</v>
      </c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263"/>
      <c r="B558" s="194"/>
      <c r="C558" s="61"/>
      <c r="D558" s="61"/>
      <c r="E558" s="81"/>
      <c r="F558" s="81"/>
      <c r="G558" s="61"/>
      <c r="H558" s="269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 t="b">
        <v>0</v>
      </c>
      <c r="AO558" s="258"/>
      <c r="AP558" s="346"/>
      <c r="AQ558" s="300"/>
      <c r="AR558" s="300"/>
      <c r="AS558" s="345"/>
      <c r="AT558" s="345"/>
      <c r="AU558" s="300"/>
      <c r="AV558" s="286" t="b">
        <v>0</v>
      </c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263"/>
      <c r="B559" s="194"/>
      <c r="C559" s="61"/>
      <c r="D559" s="61"/>
      <c r="E559" s="81"/>
      <c r="F559" s="81"/>
      <c r="G559" s="61"/>
      <c r="H559" s="269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 t="b">
        <v>0</v>
      </c>
      <c r="AO559" s="258"/>
      <c r="AP559" s="346"/>
      <c r="AQ559" s="300"/>
      <c r="AR559" s="300"/>
      <c r="AS559" s="345"/>
      <c r="AT559" s="345"/>
      <c r="AU559" s="300"/>
      <c r="AV559" s="286" t="b">
        <v>0</v>
      </c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263"/>
      <c r="B560" s="194"/>
      <c r="C560" s="61"/>
      <c r="D560" s="61"/>
      <c r="E560" s="81"/>
      <c r="F560" s="81"/>
      <c r="G560" s="61"/>
      <c r="H560" s="269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 t="b">
        <v>0</v>
      </c>
      <c r="AO560" s="258"/>
      <c r="AP560" s="346"/>
      <c r="AQ560" s="300"/>
      <c r="AR560" s="300"/>
      <c r="AS560" s="345"/>
      <c r="AT560" s="345"/>
      <c r="AU560" s="300"/>
      <c r="AV560" s="286" t="b">
        <v>0</v>
      </c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263"/>
      <c r="B561" s="194"/>
      <c r="C561" s="61"/>
      <c r="D561" s="61"/>
      <c r="E561" s="81"/>
      <c r="F561" s="81"/>
      <c r="G561" s="61"/>
      <c r="H561" s="269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 t="b">
        <v>0</v>
      </c>
      <c r="AO561" s="258"/>
      <c r="AP561" s="346"/>
      <c r="AQ561" s="300"/>
      <c r="AR561" s="300"/>
      <c r="AS561" s="345"/>
      <c r="AT561" s="345"/>
      <c r="AU561" s="300"/>
      <c r="AV561" s="286" t="b">
        <v>0</v>
      </c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263"/>
      <c r="B562" s="194"/>
      <c r="C562" s="61"/>
      <c r="D562" s="61"/>
      <c r="E562" s="81"/>
      <c r="F562" s="81"/>
      <c r="G562" s="61"/>
      <c r="H562" s="269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 t="b">
        <v>0</v>
      </c>
      <c r="AO562" s="258"/>
      <c r="AP562" s="346"/>
      <c r="AQ562" s="300"/>
      <c r="AR562" s="300"/>
      <c r="AS562" s="345"/>
      <c r="AT562" s="345"/>
      <c r="AU562" s="300"/>
      <c r="AV562" s="286" t="b">
        <v>0</v>
      </c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263"/>
      <c r="B563" s="194"/>
      <c r="C563" s="61"/>
      <c r="D563" s="61"/>
      <c r="E563" s="81"/>
      <c r="F563" s="81"/>
      <c r="G563" s="61"/>
      <c r="H563" s="269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 t="b">
        <v>0</v>
      </c>
      <c r="AO563" s="258"/>
      <c r="AP563" s="346"/>
      <c r="AQ563" s="300"/>
      <c r="AR563" s="300"/>
      <c r="AS563" s="345"/>
      <c r="AT563" s="345"/>
      <c r="AU563" s="300"/>
      <c r="AV563" s="286" t="b">
        <v>0</v>
      </c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263"/>
      <c r="B564" s="194"/>
      <c r="C564" s="61"/>
      <c r="D564" s="61"/>
      <c r="E564" s="81"/>
      <c r="F564" s="81"/>
      <c r="G564" s="61"/>
      <c r="H564" s="269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 t="b">
        <v>0</v>
      </c>
      <c r="AO564" s="258"/>
      <c r="AP564" s="346"/>
      <c r="AQ564" s="300"/>
      <c r="AR564" s="300"/>
      <c r="AS564" s="345"/>
      <c r="AT564" s="345"/>
      <c r="AU564" s="300"/>
      <c r="AV564" s="286" t="b">
        <v>0</v>
      </c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263"/>
      <c r="B565" s="194"/>
      <c r="C565" s="61"/>
      <c r="D565" s="61"/>
      <c r="E565" s="81"/>
      <c r="F565" s="81"/>
      <c r="G565" s="61"/>
      <c r="H565" s="269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 t="b">
        <v>0</v>
      </c>
      <c r="AO565" s="258"/>
      <c r="AP565" s="346"/>
      <c r="AQ565" s="300"/>
      <c r="AR565" s="300"/>
      <c r="AS565" s="345"/>
      <c r="AT565" s="345"/>
      <c r="AU565" s="300"/>
      <c r="AV565" s="286" t="b">
        <v>0</v>
      </c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263"/>
      <c r="B566" s="194"/>
      <c r="C566" s="61"/>
      <c r="D566" s="61"/>
      <c r="E566" s="81"/>
      <c r="F566" s="81"/>
      <c r="G566" s="61"/>
      <c r="H566" s="269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 t="b">
        <v>0</v>
      </c>
      <c r="AO566" s="258"/>
      <c r="AP566" s="346"/>
      <c r="AQ566" s="300"/>
      <c r="AR566" s="300"/>
      <c r="AS566" s="345"/>
      <c r="AT566" s="345"/>
      <c r="AU566" s="300"/>
      <c r="AV566" s="286" t="b">
        <v>0</v>
      </c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263"/>
      <c r="B567" s="194"/>
      <c r="C567" s="61"/>
      <c r="D567" s="61"/>
      <c r="E567" s="81"/>
      <c r="F567" s="81"/>
      <c r="G567" s="61"/>
      <c r="H567" s="269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 t="b">
        <v>0</v>
      </c>
      <c r="AO567" s="258"/>
      <c r="AP567" s="346"/>
      <c r="AQ567" s="300"/>
      <c r="AR567" s="300"/>
      <c r="AS567" s="345"/>
      <c r="AT567" s="345"/>
      <c r="AU567" s="300"/>
      <c r="AV567" s="286" t="b">
        <v>0</v>
      </c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263"/>
      <c r="B568" s="194"/>
      <c r="C568" s="61"/>
      <c r="D568" s="61"/>
      <c r="E568" s="81"/>
      <c r="F568" s="81"/>
      <c r="G568" s="61"/>
      <c r="H568" s="269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 t="b">
        <v>0</v>
      </c>
      <c r="AO568" s="258"/>
      <c r="AP568" s="346"/>
      <c r="AQ568" s="300"/>
      <c r="AR568" s="300"/>
      <c r="AS568" s="345"/>
      <c r="AT568" s="345"/>
      <c r="AU568" s="300"/>
      <c r="AV568" s="286" t="b">
        <v>0</v>
      </c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263"/>
      <c r="B569" s="194"/>
      <c r="C569" s="61"/>
      <c r="D569" s="61"/>
      <c r="E569" s="81"/>
      <c r="F569" s="81"/>
      <c r="G569" s="61"/>
      <c r="H569" s="269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 t="b">
        <v>0</v>
      </c>
      <c r="AO569" s="258"/>
      <c r="AP569" s="346"/>
      <c r="AQ569" s="300"/>
      <c r="AR569" s="300"/>
      <c r="AS569" s="345"/>
      <c r="AT569" s="345"/>
      <c r="AU569" s="300"/>
      <c r="AV569" s="286" t="b">
        <v>0</v>
      </c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263"/>
      <c r="B570" s="194"/>
      <c r="C570" s="61"/>
      <c r="D570" s="61"/>
      <c r="E570" s="81"/>
      <c r="F570" s="81"/>
      <c r="G570" s="61"/>
      <c r="H570" s="269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 t="b">
        <v>0</v>
      </c>
      <c r="AO570" s="258"/>
      <c r="AP570" s="346"/>
      <c r="AQ570" s="300"/>
      <c r="AR570" s="300"/>
      <c r="AS570" s="345"/>
      <c r="AT570" s="345"/>
      <c r="AU570" s="300"/>
      <c r="AV570" s="286" t="b">
        <v>0</v>
      </c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263"/>
      <c r="B571" s="194"/>
      <c r="C571" s="61"/>
      <c r="D571" s="61"/>
      <c r="E571" s="81"/>
      <c r="F571" s="81"/>
      <c r="G571" s="61"/>
      <c r="H571" s="269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 t="b">
        <v>0</v>
      </c>
      <c r="AO571" s="258"/>
      <c r="AP571" s="346"/>
      <c r="AQ571" s="300"/>
      <c r="AR571" s="300"/>
      <c r="AS571" s="345"/>
      <c r="AT571" s="345"/>
      <c r="AU571" s="300"/>
      <c r="AV571" s="286" t="b">
        <v>0</v>
      </c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263"/>
      <c r="B572" s="194"/>
      <c r="C572" s="61"/>
      <c r="D572" s="61"/>
      <c r="E572" s="81"/>
      <c r="F572" s="81"/>
      <c r="G572" s="61"/>
      <c r="H572" s="269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 t="b">
        <v>0</v>
      </c>
      <c r="AO572" s="258"/>
      <c r="AP572" s="346"/>
      <c r="AQ572" s="300"/>
      <c r="AR572" s="300"/>
      <c r="AS572" s="345"/>
      <c r="AT572" s="345"/>
      <c r="AU572" s="300"/>
      <c r="AV572" s="286" t="b">
        <v>0</v>
      </c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263"/>
      <c r="B573" s="194"/>
      <c r="C573" s="61"/>
      <c r="D573" s="61"/>
      <c r="E573" s="81"/>
      <c r="F573" s="81"/>
      <c r="G573" s="61"/>
      <c r="H573" s="269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 t="b">
        <v>0</v>
      </c>
      <c r="AO573" s="258"/>
      <c r="AP573" s="346"/>
      <c r="AQ573" s="300"/>
      <c r="AR573" s="300"/>
      <c r="AS573" s="345"/>
      <c r="AT573" s="345"/>
      <c r="AU573" s="300"/>
      <c r="AV573" s="286" t="b">
        <v>0</v>
      </c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263"/>
      <c r="B574" s="194"/>
      <c r="C574" s="61"/>
      <c r="D574" s="61"/>
      <c r="E574" s="81"/>
      <c r="F574" s="81"/>
      <c r="G574" s="61"/>
      <c r="H574" s="269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 t="b">
        <v>0</v>
      </c>
      <c r="AO574" s="258"/>
      <c r="AP574" s="346"/>
      <c r="AQ574" s="300"/>
      <c r="AR574" s="300"/>
      <c r="AS574" s="345"/>
      <c r="AT574" s="345"/>
      <c r="AU574" s="300"/>
      <c r="AV574" s="286" t="b">
        <v>0</v>
      </c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263"/>
      <c r="B575" s="194"/>
      <c r="C575" s="61"/>
      <c r="D575" s="61"/>
      <c r="E575" s="81"/>
      <c r="F575" s="81"/>
      <c r="G575" s="61"/>
      <c r="H575" s="269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 t="b">
        <v>0</v>
      </c>
      <c r="AO575" s="258"/>
      <c r="AP575" s="346"/>
      <c r="AQ575" s="300"/>
      <c r="AR575" s="300"/>
      <c r="AS575" s="345"/>
      <c r="AT575" s="345"/>
      <c r="AU575" s="300"/>
      <c r="AV575" s="286" t="b">
        <v>0</v>
      </c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263"/>
      <c r="B576" s="194"/>
      <c r="C576" s="61"/>
      <c r="D576" s="61"/>
      <c r="E576" s="81"/>
      <c r="F576" s="81"/>
      <c r="G576" s="61"/>
      <c r="H576" s="269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 t="b">
        <v>0</v>
      </c>
      <c r="AO576" s="258"/>
      <c r="AP576" s="346"/>
      <c r="AQ576" s="300"/>
      <c r="AR576" s="300"/>
      <c r="AS576" s="345"/>
      <c r="AT576" s="345"/>
      <c r="AU576" s="300"/>
      <c r="AV576" s="286" t="b">
        <v>0</v>
      </c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263"/>
      <c r="B577" s="194"/>
      <c r="C577" s="61"/>
      <c r="D577" s="61"/>
      <c r="E577" s="81"/>
      <c r="F577" s="81"/>
      <c r="G577" s="61"/>
      <c r="H577" s="269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 t="b">
        <v>0</v>
      </c>
      <c r="AO577" s="258"/>
      <c r="AP577" s="346"/>
      <c r="AQ577" s="300"/>
      <c r="AR577" s="300"/>
      <c r="AS577" s="345"/>
      <c r="AT577" s="345"/>
      <c r="AU577" s="300"/>
      <c r="AV577" s="286" t="b">
        <v>0</v>
      </c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263"/>
      <c r="B578" s="194"/>
      <c r="C578" s="61"/>
      <c r="D578" s="61"/>
      <c r="E578" s="81"/>
      <c r="F578" s="81"/>
      <c r="G578" s="61"/>
      <c r="H578" s="269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 t="b">
        <v>0</v>
      </c>
      <c r="AO578" s="258"/>
      <c r="AP578" s="346"/>
      <c r="AQ578" s="300"/>
      <c r="AR578" s="300"/>
      <c r="AS578" s="345"/>
      <c r="AT578" s="345"/>
      <c r="AU578" s="300"/>
      <c r="AV578" s="286" t="b">
        <v>0</v>
      </c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263"/>
      <c r="B579" s="194"/>
      <c r="C579" s="61"/>
      <c r="D579" s="61"/>
      <c r="E579" s="81"/>
      <c r="F579" s="81"/>
      <c r="G579" s="61"/>
      <c r="H579" s="269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 t="b">
        <v>0</v>
      </c>
      <c r="AO579" s="258"/>
      <c r="AP579" s="346"/>
      <c r="AQ579" s="300"/>
      <c r="AR579" s="300"/>
      <c r="AS579" s="345"/>
      <c r="AT579" s="345"/>
      <c r="AU579" s="300"/>
      <c r="AV579" s="286" t="b">
        <v>0</v>
      </c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263"/>
      <c r="B580" s="194"/>
      <c r="C580" s="61"/>
      <c r="D580" s="61"/>
      <c r="E580" s="81"/>
      <c r="F580" s="81"/>
      <c r="G580" s="61"/>
      <c r="H580" s="269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 t="b">
        <v>0</v>
      </c>
      <c r="AO580" s="258"/>
      <c r="AP580" s="346"/>
      <c r="AQ580" s="300"/>
      <c r="AR580" s="300"/>
      <c r="AS580" s="345"/>
      <c r="AT580" s="345"/>
      <c r="AU580" s="300"/>
      <c r="AV580" s="286" t="b">
        <v>0</v>
      </c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263"/>
      <c r="B581" s="194"/>
      <c r="C581" s="61"/>
      <c r="D581" s="61"/>
      <c r="E581" s="81"/>
      <c r="F581" s="81"/>
      <c r="G581" s="61"/>
      <c r="H581" s="269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 t="b">
        <v>0</v>
      </c>
      <c r="AO581" s="258"/>
      <c r="AP581" s="346"/>
      <c r="AQ581" s="300"/>
      <c r="AR581" s="300"/>
      <c r="AS581" s="345"/>
      <c r="AT581" s="345"/>
      <c r="AU581" s="300"/>
      <c r="AV581" s="286" t="b">
        <v>0</v>
      </c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263"/>
      <c r="B582" s="194"/>
      <c r="C582" s="61"/>
      <c r="D582" s="61"/>
      <c r="E582" s="81"/>
      <c r="F582" s="81"/>
      <c r="G582" s="61"/>
      <c r="H582" s="269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 t="b">
        <v>0</v>
      </c>
      <c r="AO582" s="258"/>
      <c r="AP582" s="346"/>
      <c r="AQ582" s="300"/>
      <c r="AR582" s="300"/>
      <c r="AS582" s="345"/>
      <c r="AT582" s="345"/>
      <c r="AU582" s="300"/>
      <c r="AV582" s="286" t="b">
        <v>0</v>
      </c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263"/>
      <c r="B583" s="194"/>
      <c r="C583" s="61"/>
      <c r="D583" s="61"/>
      <c r="E583" s="81"/>
      <c r="F583" s="81"/>
      <c r="G583" s="61"/>
      <c r="H583" s="269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 t="b">
        <v>0</v>
      </c>
      <c r="AO583" s="258"/>
      <c r="AP583" s="346"/>
      <c r="AQ583" s="300"/>
      <c r="AR583" s="300"/>
      <c r="AS583" s="345"/>
      <c r="AT583" s="345"/>
      <c r="AU583" s="300"/>
      <c r="AV583" s="286" t="b">
        <v>0</v>
      </c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263"/>
      <c r="B584" s="194"/>
      <c r="C584" s="61"/>
      <c r="D584" s="61"/>
      <c r="E584" s="81"/>
      <c r="F584" s="81"/>
      <c r="G584" s="61"/>
      <c r="H584" s="269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 t="b">
        <v>0</v>
      </c>
      <c r="AO584" s="258"/>
      <c r="AP584" s="346"/>
      <c r="AQ584" s="300"/>
      <c r="AR584" s="300"/>
      <c r="AS584" s="345"/>
      <c r="AT584" s="345"/>
      <c r="AU584" s="300"/>
      <c r="AV584" s="286" t="b">
        <v>0</v>
      </c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263"/>
      <c r="B585" s="194"/>
      <c r="C585" s="61"/>
      <c r="D585" s="61"/>
      <c r="E585" s="81"/>
      <c r="F585" s="81"/>
      <c r="G585" s="61"/>
      <c r="H585" s="269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 t="b">
        <v>0</v>
      </c>
      <c r="AO585" s="258"/>
      <c r="AP585" s="346"/>
      <c r="AQ585" s="300"/>
      <c r="AR585" s="300"/>
      <c r="AS585" s="345"/>
      <c r="AT585" s="345"/>
      <c r="AU585" s="300"/>
      <c r="AV585" s="286" t="b">
        <v>0</v>
      </c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263"/>
      <c r="B586" s="194"/>
      <c r="C586" s="61"/>
      <c r="D586" s="61"/>
      <c r="E586" s="81"/>
      <c r="F586" s="81"/>
      <c r="G586" s="61"/>
      <c r="H586" s="269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 t="b">
        <v>0</v>
      </c>
      <c r="AO586" s="258"/>
      <c r="AP586" s="346"/>
      <c r="AQ586" s="300"/>
      <c r="AR586" s="300"/>
      <c r="AS586" s="345"/>
      <c r="AT586" s="345"/>
      <c r="AU586" s="300"/>
      <c r="AV586" s="286" t="b">
        <v>0</v>
      </c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263"/>
      <c r="B587" s="194"/>
      <c r="C587" s="61"/>
      <c r="D587" s="61"/>
      <c r="E587" s="81"/>
      <c r="F587" s="81"/>
      <c r="G587" s="61"/>
      <c r="H587" s="269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 t="b">
        <v>0</v>
      </c>
      <c r="AO587" s="258"/>
      <c r="AP587" s="346"/>
      <c r="AQ587" s="300"/>
      <c r="AR587" s="300"/>
      <c r="AS587" s="345"/>
      <c r="AT587" s="345"/>
      <c r="AU587" s="300"/>
      <c r="AV587" s="286" t="b">
        <v>0</v>
      </c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263"/>
      <c r="B588" s="194"/>
      <c r="C588" s="61"/>
      <c r="D588" s="61"/>
      <c r="E588" s="81"/>
      <c r="F588" s="81"/>
      <c r="G588" s="61"/>
      <c r="H588" s="269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 t="b">
        <v>0</v>
      </c>
      <c r="AO588" s="258"/>
      <c r="AP588" s="346"/>
      <c r="AQ588" s="300"/>
      <c r="AR588" s="300"/>
      <c r="AS588" s="345"/>
      <c r="AT588" s="345"/>
      <c r="AU588" s="300"/>
      <c r="AV588" s="286" t="b">
        <v>0</v>
      </c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263"/>
      <c r="B589" s="194"/>
      <c r="C589" s="61"/>
      <c r="D589" s="61"/>
      <c r="E589" s="81"/>
      <c r="F589" s="81"/>
      <c r="G589" s="61"/>
      <c r="H589" s="269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 t="b">
        <v>0</v>
      </c>
      <c r="AO589" s="258"/>
      <c r="AP589" s="346"/>
      <c r="AQ589" s="300"/>
      <c r="AR589" s="300"/>
      <c r="AS589" s="345"/>
      <c r="AT589" s="345"/>
      <c r="AU589" s="300"/>
      <c r="AV589" s="286" t="b">
        <v>0</v>
      </c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263"/>
      <c r="B590" s="194"/>
      <c r="C590" s="61"/>
      <c r="D590" s="61"/>
      <c r="E590" s="81"/>
      <c r="F590" s="81"/>
      <c r="G590" s="61"/>
      <c r="H590" s="269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 t="b">
        <v>0</v>
      </c>
      <c r="AO590" s="258"/>
      <c r="AP590" s="346"/>
      <c r="AQ590" s="300"/>
      <c r="AR590" s="300"/>
      <c r="AS590" s="345"/>
      <c r="AT590" s="345"/>
      <c r="AU590" s="300"/>
      <c r="AV590" s="286" t="b">
        <v>0</v>
      </c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263"/>
      <c r="B591" s="194"/>
      <c r="C591" s="61"/>
      <c r="D591" s="61"/>
      <c r="E591" s="81"/>
      <c r="F591" s="81"/>
      <c r="G591" s="61"/>
      <c r="H591" s="269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 t="b">
        <v>0</v>
      </c>
      <c r="AO591" s="258"/>
      <c r="AP591" s="346"/>
      <c r="AQ591" s="300"/>
      <c r="AR591" s="300"/>
      <c r="AS591" s="345"/>
      <c r="AT591" s="345"/>
      <c r="AU591" s="300"/>
      <c r="AV591" s="286" t="b">
        <v>0</v>
      </c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263"/>
      <c r="B592" s="194"/>
      <c r="C592" s="61"/>
      <c r="D592" s="61"/>
      <c r="E592" s="81"/>
      <c r="F592" s="81"/>
      <c r="G592" s="61"/>
      <c r="H592" s="269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 t="b">
        <v>0</v>
      </c>
      <c r="AO592" s="258"/>
      <c r="AP592" s="346"/>
      <c r="AQ592" s="300"/>
      <c r="AR592" s="300"/>
      <c r="AS592" s="345"/>
      <c r="AT592" s="345"/>
      <c r="AU592" s="300"/>
      <c r="AV592" s="286" t="b">
        <v>0</v>
      </c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263"/>
      <c r="B593" s="194"/>
      <c r="C593" s="61"/>
      <c r="D593" s="61"/>
      <c r="E593" s="81"/>
      <c r="F593" s="81"/>
      <c r="G593" s="61"/>
      <c r="H593" s="269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 t="b">
        <v>0</v>
      </c>
      <c r="AO593" s="258"/>
      <c r="AP593" s="346"/>
      <c r="AQ593" s="300"/>
      <c r="AR593" s="300"/>
      <c r="AS593" s="345"/>
      <c r="AT593" s="345"/>
      <c r="AU593" s="300"/>
      <c r="AV593" s="286" t="b">
        <v>0</v>
      </c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263"/>
      <c r="B594" s="194"/>
      <c r="C594" s="61"/>
      <c r="D594" s="61"/>
      <c r="E594" s="81"/>
      <c r="F594" s="81"/>
      <c r="G594" s="61"/>
      <c r="H594" s="269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 t="b">
        <v>0</v>
      </c>
      <c r="AO594" s="258"/>
      <c r="AP594" s="346"/>
      <c r="AQ594" s="300"/>
      <c r="AR594" s="300"/>
      <c r="AS594" s="345"/>
      <c r="AT594" s="345"/>
      <c r="AU594" s="300"/>
      <c r="AV594" s="286" t="b">
        <v>0</v>
      </c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263"/>
      <c r="B595" s="194"/>
      <c r="C595" s="61"/>
      <c r="D595" s="61"/>
      <c r="E595" s="81"/>
      <c r="F595" s="81"/>
      <c r="G595" s="61"/>
      <c r="H595" s="269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 t="b">
        <v>0</v>
      </c>
      <c r="AO595" s="258"/>
      <c r="AP595" s="346"/>
      <c r="AQ595" s="300"/>
      <c r="AR595" s="300"/>
      <c r="AS595" s="345"/>
      <c r="AT595" s="345"/>
      <c r="AU595" s="300"/>
      <c r="AV595" s="286" t="b">
        <v>0</v>
      </c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263"/>
      <c r="B596" s="194"/>
      <c r="C596" s="61"/>
      <c r="D596" s="61"/>
      <c r="E596" s="81"/>
      <c r="F596" s="81"/>
      <c r="G596" s="61"/>
      <c r="H596" s="269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 t="b">
        <v>0</v>
      </c>
      <c r="AO596" s="258"/>
      <c r="AP596" s="346"/>
      <c r="AQ596" s="300"/>
      <c r="AR596" s="300"/>
      <c r="AS596" s="345"/>
      <c r="AT596" s="345"/>
      <c r="AU596" s="300"/>
      <c r="AV596" s="286" t="b">
        <v>0</v>
      </c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263"/>
      <c r="B597" s="194"/>
      <c r="C597" s="61"/>
      <c r="D597" s="61"/>
      <c r="E597" s="81"/>
      <c r="F597" s="81"/>
      <c r="G597" s="61"/>
      <c r="H597" s="269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 t="b">
        <v>0</v>
      </c>
      <c r="AO597" s="258"/>
      <c r="AP597" s="346"/>
      <c r="AQ597" s="300"/>
      <c r="AR597" s="300"/>
      <c r="AS597" s="345"/>
      <c r="AT597" s="345"/>
      <c r="AU597" s="300"/>
      <c r="AV597" s="286" t="b">
        <v>0</v>
      </c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263"/>
      <c r="B598" s="194"/>
      <c r="C598" s="61"/>
      <c r="D598" s="61"/>
      <c r="E598" s="81"/>
      <c r="F598" s="81"/>
      <c r="G598" s="61"/>
      <c r="H598" s="269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 t="b">
        <v>0</v>
      </c>
      <c r="AO598" s="258"/>
      <c r="AP598" s="346"/>
      <c r="AQ598" s="300"/>
      <c r="AR598" s="300"/>
      <c r="AS598" s="345"/>
      <c r="AT598" s="345"/>
      <c r="AU598" s="300"/>
      <c r="AV598" s="286" t="b">
        <v>0</v>
      </c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263"/>
      <c r="B599" s="194"/>
      <c r="C599" s="61"/>
      <c r="D599" s="61"/>
      <c r="E599" s="81"/>
      <c r="F599" s="81"/>
      <c r="G599" s="61"/>
      <c r="H599" s="269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 t="b">
        <v>0</v>
      </c>
      <c r="AO599" s="258"/>
      <c r="AP599" s="346"/>
      <c r="AQ599" s="300"/>
      <c r="AR599" s="300"/>
      <c r="AS599" s="345"/>
      <c r="AT599" s="345"/>
      <c r="AU599" s="300"/>
      <c r="AV599" s="286" t="b">
        <v>0</v>
      </c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263"/>
      <c r="B600" s="194"/>
      <c r="C600" s="61"/>
      <c r="D600" s="61"/>
      <c r="E600" s="81"/>
      <c r="F600" s="81"/>
      <c r="G600" s="61"/>
      <c r="H600" s="269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 t="b">
        <v>0</v>
      </c>
      <c r="AO600" s="258"/>
      <c r="AP600" s="346"/>
      <c r="AQ600" s="300"/>
      <c r="AR600" s="300"/>
      <c r="AS600" s="345"/>
      <c r="AT600" s="345"/>
      <c r="AU600" s="300"/>
      <c r="AV600" s="286" t="b">
        <v>0</v>
      </c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263"/>
      <c r="B601" s="194"/>
      <c r="C601" s="61"/>
      <c r="D601" s="61"/>
      <c r="E601" s="81"/>
      <c r="F601" s="81"/>
      <c r="G601" s="61"/>
      <c r="H601" s="269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 t="b">
        <v>0</v>
      </c>
      <c r="AO601" s="258"/>
      <c r="AP601" s="346"/>
      <c r="AQ601" s="300"/>
      <c r="AR601" s="300"/>
      <c r="AS601" s="345"/>
      <c r="AT601" s="345"/>
      <c r="AU601" s="300"/>
      <c r="AV601" s="286" t="b">
        <v>0</v>
      </c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263"/>
      <c r="B602" s="194"/>
      <c r="C602" s="61"/>
      <c r="D602" s="61"/>
      <c r="E602" s="81"/>
      <c r="F602" s="81"/>
      <c r="G602" s="61"/>
      <c r="H602" s="269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 t="b">
        <v>0</v>
      </c>
      <c r="AO602" s="258"/>
      <c r="AP602" s="346"/>
      <c r="AQ602" s="300"/>
      <c r="AR602" s="300"/>
      <c r="AS602" s="345"/>
      <c r="AT602" s="345"/>
      <c r="AU602" s="300"/>
      <c r="AV602" s="286" t="b">
        <v>0</v>
      </c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263"/>
      <c r="B603" s="194"/>
      <c r="C603" s="61"/>
      <c r="D603" s="61"/>
      <c r="E603" s="81"/>
      <c r="F603" s="81"/>
      <c r="G603" s="61"/>
      <c r="H603" s="269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 t="b">
        <v>0</v>
      </c>
      <c r="AO603" s="258"/>
      <c r="AP603" s="346"/>
      <c r="AQ603" s="300"/>
      <c r="AR603" s="300"/>
      <c r="AS603" s="345"/>
      <c r="AT603" s="345"/>
      <c r="AU603" s="300"/>
      <c r="AV603" s="286" t="b">
        <v>0</v>
      </c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263"/>
      <c r="B604" s="194"/>
      <c r="C604" s="61"/>
      <c r="D604" s="61"/>
      <c r="E604" s="81"/>
      <c r="F604" s="81"/>
      <c r="G604" s="61"/>
      <c r="H604" s="269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 t="b">
        <v>0</v>
      </c>
      <c r="AO604" s="258"/>
      <c r="AP604" s="346"/>
      <c r="AQ604" s="300"/>
      <c r="AR604" s="300"/>
      <c r="AS604" s="345"/>
      <c r="AT604" s="345"/>
      <c r="AU604" s="300"/>
      <c r="AV604" s="286" t="b">
        <v>0</v>
      </c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263"/>
      <c r="B605" s="194"/>
      <c r="C605" s="61"/>
      <c r="D605" s="61"/>
      <c r="E605" s="81"/>
      <c r="F605" s="81"/>
      <c r="G605" s="61"/>
      <c r="H605" s="269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 t="b">
        <v>0</v>
      </c>
      <c r="AO605" s="258"/>
      <c r="AP605" s="346"/>
      <c r="AQ605" s="300"/>
      <c r="AR605" s="300"/>
      <c r="AS605" s="345"/>
      <c r="AT605" s="345"/>
      <c r="AU605" s="300"/>
      <c r="AV605" s="286" t="b">
        <v>0</v>
      </c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263"/>
      <c r="B606" s="194"/>
      <c r="C606" s="61"/>
      <c r="D606" s="61"/>
      <c r="E606" s="81"/>
      <c r="F606" s="81"/>
      <c r="G606" s="61"/>
      <c r="H606" s="269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 t="b">
        <v>0</v>
      </c>
      <c r="AO606" s="258"/>
      <c r="AP606" s="346"/>
      <c r="AQ606" s="300"/>
      <c r="AR606" s="300"/>
      <c r="AS606" s="345"/>
      <c r="AT606" s="345"/>
      <c r="AU606" s="300"/>
      <c r="AV606" s="286" t="b">
        <v>0</v>
      </c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263"/>
      <c r="B607" s="194"/>
      <c r="C607" s="61"/>
      <c r="D607" s="61"/>
      <c r="E607" s="81"/>
      <c r="F607" s="81"/>
      <c r="G607" s="61"/>
      <c r="H607" s="269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 t="b">
        <v>0</v>
      </c>
      <c r="AO607" s="258"/>
      <c r="AP607" s="346"/>
      <c r="AQ607" s="300"/>
      <c r="AR607" s="300"/>
      <c r="AS607" s="345"/>
      <c r="AT607" s="345"/>
      <c r="AU607" s="300"/>
      <c r="AV607" s="286" t="b">
        <v>0</v>
      </c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263"/>
      <c r="B608" s="194"/>
      <c r="C608" s="61"/>
      <c r="D608" s="61"/>
      <c r="E608" s="81"/>
      <c r="F608" s="81"/>
      <c r="G608" s="61"/>
      <c r="H608" s="269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 t="b">
        <v>0</v>
      </c>
      <c r="AO608" s="258"/>
      <c r="AP608" s="346"/>
      <c r="AQ608" s="300"/>
      <c r="AR608" s="300"/>
      <c r="AS608" s="345"/>
      <c r="AT608" s="345"/>
      <c r="AU608" s="300"/>
      <c r="AV608" s="286" t="b">
        <v>0</v>
      </c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263"/>
      <c r="B609" s="194"/>
      <c r="C609" s="61"/>
      <c r="D609" s="61"/>
      <c r="E609" s="81"/>
      <c r="F609" s="81"/>
      <c r="G609" s="61"/>
      <c r="H609" s="269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 t="b">
        <v>0</v>
      </c>
      <c r="AO609" s="258"/>
      <c r="AP609" s="346"/>
      <c r="AQ609" s="300"/>
      <c r="AR609" s="300"/>
      <c r="AS609" s="345"/>
      <c r="AT609" s="345"/>
      <c r="AU609" s="300"/>
      <c r="AV609" s="286" t="b">
        <v>0</v>
      </c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263"/>
      <c r="B610" s="194"/>
      <c r="C610" s="61"/>
      <c r="D610" s="61"/>
      <c r="E610" s="81"/>
      <c r="F610" s="81"/>
      <c r="G610" s="61"/>
      <c r="H610" s="269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 t="b">
        <v>0</v>
      </c>
      <c r="AO610" s="258"/>
      <c r="AP610" s="346"/>
      <c r="AQ610" s="300"/>
      <c r="AR610" s="300"/>
      <c r="AS610" s="345"/>
      <c r="AT610" s="345"/>
      <c r="AU610" s="300"/>
      <c r="AV610" s="286" t="b">
        <v>0</v>
      </c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263"/>
      <c r="B611" s="194"/>
      <c r="C611" s="61"/>
      <c r="D611" s="61"/>
      <c r="E611" s="81"/>
      <c r="F611" s="81"/>
      <c r="G611" s="61"/>
      <c r="H611" s="269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 t="b">
        <v>0</v>
      </c>
      <c r="AO611" s="258"/>
      <c r="AP611" s="346"/>
      <c r="AQ611" s="300"/>
      <c r="AR611" s="300"/>
      <c r="AS611" s="345"/>
      <c r="AT611" s="345"/>
      <c r="AU611" s="300"/>
      <c r="AV611" s="286" t="b">
        <v>0</v>
      </c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263"/>
      <c r="B612" s="194"/>
      <c r="C612" s="61"/>
      <c r="D612" s="61"/>
      <c r="E612" s="81"/>
      <c r="F612" s="81"/>
      <c r="G612" s="61"/>
      <c r="H612" s="269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 t="b">
        <v>0</v>
      </c>
      <c r="AO612" s="258"/>
      <c r="AP612" s="346"/>
      <c r="AQ612" s="300"/>
      <c r="AR612" s="300"/>
      <c r="AS612" s="345"/>
      <c r="AT612" s="345"/>
      <c r="AU612" s="300"/>
      <c r="AV612" s="286" t="b">
        <v>0</v>
      </c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263"/>
      <c r="B613" s="194"/>
      <c r="C613" s="61"/>
      <c r="D613" s="61"/>
      <c r="E613" s="81"/>
      <c r="F613" s="81"/>
      <c r="G613" s="61"/>
      <c r="H613" s="269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 t="b">
        <v>0</v>
      </c>
      <c r="AO613" s="258"/>
      <c r="AP613" s="346"/>
      <c r="AQ613" s="300"/>
      <c r="AR613" s="300"/>
      <c r="AS613" s="345"/>
      <c r="AT613" s="345"/>
      <c r="AU613" s="300"/>
      <c r="AV613" s="286" t="b">
        <v>0</v>
      </c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263"/>
      <c r="B614" s="194"/>
      <c r="C614" s="61"/>
      <c r="D614" s="61"/>
      <c r="E614" s="81"/>
      <c r="F614" s="81"/>
      <c r="G614" s="61"/>
      <c r="H614" s="269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 t="b">
        <v>0</v>
      </c>
      <c r="AO614" s="258"/>
      <c r="AP614" s="346"/>
      <c r="AQ614" s="300"/>
      <c r="AR614" s="300"/>
      <c r="AS614" s="345"/>
      <c r="AT614" s="345"/>
      <c r="AU614" s="300"/>
      <c r="AV614" s="286" t="b">
        <v>0</v>
      </c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263"/>
      <c r="B615" s="194"/>
      <c r="C615" s="61"/>
      <c r="D615" s="61"/>
      <c r="E615" s="81"/>
      <c r="F615" s="81"/>
      <c r="G615" s="61"/>
      <c r="H615" s="269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 t="b">
        <v>0</v>
      </c>
      <c r="AO615" s="258"/>
      <c r="AP615" s="346"/>
      <c r="AQ615" s="300"/>
      <c r="AR615" s="300"/>
      <c r="AS615" s="345"/>
      <c r="AT615" s="345"/>
      <c r="AU615" s="300"/>
      <c r="AV615" s="286" t="b">
        <v>0</v>
      </c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263"/>
      <c r="B616" s="194"/>
      <c r="C616" s="61"/>
      <c r="D616" s="61"/>
      <c r="E616" s="81"/>
      <c r="F616" s="81"/>
      <c r="G616" s="61"/>
      <c r="H616" s="269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 t="b">
        <v>0</v>
      </c>
      <c r="AO616" s="258"/>
      <c r="AP616" s="346"/>
      <c r="AQ616" s="300"/>
      <c r="AR616" s="300"/>
      <c r="AS616" s="345"/>
      <c r="AT616" s="345"/>
      <c r="AU616" s="300"/>
      <c r="AV616" s="286" t="b">
        <v>0</v>
      </c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263"/>
      <c r="B617" s="194"/>
      <c r="C617" s="61"/>
      <c r="D617" s="61"/>
      <c r="E617" s="81"/>
      <c r="F617" s="81"/>
      <c r="G617" s="61"/>
      <c r="H617" s="269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 t="b">
        <v>0</v>
      </c>
      <c r="AO617" s="258"/>
      <c r="AP617" s="346"/>
      <c r="AQ617" s="300"/>
      <c r="AR617" s="300"/>
      <c r="AS617" s="345"/>
      <c r="AT617" s="345"/>
      <c r="AU617" s="300"/>
      <c r="AV617" s="286" t="b">
        <v>0</v>
      </c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263"/>
      <c r="B618" s="194"/>
      <c r="C618" s="61"/>
      <c r="D618" s="61"/>
      <c r="E618" s="81"/>
      <c r="F618" s="81"/>
      <c r="G618" s="61"/>
      <c r="H618" s="269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 t="b">
        <v>0</v>
      </c>
      <c r="AO618" s="258"/>
      <c r="AP618" s="346"/>
      <c r="AQ618" s="300"/>
      <c r="AR618" s="300"/>
      <c r="AS618" s="345"/>
      <c r="AT618" s="345"/>
      <c r="AU618" s="300"/>
      <c r="AV618" s="286" t="b">
        <v>0</v>
      </c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263"/>
      <c r="B619" s="194"/>
      <c r="C619" s="61"/>
      <c r="D619" s="61"/>
      <c r="E619" s="81"/>
      <c r="F619" s="81"/>
      <c r="G619" s="61"/>
      <c r="H619" s="269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 t="b">
        <v>0</v>
      </c>
      <c r="AO619" s="258"/>
      <c r="AP619" s="346"/>
      <c r="AQ619" s="300"/>
      <c r="AR619" s="300"/>
      <c r="AS619" s="345"/>
      <c r="AT619" s="345"/>
      <c r="AU619" s="300"/>
      <c r="AV619" s="286" t="b">
        <v>0</v>
      </c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263"/>
      <c r="B620" s="194"/>
      <c r="C620" s="61"/>
      <c r="D620" s="61"/>
      <c r="E620" s="81"/>
      <c r="F620" s="81"/>
      <c r="G620" s="61"/>
      <c r="H620" s="269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 t="b">
        <v>0</v>
      </c>
      <c r="AO620" s="258"/>
      <c r="AP620" s="346"/>
      <c r="AQ620" s="300"/>
      <c r="AR620" s="300"/>
      <c r="AS620" s="345"/>
      <c r="AT620" s="345"/>
      <c r="AU620" s="300"/>
      <c r="AV620" s="286" t="b">
        <v>0</v>
      </c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263"/>
      <c r="B621" s="194"/>
      <c r="C621" s="61"/>
      <c r="D621" s="61"/>
      <c r="E621" s="81"/>
      <c r="F621" s="81"/>
      <c r="G621" s="61"/>
      <c r="H621" s="269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 t="b">
        <v>0</v>
      </c>
      <c r="AO621" s="258"/>
      <c r="AP621" s="346"/>
      <c r="AQ621" s="300"/>
      <c r="AR621" s="300"/>
      <c r="AS621" s="345"/>
      <c r="AT621" s="345"/>
      <c r="AU621" s="300"/>
      <c r="AV621" s="286" t="b">
        <v>0</v>
      </c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263"/>
      <c r="B622" s="194"/>
      <c r="C622" s="61"/>
      <c r="D622" s="61"/>
      <c r="E622" s="81"/>
      <c r="F622" s="81"/>
      <c r="G622" s="61"/>
      <c r="H622" s="269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 t="b">
        <v>0</v>
      </c>
      <c r="AO622" s="258"/>
      <c r="AP622" s="346"/>
      <c r="AQ622" s="300"/>
      <c r="AR622" s="300"/>
      <c r="AS622" s="345"/>
      <c r="AT622" s="345"/>
      <c r="AU622" s="300"/>
      <c r="AV622" s="286" t="b">
        <v>0</v>
      </c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263"/>
      <c r="B623" s="194"/>
      <c r="C623" s="61"/>
      <c r="D623" s="61"/>
      <c r="E623" s="81"/>
      <c r="F623" s="81"/>
      <c r="G623" s="61"/>
      <c r="H623" s="269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 t="b">
        <v>0</v>
      </c>
      <c r="AO623" s="258"/>
      <c r="AP623" s="346"/>
      <c r="AQ623" s="300"/>
      <c r="AR623" s="300"/>
      <c r="AS623" s="345"/>
      <c r="AT623" s="345"/>
      <c r="AU623" s="300"/>
      <c r="AV623" s="286" t="b">
        <v>0</v>
      </c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263"/>
      <c r="B624" s="194"/>
      <c r="C624" s="61"/>
      <c r="D624" s="61"/>
      <c r="E624" s="81"/>
      <c r="F624" s="81"/>
      <c r="G624" s="61"/>
      <c r="H624" s="269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 t="b">
        <v>0</v>
      </c>
      <c r="AO624" s="258"/>
      <c r="AP624" s="346"/>
      <c r="AQ624" s="300"/>
      <c r="AR624" s="300"/>
      <c r="AS624" s="345"/>
      <c r="AT624" s="345"/>
      <c r="AU624" s="300"/>
      <c r="AV624" s="286" t="b">
        <v>0</v>
      </c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263"/>
      <c r="B625" s="194"/>
      <c r="C625" s="61"/>
      <c r="D625" s="61"/>
      <c r="E625" s="81"/>
      <c r="F625" s="81"/>
      <c r="G625" s="61"/>
      <c r="H625" s="269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 t="b">
        <v>0</v>
      </c>
      <c r="AO625" s="258"/>
      <c r="AP625" s="346"/>
      <c r="AQ625" s="300"/>
      <c r="AR625" s="300"/>
      <c r="AS625" s="345"/>
      <c r="AT625" s="345"/>
      <c r="AU625" s="300"/>
      <c r="AV625" s="286" t="b">
        <v>0</v>
      </c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263"/>
      <c r="B626" s="194"/>
      <c r="C626" s="61"/>
      <c r="D626" s="61"/>
      <c r="E626" s="81"/>
      <c r="F626" s="81"/>
      <c r="G626" s="61"/>
      <c r="H626" s="269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 t="b">
        <v>0</v>
      </c>
      <c r="AO626" s="258"/>
      <c r="AP626" s="346"/>
      <c r="AQ626" s="300"/>
      <c r="AR626" s="300"/>
      <c r="AS626" s="345"/>
      <c r="AT626" s="345"/>
      <c r="AU626" s="300"/>
      <c r="AV626" s="286" t="b">
        <v>0</v>
      </c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263"/>
      <c r="B627" s="194"/>
      <c r="C627" s="61"/>
      <c r="D627" s="61"/>
      <c r="E627" s="81"/>
      <c r="F627" s="81"/>
      <c r="G627" s="61"/>
      <c r="H627" s="269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 t="b">
        <v>0</v>
      </c>
      <c r="AO627" s="258"/>
      <c r="AP627" s="346"/>
      <c r="AQ627" s="300"/>
      <c r="AR627" s="300"/>
      <c r="AS627" s="345"/>
      <c r="AT627" s="345"/>
      <c r="AU627" s="300"/>
      <c r="AV627" s="286" t="b">
        <v>0</v>
      </c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263"/>
      <c r="B628" s="194"/>
      <c r="C628" s="61"/>
      <c r="D628" s="61"/>
      <c r="E628" s="81"/>
      <c r="F628" s="81"/>
      <c r="G628" s="61"/>
      <c r="H628" s="269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 t="b">
        <v>0</v>
      </c>
      <c r="AO628" s="258"/>
      <c r="AP628" s="346"/>
      <c r="AQ628" s="300"/>
      <c r="AR628" s="300"/>
      <c r="AS628" s="345"/>
      <c r="AT628" s="345"/>
      <c r="AU628" s="300"/>
      <c r="AV628" s="286" t="b">
        <v>0</v>
      </c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263"/>
      <c r="B629" s="194"/>
      <c r="C629" s="61"/>
      <c r="D629" s="61"/>
      <c r="E629" s="81"/>
      <c r="F629" s="81"/>
      <c r="G629" s="61"/>
      <c r="H629" s="269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 t="b">
        <v>0</v>
      </c>
      <c r="AO629" s="258"/>
      <c r="AP629" s="346"/>
      <c r="AQ629" s="300"/>
      <c r="AR629" s="300"/>
      <c r="AS629" s="345"/>
      <c r="AT629" s="345"/>
      <c r="AU629" s="300"/>
      <c r="AV629" s="286" t="b">
        <v>0</v>
      </c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263"/>
      <c r="B630" s="194"/>
      <c r="C630" s="61"/>
      <c r="D630" s="61"/>
      <c r="E630" s="81"/>
      <c r="F630" s="81"/>
      <c r="G630" s="61"/>
      <c r="H630" s="269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 t="b">
        <v>0</v>
      </c>
      <c r="AO630" s="258"/>
      <c r="AP630" s="346"/>
      <c r="AQ630" s="300"/>
      <c r="AR630" s="300"/>
      <c r="AS630" s="345"/>
      <c r="AT630" s="345"/>
      <c r="AU630" s="300"/>
      <c r="AV630" s="286" t="b">
        <v>0</v>
      </c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263"/>
      <c r="B631" s="194"/>
      <c r="C631" s="61"/>
      <c r="D631" s="61"/>
      <c r="E631" s="81"/>
      <c r="F631" s="81"/>
      <c r="G631" s="61"/>
      <c r="H631" s="269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 t="b">
        <v>0</v>
      </c>
      <c r="AO631" s="258"/>
      <c r="AP631" s="346"/>
      <c r="AQ631" s="300"/>
      <c r="AR631" s="300"/>
      <c r="AS631" s="345"/>
      <c r="AT631" s="345"/>
      <c r="AU631" s="300"/>
      <c r="AV631" s="286" t="b">
        <v>0</v>
      </c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263"/>
      <c r="B632" s="194"/>
      <c r="C632" s="61"/>
      <c r="D632" s="61"/>
      <c r="E632" s="81"/>
      <c r="F632" s="81"/>
      <c r="G632" s="61"/>
      <c r="H632" s="269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 t="b">
        <v>0</v>
      </c>
      <c r="AO632" s="258"/>
      <c r="AP632" s="346"/>
      <c r="AQ632" s="300"/>
      <c r="AR632" s="300"/>
      <c r="AS632" s="345"/>
      <c r="AT632" s="345"/>
      <c r="AU632" s="300"/>
      <c r="AV632" s="286" t="b">
        <v>0</v>
      </c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263"/>
      <c r="B633" s="194"/>
      <c r="C633" s="61"/>
      <c r="D633" s="61"/>
      <c r="E633" s="81"/>
      <c r="F633" s="81"/>
      <c r="G633" s="61"/>
      <c r="H633" s="269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 t="b">
        <v>0</v>
      </c>
      <c r="AO633" s="258"/>
      <c r="AP633" s="346"/>
      <c r="AQ633" s="300"/>
      <c r="AR633" s="300"/>
      <c r="AS633" s="345"/>
      <c r="AT633" s="345"/>
      <c r="AU633" s="300"/>
      <c r="AV633" s="286" t="b">
        <v>0</v>
      </c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263"/>
      <c r="B634" s="194"/>
      <c r="C634" s="61"/>
      <c r="D634" s="61"/>
      <c r="E634" s="81"/>
      <c r="F634" s="81"/>
      <c r="G634" s="61"/>
      <c r="H634" s="269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 t="b">
        <v>0</v>
      </c>
      <c r="AO634" s="258"/>
      <c r="AP634" s="346"/>
      <c r="AQ634" s="300"/>
      <c r="AR634" s="300"/>
      <c r="AS634" s="345"/>
      <c r="AT634" s="345"/>
      <c r="AU634" s="300"/>
      <c r="AV634" s="286" t="b">
        <v>0</v>
      </c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263"/>
      <c r="B635" s="194"/>
      <c r="C635" s="61"/>
      <c r="D635" s="61"/>
      <c r="E635" s="81"/>
      <c r="F635" s="81"/>
      <c r="G635" s="61"/>
      <c r="H635" s="269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 t="b">
        <v>0</v>
      </c>
      <c r="AO635" s="258"/>
      <c r="AP635" s="346"/>
      <c r="AQ635" s="300"/>
      <c r="AR635" s="300"/>
      <c r="AS635" s="345"/>
      <c r="AT635" s="345"/>
      <c r="AU635" s="300"/>
      <c r="AV635" s="286" t="b">
        <v>0</v>
      </c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263"/>
      <c r="B636" s="194"/>
      <c r="C636" s="61"/>
      <c r="D636" s="61"/>
      <c r="E636" s="81"/>
      <c r="F636" s="81"/>
      <c r="G636" s="61"/>
      <c r="H636" s="269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 t="b">
        <v>0</v>
      </c>
      <c r="AO636" s="258"/>
      <c r="AP636" s="346"/>
      <c r="AQ636" s="300"/>
      <c r="AR636" s="300"/>
      <c r="AS636" s="345"/>
      <c r="AT636" s="345"/>
      <c r="AU636" s="300"/>
      <c r="AV636" s="286" t="b">
        <v>0</v>
      </c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263"/>
      <c r="B637" s="194"/>
      <c r="C637" s="61"/>
      <c r="D637" s="61"/>
      <c r="E637" s="81"/>
      <c r="F637" s="81"/>
      <c r="G637" s="61"/>
      <c r="H637" s="269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 t="b">
        <v>0</v>
      </c>
      <c r="AO637" s="258"/>
      <c r="AP637" s="346"/>
      <c r="AQ637" s="300"/>
      <c r="AR637" s="300"/>
      <c r="AS637" s="345"/>
      <c r="AT637" s="345"/>
      <c r="AU637" s="300"/>
      <c r="AV637" s="286" t="b">
        <v>0</v>
      </c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263"/>
      <c r="B638" s="194"/>
      <c r="C638" s="61"/>
      <c r="D638" s="61"/>
      <c r="E638" s="81"/>
      <c r="F638" s="81"/>
      <c r="G638" s="61"/>
      <c r="H638" s="269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 t="b">
        <v>0</v>
      </c>
      <c r="AO638" s="258"/>
      <c r="AP638" s="346"/>
      <c r="AQ638" s="300"/>
      <c r="AR638" s="300"/>
      <c r="AS638" s="345"/>
      <c r="AT638" s="345"/>
      <c r="AU638" s="300"/>
      <c r="AV638" s="286" t="b">
        <v>0</v>
      </c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263"/>
      <c r="B639" s="194"/>
      <c r="C639" s="61"/>
      <c r="D639" s="61"/>
      <c r="E639" s="81"/>
      <c r="F639" s="81"/>
      <c r="G639" s="61"/>
      <c r="H639" s="269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 t="b">
        <v>0</v>
      </c>
      <c r="AO639" s="258"/>
      <c r="AP639" s="346"/>
      <c r="AQ639" s="300"/>
      <c r="AR639" s="300"/>
      <c r="AS639" s="345"/>
      <c r="AT639" s="345"/>
      <c r="AU639" s="300"/>
      <c r="AV639" s="286" t="b">
        <v>0</v>
      </c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263"/>
      <c r="B640" s="194"/>
      <c r="C640" s="61"/>
      <c r="D640" s="61"/>
      <c r="E640" s="81"/>
      <c r="F640" s="81"/>
      <c r="G640" s="61"/>
      <c r="H640" s="269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 t="b">
        <v>0</v>
      </c>
      <c r="AO640" s="258"/>
      <c r="AP640" s="346"/>
      <c r="AQ640" s="300"/>
      <c r="AR640" s="300"/>
      <c r="AS640" s="345"/>
      <c r="AT640" s="345"/>
      <c r="AU640" s="300"/>
      <c r="AV640" s="286" t="b">
        <v>0</v>
      </c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263"/>
      <c r="B641" s="194"/>
      <c r="C641" s="61"/>
      <c r="D641" s="61"/>
      <c r="E641" s="81"/>
      <c r="F641" s="81"/>
      <c r="G641" s="61"/>
      <c r="H641" s="269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 t="b">
        <v>0</v>
      </c>
      <c r="AO641" s="258"/>
      <c r="AP641" s="346"/>
      <c r="AQ641" s="300"/>
      <c r="AR641" s="300"/>
      <c r="AS641" s="345"/>
      <c r="AT641" s="345"/>
      <c r="AU641" s="300"/>
      <c r="AV641" s="286" t="b">
        <v>0</v>
      </c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263"/>
      <c r="B642" s="194"/>
      <c r="C642" s="61"/>
      <c r="D642" s="61"/>
      <c r="E642" s="81"/>
      <c r="F642" s="81"/>
      <c r="G642" s="61"/>
      <c r="H642" s="269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 t="b">
        <v>0</v>
      </c>
      <c r="AO642" s="258"/>
      <c r="AP642" s="346"/>
      <c r="AQ642" s="300"/>
      <c r="AR642" s="300"/>
      <c r="AS642" s="345"/>
      <c r="AT642" s="345"/>
      <c r="AU642" s="300"/>
      <c r="AV642" s="286" t="b">
        <v>0</v>
      </c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263"/>
      <c r="B643" s="194"/>
      <c r="C643" s="61"/>
      <c r="D643" s="61"/>
      <c r="E643" s="81"/>
      <c r="F643" s="81"/>
      <c r="G643" s="61"/>
      <c r="H643" s="269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 t="b">
        <v>0</v>
      </c>
      <c r="AO643" s="258"/>
      <c r="AP643" s="346"/>
      <c r="AQ643" s="300"/>
      <c r="AR643" s="300"/>
      <c r="AS643" s="345"/>
      <c r="AT643" s="345"/>
      <c r="AU643" s="300"/>
      <c r="AV643" s="286" t="b">
        <v>0</v>
      </c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263"/>
      <c r="B644" s="194"/>
      <c r="C644" s="61"/>
      <c r="D644" s="61"/>
      <c r="E644" s="81"/>
      <c r="F644" s="81"/>
      <c r="G644" s="61"/>
      <c r="H644" s="269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 t="b">
        <v>0</v>
      </c>
      <c r="AO644" s="258"/>
      <c r="AP644" s="346"/>
      <c r="AQ644" s="300"/>
      <c r="AR644" s="300"/>
      <c r="AS644" s="345"/>
      <c r="AT644" s="345"/>
      <c r="AU644" s="300"/>
      <c r="AV644" s="286" t="b">
        <v>0</v>
      </c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263"/>
      <c r="B645" s="194"/>
      <c r="C645" s="61"/>
      <c r="D645" s="61"/>
      <c r="E645" s="81"/>
      <c r="F645" s="81"/>
      <c r="G645" s="61"/>
      <c r="H645" s="269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 t="b">
        <v>0</v>
      </c>
      <c r="AO645" s="258"/>
      <c r="AP645" s="346"/>
      <c r="AQ645" s="300"/>
      <c r="AR645" s="300"/>
      <c r="AS645" s="345"/>
      <c r="AT645" s="345"/>
      <c r="AU645" s="300"/>
      <c r="AV645" s="286" t="b">
        <v>0</v>
      </c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263"/>
      <c r="B646" s="194"/>
      <c r="C646" s="61"/>
      <c r="D646" s="61"/>
      <c r="E646" s="81"/>
      <c r="F646" s="81"/>
      <c r="G646" s="61"/>
      <c r="H646" s="269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 t="b">
        <v>0</v>
      </c>
      <c r="AO646" s="258"/>
      <c r="AP646" s="346"/>
      <c r="AQ646" s="300"/>
      <c r="AR646" s="300"/>
      <c r="AS646" s="345"/>
      <c r="AT646" s="345"/>
      <c r="AU646" s="300"/>
      <c r="AV646" s="286" t="b">
        <v>0</v>
      </c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263"/>
      <c r="B647" s="194"/>
      <c r="C647" s="61"/>
      <c r="D647" s="61"/>
      <c r="E647" s="81"/>
      <c r="F647" s="81"/>
      <c r="G647" s="61"/>
      <c r="H647" s="269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 t="b">
        <v>0</v>
      </c>
      <c r="AO647" s="258"/>
      <c r="AP647" s="346"/>
      <c r="AQ647" s="300"/>
      <c r="AR647" s="300"/>
      <c r="AS647" s="345"/>
      <c r="AT647" s="345"/>
      <c r="AU647" s="300"/>
      <c r="AV647" s="286" t="b">
        <v>0</v>
      </c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263"/>
      <c r="B648" s="194"/>
      <c r="C648" s="61"/>
      <c r="D648" s="61"/>
      <c r="E648" s="81"/>
      <c r="F648" s="81"/>
      <c r="G648" s="61"/>
      <c r="H648" s="269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 t="b">
        <v>0</v>
      </c>
      <c r="AO648" s="258"/>
      <c r="AP648" s="346"/>
      <c r="AQ648" s="300"/>
      <c r="AR648" s="300"/>
      <c r="AS648" s="345"/>
      <c r="AT648" s="345"/>
      <c r="AU648" s="300"/>
      <c r="AV648" s="286" t="b">
        <v>0</v>
      </c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263"/>
      <c r="B649" s="194"/>
      <c r="C649" s="61"/>
      <c r="D649" s="61"/>
      <c r="E649" s="81"/>
      <c r="F649" s="81"/>
      <c r="G649" s="61"/>
      <c r="H649" s="269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 t="b">
        <v>0</v>
      </c>
      <c r="AO649" s="258"/>
      <c r="AP649" s="346"/>
      <c r="AQ649" s="300"/>
      <c r="AR649" s="300"/>
      <c r="AS649" s="345"/>
      <c r="AT649" s="345"/>
      <c r="AU649" s="300"/>
      <c r="AV649" s="286" t="b">
        <v>0</v>
      </c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263"/>
      <c r="B650" s="194"/>
      <c r="C650" s="61"/>
      <c r="D650" s="61"/>
      <c r="E650" s="81"/>
      <c r="F650" s="81"/>
      <c r="G650" s="61"/>
      <c r="H650" s="269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 t="b">
        <v>0</v>
      </c>
      <c r="AO650" s="258"/>
      <c r="AP650" s="346"/>
      <c r="AQ650" s="300"/>
      <c r="AR650" s="300"/>
      <c r="AS650" s="345"/>
      <c r="AT650" s="345"/>
      <c r="AU650" s="300"/>
      <c r="AV650" s="286" t="b">
        <v>0</v>
      </c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263"/>
      <c r="B651" s="194"/>
      <c r="C651" s="61"/>
      <c r="D651" s="61"/>
      <c r="E651" s="81"/>
      <c r="F651" s="81"/>
      <c r="G651" s="61"/>
      <c r="H651" s="269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 t="b">
        <v>0</v>
      </c>
      <c r="AO651" s="258"/>
      <c r="AP651" s="346"/>
      <c r="AQ651" s="300"/>
      <c r="AR651" s="300"/>
      <c r="AS651" s="345"/>
      <c r="AT651" s="345"/>
      <c r="AU651" s="300"/>
      <c r="AV651" s="286" t="b">
        <v>0</v>
      </c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263"/>
      <c r="B652" s="194"/>
      <c r="C652" s="61"/>
      <c r="D652" s="61"/>
      <c r="E652" s="81"/>
      <c r="F652" s="81"/>
      <c r="G652" s="61"/>
      <c r="H652" s="269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 t="b">
        <v>0</v>
      </c>
      <c r="AO652" s="258"/>
      <c r="AP652" s="346"/>
      <c r="AQ652" s="300"/>
      <c r="AR652" s="300"/>
      <c r="AS652" s="345"/>
      <c r="AT652" s="345"/>
      <c r="AU652" s="300"/>
      <c r="AV652" s="286" t="b">
        <v>0</v>
      </c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263"/>
      <c r="B653" s="194"/>
      <c r="C653" s="61"/>
      <c r="D653" s="61"/>
      <c r="E653" s="81"/>
      <c r="F653" s="81"/>
      <c r="G653" s="61"/>
      <c r="H653" s="269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 t="b">
        <v>0</v>
      </c>
      <c r="AO653" s="258"/>
      <c r="AP653" s="346"/>
      <c r="AQ653" s="300"/>
      <c r="AR653" s="300"/>
      <c r="AS653" s="345"/>
      <c r="AT653" s="345"/>
      <c r="AU653" s="300"/>
      <c r="AV653" s="286" t="b">
        <v>0</v>
      </c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263"/>
      <c r="B654" s="194"/>
      <c r="C654" s="61"/>
      <c r="D654" s="61"/>
      <c r="E654" s="81"/>
      <c r="F654" s="81"/>
      <c r="G654" s="61"/>
      <c r="H654" s="269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 t="b">
        <v>0</v>
      </c>
      <c r="AO654" s="258"/>
      <c r="AP654" s="346"/>
      <c r="AQ654" s="300"/>
      <c r="AR654" s="300"/>
      <c r="AS654" s="345"/>
      <c r="AT654" s="345"/>
      <c r="AU654" s="300"/>
      <c r="AV654" s="286" t="b">
        <v>0</v>
      </c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263"/>
      <c r="B655" s="194"/>
      <c r="C655" s="61"/>
      <c r="D655" s="61"/>
      <c r="E655" s="81"/>
      <c r="F655" s="81"/>
      <c r="G655" s="61"/>
      <c r="H655" s="269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 t="b">
        <v>0</v>
      </c>
      <c r="AO655" s="258"/>
      <c r="AP655" s="346"/>
      <c r="AQ655" s="300"/>
      <c r="AR655" s="300"/>
      <c r="AS655" s="345"/>
      <c r="AT655" s="345"/>
      <c r="AU655" s="300"/>
      <c r="AV655" s="286" t="b">
        <v>0</v>
      </c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263"/>
      <c r="B656" s="194"/>
      <c r="C656" s="61"/>
      <c r="D656" s="61"/>
      <c r="E656" s="81"/>
      <c r="F656" s="81"/>
      <c r="G656" s="61"/>
      <c r="H656" s="269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 t="b">
        <v>0</v>
      </c>
      <c r="AO656" s="258"/>
      <c r="AP656" s="346"/>
      <c r="AQ656" s="300"/>
      <c r="AR656" s="300"/>
      <c r="AS656" s="345"/>
      <c r="AT656" s="345"/>
      <c r="AU656" s="300"/>
      <c r="AV656" s="286" t="b">
        <v>0</v>
      </c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263"/>
      <c r="B657" s="194"/>
      <c r="C657" s="61"/>
      <c r="D657" s="61"/>
      <c r="E657" s="81"/>
      <c r="F657" s="81"/>
      <c r="G657" s="61"/>
      <c r="H657" s="269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 t="b">
        <v>0</v>
      </c>
      <c r="AO657" s="258"/>
      <c r="AP657" s="346"/>
      <c r="AQ657" s="300"/>
      <c r="AR657" s="300"/>
      <c r="AS657" s="345"/>
      <c r="AT657" s="345"/>
      <c r="AU657" s="300"/>
      <c r="AV657" s="286" t="b">
        <v>0</v>
      </c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263"/>
      <c r="B658" s="194"/>
      <c r="C658" s="61"/>
      <c r="D658" s="61"/>
      <c r="E658" s="81"/>
      <c r="F658" s="81"/>
      <c r="G658" s="61"/>
      <c r="H658" s="269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 t="b">
        <v>0</v>
      </c>
      <c r="AO658" s="258"/>
      <c r="AP658" s="346"/>
      <c r="AQ658" s="300"/>
      <c r="AR658" s="300"/>
      <c r="AS658" s="345"/>
      <c r="AT658" s="345"/>
      <c r="AU658" s="300"/>
      <c r="AV658" s="286" t="b">
        <v>0</v>
      </c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263"/>
      <c r="B659" s="194"/>
      <c r="C659" s="61"/>
      <c r="D659" s="61"/>
      <c r="E659" s="81"/>
      <c r="F659" s="81"/>
      <c r="G659" s="61"/>
      <c r="H659" s="269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 t="b">
        <v>0</v>
      </c>
      <c r="AO659" s="258"/>
      <c r="AP659" s="346"/>
      <c r="AQ659" s="300"/>
      <c r="AR659" s="300"/>
      <c r="AS659" s="345"/>
      <c r="AT659" s="345"/>
      <c r="AU659" s="300"/>
      <c r="AV659" s="286" t="b">
        <v>0</v>
      </c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263"/>
      <c r="B660" s="194"/>
      <c r="C660" s="61"/>
      <c r="D660" s="61"/>
      <c r="E660" s="81"/>
      <c r="F660" s="81"/>
      <c r="G660" s="61"/>
      <c r="H660" s="269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 t="b">
        <v>0</v>
      </c>
      <c r="AO660" s="258"/>
      <c r="AP660" s="346"/>
      <c r="AQ660" s="300"/>
      <c r="AR660" s="300"/>
      <c r="AS660" s="345"/>
      <c r="AT660" s="345"/>
      <c r="AU660" s="300"/>
      <c r="AV660" s="286" t="b">
        <v>0</v>
      </c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263"/>
      <c r="B661" s="194"/>
      <c r="C661" s="61"/>
      <c r="D661" s="61"/>
      <c r="E661" s="81"/>
      <c r="F661" s="81"/>
      <c r="G661" s="61"/>
      <c r="H661" s="269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 t="b">
        <v>0</v>
      </c>
      <c r="AO661" s="258"/>
      <c r="AP661" s="346"/>
      <c r="AQ661" s="300"/>
      <c r="AR661" s="300"/>
      <c r="AS661" s="345"/>
      <c r="AT661" s="345"/>
      <c r="AU661" s="300"/>
      <c r="AV661" s="286" t="b">
        <v>0</v>
      </c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263"/>
      <c r="B662" s="194"/>
      <c r="C662" s="61"/>
      <c r="D662" s="61"/>
      <c r="E662" s="81"/>
      <c r="F662" s="81"/>
      <c r="G662" s="61"/>
      <c r="H662" s="269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 t="b">
        <v>0</v>
      </c>
      <c r="AO662" s="258"/>
      <c r="AP662" s="346"/>
      <c r="AQ662" s="300"/>
      <c r="AR662" s="300"/>
      <c r="AS662" s="345"/>
      <c r="AT662" s="345"/>
      <c r="AU662" s="300"/>
      <c r="AV662" s="286" t="b">
        <v>0</v>
      </c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263"/>
      <c r="B663" s="194"/>
      <c r="C663" s="61"/>
      <c r="D663" s="61"/>
      <c r="E663" s="81"/>
      <c r="F663" s="81"/>
      <c r="G663" s="61"/>
      <c r="H663" s="269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 t="b">
        <v>0</v>
      </c>
      <c r="AO663" s="258"/>
      <c r="AP663" s="346"/>
      <c r="AQ663" s="300"/>
      <c r="AR663" s="300"/>
      <c r="AS663" s="345"/>
      <c r="AT663" s="345"/>
      <c r="AU663" s="300"/>
      <c r="AV663" s="286" t="b">
        <v>0</v>
      </c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263"/>
      <c r="B664" s="194"/>
      <c r="C664" s="61"/>
      <c r="D664" s="61"/>
      <c r="E664" s="81"/>
      <c r="F664" s="81"/>
      <c r="G664" s="61"/>
      <c r="H664" s="269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 t="b">
        <v>0</v>
      </c>
      <c r="AO664" s="258"/>
      <c r="AP664" s="346"/>
      <c r="AQ664" s="300"/>
      <c r="AR664" s="300"/>
      <c r="AS664" s="345"/>
      <c r="AT664" s="345"/>
      <c r="AU664" s="300"/>
      <c r="AV664" s="286" t="b">
        <v>0</v>
      </c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263"/>
      <c r="B665" s="194"/>
      <c r="C665" s="61"/>
      <c r="D665" s="61"/>
      <c r="E665" s="81"/>
      <c r="F665" s="81"/>
      <c r="G665" s="61"/>
      <c r="H665" s="269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 t="b">
        <v>0</v>
      </c>
      <c r="AO665" s="258"/>
      <c r="AP665" s="346"/>
      <c r="AQ665" s="300"/>
      <c r="AR665" s="300"/>
      <c r="AS665" s="345"/>
      <c r="AT665" s="345"/>
      <c r="AU665" s="300"/>
      <c r="AV665" s="286" t="b">
        <v>0</v>
      </c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263"/>
      <c r="B666" s="194"/>
      <c r="C666" s="61"/>
      <c r="D666" s="61"/>
      <c r="E666" s="81"/>
      <c r="F666" s="81"/>
      <c r="G666" s="61"/>
      <c r="H666" s="269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 t="b">
        <v>0</v>
      </c>
      <c r="AO666" s="258"/>
      <c r="AP666" s="346"/>
      <c r="AQ666" s="300"/>
      <c r="AR666" s="300"/>
      <c r="AS666" s="345"/>
      <c r="AT666" s="345"/>
      <c r="AU666" s="300"/>
      <c r="AV666" s="286" t="b">
        <v>0</v>
      </c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263"/>
      <c r="B667" s="194"/>
      <c r="C667" s="61"/>
      <c r="D667" s="61"/>
      <c r="E667" s="81"/>
      <c r="F667" s="81"/>
      <c r="G667" s="61"/>
      <c r="H667" s="269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 t="b">
        <v>0</v>
      </c>
      <c r="AO667" s="258"/>
      <c r="AP667" s="346"/>
      <c r="AQ667" s="300"/>
      <c r="AR667" s="300"/>
      <c r="AS667" s="345"/>
      <c r="AT667" s="345"/>
      <c r="AU667" s="300"/>
      <c r="AV667" s="286" t="b">
        <v>0</v>
      </c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263"/>
      <c r="B668" s="194"/>
      <c r="C668" s="61"/>
      <c r="D668" s="61"/>
      <c r="E668" s="81"/>
      <c r="F668" s="81"/>
      <c r="G668" s="61"/>
      <c r="H668" s="269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 t="b">
        <v>0</v>
      </c>
      <c r="AO668" s="258"/>
      <c r="AP668" s="346"/>
      <c r="AQ668" s="300"/>
      <c r="AR668" s="300"/>
      <c r="AS668" s="345"/>
      <c r="AT668" s="345"/>
      <c r="AU668" s="300"/>
      <c r="AV668" s="286" t="b">
        <v>0</v>
      </c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263"/>
      <c r="B669" s="194"/>
      <c r="C669" s="61"/>
      <c r="D669" s="61"/>
      <c r="E669" s="81"/>
      <c r="F669" s="81"/>
      <c r="G669" s="61"/>
      <c r="H669" s="269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 t="b">
        <v>0</v>
      </c>
      <c r="AO669" s="258"/>
      <c r="AP669" s="346"/>
      <c r="AQ669" s="300"/>
      <c r="AR669" s="300"/>
      <c r="AS669" s="345"/>
      <c r="AT669" s="345"/>
      <c r="AU669" s="300"/>
      <c r="AV669" s="286" t="b">
        <v>0</v>
      </c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263"/>
      <c r="B670" s="194"/>
      <c r="C670" s="61"/>
      <c r="D670" s="61"/>
      <c r="E670" s="81"/>
      <c r="F670" s="81"/>
      <c r="G670" s="61"/>
      <c r="H670" s="269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 t="b">
        <v>0</v>
      </c>
      <c r="AO670" s="258"/>
      <c r="AP670" s="346"/>
      <c r="AQ670" s="300"/>
      <c r="AR670" s="300"/>
      <c r="AS670" s="345"/>
      <c r="AT670" s="345"/>
      <c r="AU670" s="300"/>
      <c r="AV670" s="286" t="b">
        <v>0</v>
      </c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263"/>
      <c r="B671" s="194"/>
      <c r="C671" s="61"/>
      <c r="D671" s="61"/>
      <c r="E671" s="81"/>
      <c r="F671" s="81"/>
      <c r="G671" s="61"/>
      <c r="H671" s="269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 t="b">
        <v>0</v>
      </c>
      <c r="AO671" s="258"/>
      <c r="AP671" s="346"/>
      <c r="AQ671" s="300"/>
      <c r="AR671" s="300"/>
      <c r="AS671" s="345"/>
      <c r="AT671" s="345"/>
      <c r="AU671" s="300"/>
      <c r="AV671" s="286" t="b">
        <v>0</v>
      </c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263"/>
      <c r="B672" s="194"/>
      <c r="C672" s="61"/>
      <c r="D672" s="61"/>
      <c r="E672" s="81"/>
      <c r="F672" s="81"/>
      <c r="G672" s="61"/>
      <c r="H672" s="269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 t="b">
        <v>0</v>
      </c>
      <c r="AO672" s="258"/>
      <c r="AP672" s="346"/>
      <c r="AQ672" s="300"/>
      <c r="AR672" s="300"/>
      <c r="AS672" s="345"/>
      <c r="AT672" s="345"/>
      <c r="AU672" s="300"/>
      <c r="AV672" s="286" t="b">
        <v>0</v>
      </c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263"/>
      <c r="B673" s="194"/>
      <c r="C673" s="61"/>
      <c r="D673" s="61"/>
      <c r="E673" s="81"/>
      <c r="F673" s="81"/>
      <c r="G673" s="61"/>
      <c r="H673" s="269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 t="b">
        <v>0</v>
      </c>
      <c r="AO673" s="258"/>
      <c r="AP673" s="346"/>
      <c r="AQ673" s="300"/>
      <c r="AR673" s="300"/>
      <c r="AS673" s="345"/>
      <c r="AT673" s="345"/>
      <c r="AU673" s="300"/>
      <c r="AV673" s="286" t="b">
        <v>0</v>
      </c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263"/>
      <c r="B674" s="194"/>
      <c r="C674" s="61"/>
      <c r="D674" s="61"/>
      <c r="E674" s="81"/>
      <c r="F674" s="81"/>
      <c r="G674" s="61"/>
      <c r="H674" s="269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 t="b">
        <v>0</v>
      </c>
      <c r="AO674" s="258"/>
      <c r="AP674" s="346"/>
      <c r="AQ674" s="300"/>
      <c r="AR674" s="300"/>
      <c r="AS674" s="345"/>
      <c r="AT674" s="345"/>
      <c r="AU674" s="300"/>
      <c r="AV674" s="286" t="b">
        <v>0</v>
      </c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263"/>
      <c r="B675" s="194"/>
      <c r="C675" s="61"/>
      <c r="D675" s="61"/>
      <c r="E675" s="81"/>
      <c r="F675" s="81"/>
      <c r="G675" s="61"/>
      <c r="H675" s="269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 t="b">
        <v>0</v>
      </c>
      <c r="AO675" s="258"/>
      <c r="AP675" s="346"/>
      <c r="AQ675" s="300"/>
      <c r="AR675" s="300"/>
      <c r="AS675" s="345"/>
      <c r="AT675" s="345"/>
      <c r="AU675" s="300"/>
      <c r="AV675" s="286" t="b">
        <v>0</v>
      </c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263"/>
      <c r="B676" s="194"/>
      <c r="C676" s="61"/>
      <c r="D676" s="61"/>
      <c r="E676" s="81"/>
      <c r="F676" s="81"/>
      <c r="G676" s="61"/>
      <c r="H676" s="269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 t="b">
        <v>0</v>
      </c>
      <c r="AO676" s="258"/>
      <c r="AP676" s="346"/>
      <c r="AQ676" s="300"/>
      <c r="AR676" s="300"/>
      <c r="AS676" s="345"/>
      <c r="AT676" s="345"/>
      <c r="AU676" s="300"/>
      <c r="AV676" s="286" t="b">
        <v>0</v>
      </c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263"/>
      <c r="B677" s="194"/>
      <c r="C677" s="61"/>
      <c r="D677" s="61"/>
      <c r="E677" s="81"/>
      <c r="F677" s="81"/>
      <c r="G677" s="61"/>
      <c r="H677" s="269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 t="b">
        <v>0</v>
      </c>
      <c r="AO677" s="258"/>
      <c r="AP677" s="346"/>
      <c r="AQ677" s="300"/>
      <c r="AR677" s="300"/>
      <c r="AS677" s="345"/>
      <c r="AT677" s="345"/>
      <c r="AU677" s="300"/>
      <c r="AV677" s="286" t="b">
        <v>0</v>
      </c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263"/>
      <c r="B678" s="194"/>
      <c r="C678" s="61"/>
      <c r="D678" s="61"/>
      <c r="E678" s="81"/>
      <c r="F678" s="81"/>
      <c r="G678" s="61"/>
      <c r="H678" s="269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 t="b">
        <v>0</v>
      </c>
      <c r="AO678" s="258"/>
      <c r="AP678" s="346"/>
      <c r="AQ678" s="300"/>
      <c r="AR678" s="300"/>
      <c r="AS678" s="345"/>
      <c r="AT678" s="345"/>
      <c r="AU678" s="300"/>
      <c r="AV678" s="286" t="b">
        <v>0</v>
      </c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263"/>
      <c r="B679" s="194"/>
      <c r="C679" s="61"/>
      <c r="D679" s="61"/>
      <c r="E679" s="81"/>
      <c r="F679" s="81"/>
      <c r="G679" s="61"/>
      <c r="H679" s="269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 t="b">
        <v>0</v>
      </c>
      <c r="AO679" s="258"/>
      <c r="AP679" s="346"/>
      <c r="AQ679" s="300"/>
      <c r="AR679" s="300"/>
      <c r="AS679" s="345"/>
      <c r="AT679" s="345"/>
      <c r="AU679" s="300"/>
      <c r="AV679" s="286" t="b">
        <v>0</v>
      </c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263"/>
      <c r="B680" s="194"/>
      <c r="C680" s="61"/>
      <c r="D680" s="61"/>
      <c r="E680" s="81"/>
      <c r="F680" s="81"/>
      <c r="G680" s="61"/>
      <c r="H680" s="269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 t="b">
        <v>0</v>
      </c>
      <c r="AO680" s="258"/>
      <c r="AP680" s="346"/>
      <c r="AQ680" s="300"/>
      <c r="AR680" s="300"/>
      <c r="AS680" s="345"/>
      <c r="AT680" s="345"/>
      <c r="AU680" s="300"/>
      <c r="AV680" s="286" t="b">
        <v>0</v>
      </c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263"/>
      <c r="B681" s="194"/>
      <c r="C681" s="61"/>
      <c r="D681" s="61"/>
      <c r="E681" s="81"/>
      <c r="F681" s="81"/>
      <c r="G681" s="61"/>
      <c r="H681" s="269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 t="b">
        <v>0</v>
      </c>
      <c r="AO681" s="258"/>
      <c r="AP681" s="346"/>
      <c r="AQ681" s="300"/>
      <c r="AR681" s="300"/>
      <c r="AS681" s="345"/>
      <c r="AT681" s="345"/>
      <c r="AU681" s="300"/>
      <c r="AV681" s="286" t="b">
        <v>0</v>
      </c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263"/>
      <c r="B682" s="194"/>
      <c r="C682" s="61"/>
      <c r="D682" s="61"/>
      <c r="E682" s="81"/>
      <c r="F682" s="81"/>
      <c r="G682" s="61"/>
      <c r="H682" s="269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 t="b">
        <v>0</v>
      </c>
      <c r="AO682" s="258"/>
      <c r="AP682" s="346"/>
      <c r="AQ682" s="300"/>
      <c r="AR682" s="300"/>
      <c r="AS682" s="345"/>
      <c r="AT682" s="345"/>
      <c r="AU682" s="300"/>
      <c r="AV682" s="286" t="b">
        <v>0</v>
      </c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263"/>
      <c r="B683" s="194"/>
      <c r="C683" s="61"/>
      <c r="D683" s="61"/>
      <c r="E683" s="81"/>
      <c r="F683" s="81"/>
      <c r="G683" s="61"/>
      <c r="H683" s="269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 t="b">
        <v>0</v>
      </c>
      <c r="AO683" s="258"/>
      <c r="AP683" s="346"/>
      <c r="AQ683" s="300"/>
      <c r="AR683" s="300"/>
      <c r="AS683" s="345"/>
      <c r="AT683" s="345"/>
      <c r="AU683" s="300"/>
      <c r="AV683" s="286" t="b">
        <v>0</v>
      </c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263"/>
      <c r="B684" s="194"/>
      <c r="C684" s="61"/>
      <c r="D684" s="61"/>
      <c r="E684" s="81"/>
      <c r="F684" s="81"/>
      <c r="G684" s="61"/>
      <c r="H684" s="269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 t="b">
        <v>0</v>
      </c>
      <c r="AO684" s="258"/>
      <c r="AP684" s="346"/>
      <c r="AQ684" s="300"/>
      <c r="AR684" s="300"/>
      <c r="AS684" s="345"/>
      <c r="AT684" s="345"/>
      <c r="AU684" s="300"/>
      <c r="AV684" s="286" t="b">
        <v>0</v>
      </c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263"/>
      <c r="B685" s="194"/>
      <c r="C685" s="61"/>
      <c r="D685" s="61"/>
      <c r="E685" s="81"/>
      <c r="F685" s="81"/>
      <c r="G685" s="61"/>
      <c r="H685" s="269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 t="b">
        <v>0</v>
      </c>
      <c r="AO685" s="258"/>
      <c r="AP685" s="346"/>
      <c r="AQ685" s="300"/>
      <c r="AR685" s="300"/>
      <c r="AS685" s="345"/>
      <c r="AT685" s="345"/>
      <c r="AU685" s="300"/>
      <c r="AV685" s="286" t="b">
        <v>0</v>
      </c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263"/>
      <c r="B686" s="194"/>
      <c r="C686" s="61"/>
      <c r="D686" s="61"/>
      <c r="E686" s="81"/>
      <c r="F686" s="81"/>
      <c r="G686" s="61"/>
      <c r="H686" s="269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 t="b">
        <v>0</v>
      </c>
      <c r="AO686" s="258"/>
      <c r="AP686" s="346"/>
      <c r="AQ686" s="300"/>
      <c r="AR686" s="300"/>
      <c r="AS686" s="345"/>
      <c r="AT686" s="345"/>
      <c r="AU686" s="300"/>
      <c r="AV686" s="286" t="b">
        <v>0</v>
      </c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263"/>
      <c r="B687" s="194"/>
      <c r="C687" s="61"/>
      <c r="D687" s="61"/>
      <c r="E687" s="81"/>
      <c r="F687" s="81"/>
      <c r="G687" s="61"/>
      <c r="H687" s="269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 t="b">
        <v>0</v>
      </c>
      <c r="AO687" s="258"/>
      <c r="AP687" s="346"/>
      <c r="AQ687" s="300"/>
      <c r="AR687" s="300"/>
      <c r="AS687" s="345"/>
      <c r="AT687" s="345"/>
      <c r="AU687" s="300"/>
      <c r="AV687" s="286" t="b">
        <v>0</v>
      </c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263"/>
      <c r="B688" s="194"/>
      <c r="C688" s="61"/>
      <c r="D688" s="61"/>
      <c r="E688" s="81"/>
      <c r="F688" s="81"/>
      <c r="G688" s="61"/>
      <c r="H688" s="269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 t="b">
        <v>0</v>
      </c>
      <c r="AO688" s="258"/>
      <c r="AP688" s="346"/>
      <c r="AQ688" s="300"/>
      <c r="AR688" s="300"/>
      <c r="AS688" s="345"/>
      <c r="AT688" s="345"/>
      <c r="AU688" s="300"/>
      <c r="AV688" s="286" t="b">
        <v>0</v>
      </c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263"/>
      <c r="B689" s="194"/>
      <c r="C689" s="61"/>
      <c r="D689" s="61"/>
      <c r="E689" s="81"/>
      <c r="F689" s="81"/>
      <c r="G689" s="61"/>
      <c r="H689" s="269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 t="b">
        <v>0</v>
      </c>
      <c r="AO689" s="258"/>
      <c r="AP689" s="346"/>
      <c r="AQ689" s="300"/>
      <c r="AR689" s="300"/>
      <c r="AS689" s="345"/>
      <c r="AT689" s="345"/>
      <c r="AU689" s="300"/>
      <c r="AV689" s="286" t="b">
        <v>0</v>
      </c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263"/>
      <c r="B690" s="194"/>
      <c r="C690" s="61"/>
      <c r="D690" s="61"/>
      <c r="E690" s="81"/>
      <c r="F690" s="81"/>
      <c r="G690" s="61"/>
      <c r="H690" s="269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 t="b">
        <v>0</v>
      </c>
      <c r="AO690" s="258"/>
      <c r="AP690" s="346"/>
      <c r="AQ690" s="300"/>
      <c r="AR690" s="300"/>
      <c r="AS690" s="345"/>
      <c r="AT690" s="345"/>
      <c r="AU690" s="300"/>
      <c r="AV690" s="286" t="b">
        <v>0</v>
      </c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263"/>
      <c r="B691" s="194"/>
      <c r="C691" s="61"/>
      <c r="D691" s="61"/>
      <c r="E691" s="81"/>
      <c r="F691" s="81"/>
      <c r="G691" s="61"/>
      <c r="H691" s="269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 t="b">
        <v>0</v>
      </c>
      <c r="AO691" s="258"/>
      <c r="AP691" s="346"/>
      <c r="AQ691" s="300"/>
      <c r="AR691" s="300"/>
      <c r="AS691" s="345"/>
      <c r="AT691" s="345"/>
      <c r="AU691" s="300"/>
      <c r="AV691" s="286" t="b">
        <v>0</v>
      </c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263"/>
      <c r="B692" s="194"/>
      <c r="C692" s="61"/>
      <c r="D692" s="61"/>
      <c r="E692" s="81"/>
      <c r="F692" s="81"/>
      <c r="G692" s="61"/>
      <c r="H692" s="269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 t="b">
        <v>0</v>
      </c>
      <c r="AO692" s="258"/>
      <c r="AP692" s="346"/>
      <c r="AQ692" s="300"/>
      <c r="AR692" s="300"/>
      <c r="AS692" s="345"/>
      <c r="AT692" s="345"/>
      <c r="AU692" s="300"/>
      <c r="AV692" s="286" t="b">
        <v>0</v>
      </c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263"/>
      <c r="B693" s="194"/>
      <c r="C693" s="61"/>
      <c r="D693" s="61"/>
      <c r="E693" s="81"/>
      <c r="F693" s="81"/>
      <c r="G693" s="61"/>
      <c r="H693" s="269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 t="b">
        <v>0</v>
      </c>
      <c r="AO693" s="258"/>
      <c r="AP693" s="346"/>
      <c r="AQ693" s="300"/>
      <c r="AR693" s="300"/>
      <c r="AS693" s="345"/>
      <c r="AT693" s="345"/>
      <c r="AU693" s="300"/>
      <c r="AV693" s="286" t="b">
        <v>0</v>
      </c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263"/>
      <c r="B694" s="194"/>
      <c r="C694" s="61"/>
      <c r="D694" s="61"/>
      <c r="E694" s="81"/>
      <c r="F694" s="81"/>
      <c r="G694" s="61"/>
      <c r="H694" s="269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 t="b">
        <v>0</v>
      </c>
      <c r="AO694" s="258"/>
      <c r="AP694" s="346"/>
      <c r="AQ694" s="300"/>
      <c r="AR694" s="300"/>
      <c r="AS694" s="345"/>
      <c r="AT694" s="345"/>
      <c r="AU694" s="300"/>
      <c r="AV694" s="286" t="b">
        <v>0</v>
      </c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263"/>
      <c r="B695" s="194"/>
      <c r="C695" s="61"/>
      <c r="D695" s="61"/>
      <c r="E695" s="81"/>
      <c r="F695" s="81"/>
      <c r="G695" s="61"/>
      <c r="H695" s="269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 t="b">
        <v>0</v>
      </c>
      <c r="AO695" s="258"/>
      <c r="AP695" s="346"/>
      <c r="AQ695" s="300"/>
      <c r="AR695" s="300"/>
      <c r="AS695" s="345"/>
      <c r="AT695" s="345"/>
      <c r="AU695" s="300"/>
      <c r="AV695" s="286" t="b">
        <v>0</v>
      </c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263"/>
      <c r="B696" s="194"/>
      <c r="C696" s="61"/>
      <c r="D696" s="61"/>
      <c r="E696" s="81"/>
      <c r="F696" s="81"/>
      <c r="G696" s="61"/>
      <c r="H696" s="269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 t="b">
        <v>0</v>
      </c>
      <c r="AO696" s="258"/>
      <c r="AP696" s="346"/>
      <c r="AQ696" s="300"/>
      <c r="AR696" s="300"/>
      <c r="AS696" s="345"/>
      <c r="AT696" s="345"/>
      <c r="AU696" s="300"/>
      <c r="AV696" s="286" t="b">
        <v>0</v>
      </c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263"/>
      <c r="B697" s="194"/>
      <c r="C697" s="61"/>
      <c r="D697" s="61"/>
      <c r="E697" s="81"/>
      <c r="F697" s="81"/>
      <c r="G697" s="61"/>
      <c r="H697" s="269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 t="b">
        <v>0</v>
      </c>
      <c r="AO697" s="258"/>
      <c r="AP697" s="346"/>
      <c r="AQ697" s="300"/>
      <c r="AR697" s="300"/>
      <c r="AS697" s="345"/>
      <c r="AT697" s="345"/>
      <c r="AU697" s="300"/>
      <c r="AV697" s="286" t="b">
        <v>0</v>
      </c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263"/>
      <c r="B698" s="194"/>
      <c r="C698" s="61"/>
      <c r="D698" s="61"/>
      <c r="E698" s="81"/>
      <c r="F698" s="81"/>
      <c r="G698" s="61"/>
      <c r="H698" s="269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 t="b">
        <v>0</v>
      </c>
      <c r="AO698" s="258"/>
      <c r="AP698" s="346"/>
      <c r="AQ698" s="300"/>
      <c r="AR698" s="300"/>
      <c r="AS698" s="345"/>
      <c r="AT698" s="345"/>
      <c r="AU698" s="300"/>
      <c r="AV698" s="286" t="b">
        <v>0</v>
      </c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263"/>
      <c r="B699" s="194"/>
      <c r="C699" s="61"/>
      <c r="D699" s="61"/>
      <c r="E699" s="81"/>
      <c r="F699" s="81"/>
      <c r="G699" s="61"/>
      <c r="H699" s="269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 t="b">
        <v>0</v>
      </c>
      <c r="AO699" s="258"/>
      <c r="AP699" s="346"/>
      <c r="AQ699" s="300"/>
      <c r="AR699" s="300"/>
      <c r="AS699" s="345"/>
      <c r="AT699" s="345"/>
      <c r="AU699" s="300"/>
      <c r="AV699" s="286" t="b">
        <v>0</v>
      </c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263"/>
      <c r="B700" s="194"/>
      <c r="C700" s="61"/>
      <c r="D700" s="61"/>
      <c r="E700" s="81"/>
      <c r="F700" s="81"/>
      <c r="G700" s="61"/>
      <c r="H700" s="269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 t="b">
        <v>0</v>
      </c>
      <c r="AO700" s="258"/>
      <c r="AP700" s="346"/>
      <c r="AQ700" s="300"/>
      <c r="AR700" s="300"/>
      <c r="AS700" s="345"/>
      <c r="AT700" s="345"/>
      <c r="AU700" s="300"/>
      <c r="AV700" s="286" t="b">
        <v>0</v>
      </c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263"/>
      <c r="B701" s="194"/>
      <c r="C701" s="61"/>
      <c r="D701" s="61"/>
      <c r="E701" s="81"/>
      <c r="F701" s="81"/>
      <c r="G701" s="61"/>
      <c r="H701" s="269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 t="b">
        <v>0</v>
      </c>
      <c r="AO701" s="258"/>
      <c r="AP701" s="346"/>
      <c r="AQ701" s="300"/>
      <c r="AR701" s="300"/>
      <c r="AS701" s="345"/>
      <c r="AT701" s="345"/>
      <c r="AU701" s="300"/>
      <c r="AV701" s="286" t="b">
        <v>0</v>
      </c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263"/>
      <c r="B702" s="194"/>
      <c r="C702" s="61"/>
      <c r="D702" s="61"/>
      <c r="E702" s="81"/>
      <c r="F702" s="81"/>
      <c r="G702" s="61"/>
      <c r="H702" s="269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 t="b">
        <v>0</v>
      </c>
      <c r="AO702" s="258"/>
      <c r="AP702" s="346"/>
      <c r="AQ702" s="300"/>
      <c r="AR702" s="300"/>
      <c r="AS702" s="345"/>
      <c r="AT702" s="345"/>
      <c r="AU702" s="300"/>
      <c r="AV702" s="286" t="b">
        <v>0</v>
      </c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263"/>
      <c r="B703" s="194"/>
      <c r="C703" s="61"/>
      <c r="D703" s="61"/>
      <c r="E703" s="81"/>
      <c r="F703" s="81"/>
      <c r="G703" s="61"/>
      <c r="H703" s="269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 t="b">
        <v>0</v>
      </c>
      <c r="AO703" s="258"/>
      <c r="AP703" s="346"/>
      <c r="AQ703" s="300"/>
      <c r="AR703" s="300"/>
      <c r="AS703" s="345"/>
      <c r="AT703" s="345"/>
      <c r="AU703" s="300"/>
      <c r="AV703" s="286" t="b">
        <v>0</v>
      </c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263"/>
      <c r="B704" s="194"/>
      <c r="C704" s="61"/>
      <c r="D704" s="61"/>
      <c r="E704" s="81"/>
      <c r="F704" s="81"/>
      <c r="G704" s="61"/>
      <c r="H704" s="269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 t="b">
        <v>0</v>
      </c>
      <c r="AO704" s="258"/>
      <c r="AP704" s="346"/>
      <c r="AQ704" s="300"/>
      <c r="AR704" s="300"/>
      <c r="AS704" s="345"/>
      <c r="AT704" s="345"/>
      <c r="AU704" s="300"/>
      <c r="AV704" s="286" t="b">
        <v>0</v>
      </c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263"/>
      <c r="B705" s="194"/>
      <c r="C705" s="61"/>
      <c r="D705" s="61"/>
      <c r="E705" s="81"/>
      <c r="F705" s="81"/>
      <c r="G705" s="61"/>
      <c r="H705" s="269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 t="b">
        <v>0</v>
      </c>
      <c r="AO705" s="258"/>
      <c r="AP705" s="346"/>
      <c r="AQ705" s="300"/>
      <c r="AR705" s="300"/>
      <c r="AS705" s="345"/>
      <c r="AT705" s="345"/>
      <c r="AU705" s="300"/>
      <c r="AV705" s="286" t="b">
        <v>0</v>
      </c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263"/>
      <c r="B706" s="194"/>
      <c r="C706" s="61"/>
      <c r="D706" s="61"/>
      <c r="E706" s="81"/>
      <c r="F706" s="81"/>
      <c r="G706" s="61"/>
      <c r="H706" s="269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 t="b">
        <v>0</v>
      </c>
      <c r="AO706" s="258"/>
      <c r="AP706" s="346"/>
      <c r="AQ706" s="300"/>
      <c r="AR706" s="300"/>
      <c r="AS706" s="345"/>
      <c r="AT706" s="345"/>
      <c r="AU706" s="300"/>
      <c r="AV706" s="286" t="b">
        <v>0</v>
      </c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263"/>
      <c r="B707" s="194"/>
      <c r="C707" s="61"/>
      <c r="D707" s="61"/>
      <c r="E707" s="81"/>
      <c r="F707" s="81"/>
      <c r="G707" s="61"/>
      <c r="H707" s="269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 t="b">
        <v>0</v>
      </c>
      <c r="AO707" s="258"/>
      <c r="AP707" s="346"/>
      <c r="AQ707" s="300"/>
      <c r="AR707" s="300"/>
      <c r="AS707" s="345"/>
      <c r="AT707" s="345"/>
      <c r="AU707" s="300"/>
      <c r="AV707" s="286" t="b">
        <v>0</v>
      </c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263"/>
      <c r="B708" s="194"/>
      <c r="C708" s="61"/>
      <c r="D708" s="61"/>
      <c r="E708" s="81"/>
      <c r="F708" s="81"/>
      <c r="G708" s="61"/>
      <c r="H708" s="269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 t="b">
        <v>0</v>
      </c>
      <c r="AO708" s="258"/>
      <c r="AP708" s="346"/>
      <c r="AQ708" s="300"/>
      <c r="AR708" s="300"/>
      <c r="AS708" s="345"/>
      <c r="AT708" s="345"/>
      <c r="AU708" s="300"/>
      <c r="AV708" s="286" t="b">
        <v>0</v>
      </c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263"/>
      <c r="B709" s="194"/>
      <c r="C709" s="61"/>
      <c r="D709" s="61"/>
      <c r="E709" s="81"/>
      <c r="F709" s="81"/>
      <c r="G709" s="61"/>
      <c r="H709" s="269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 t="b">
        <v>0</v>
      </c>
      <c r="AO709" s="258"/>
      <c r="AP709" s="346"/>
      <c r="AQ709" s="300"/>
      <c r="AR709" s="300"/>
      <c r="AS709" s="345"/>
      <c r="AT709" s="345"/>
      <c r="AU709" s="300"/>
      <c r="AV709" s="286" t="b">
        <v>0</v>
      </c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263"/>
      <c r="B710" s="194"/>
      <c r="C710" s="61"/>
      <c r="D710" s="61"/>
      <c r="E710" s="81"/>
      <c r="F710" s="81"/>
      <c r="G710" s="61"/>
      <c r="H710" s="269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 t="b">
        <v>0</v>
      </c>
      <c r="AO710" s="258"/>
      <c r="AP710" s="346"/>
      <c r="AQ710" s="300"/>
      <c r="AR710" s="300"/>
      <c r="AS710" s="345"/>
      <c r="AT710" s="345"/>
      <c r="AU710" s="300"/>
      <c r="AV710" s="286" t="b">
        <v>0</v>
      </c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263"/>
      <c r="B711" s="194"/>
      <c r="C711" s="61"/>
      <c r="D711" s="61"/>
      <c r="E711" s="81"/>
      <c r="F711" s="81"/>
      <c r="G711" s="61"/>
      <c r="H711" s="269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 t="b">
        <v>0</v>
      </c>
      <c r="AO711" s="258"/>
      <c r="AP711" s="346"/>
      <c r="AQ711" s="300"/>
      <c r="AR711" s="300"/>
      <c r="AS711" s="345"/>
      <c r="AT711" s="345"/>
      <c r="AU711" s="300"/>
      <c r="AV711" s="286" t="b">
        <v>0</v>
      </c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263"/>
      <c r="B712" s="194"/>
      <c r="C712" s="61"/>
      <c r="D712" s="61"/>
      <c r="E712" s="81"/>
      <c r="F712" s="81"/>
      <c r="G712" s="61"/>
      <c r="H712" s="269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 t="b">
        <v>0</v>
      </c>
      <c r="AO712" s="258"/>
      <c r="AP712" s="346"/>
      <c r="AQ712" s="300"/>
      <c r="AR712" s="300"/>
      <c r="AS712" s="345"/>
      <c r="AT712" s="345"/>
      <c r="AU712" s="300"/>
      <c r="AV712" s="286" t="b">
        <v>0</v>
      </c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263"/>
      <c r="B713" s="194"/>
      <c r="C713" s="61"/>
      <c r="D713" s="61"/>
      <c r="E713" s="81"/>
      <c r="F713" s="81"/>
      <c r="G713" s="61"/>
      <c r="H713" s="269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 t="b">
        <v>0</v>
      </c>
      <c r="AO713" s="258"/>
      <c r="AP713" s="346"/>
      <c r="AQ713" s="300"/>
      <c r="AR713" s="300"/>
      <c r="AS713" s="345"/>
      <c r="AT713" s="345"/>
      <c r="AU713" s="300"/>
      <c r="AV713" s="286" t="b">
        <v>0</v>
      </c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263"/>
      <c r="B714" s="194"/>
      <c r="C714" s="61"/>
      <c r="D714" s="61"/>
      <c r="E714" s="81"/>
      <c r="F714" s="81"/>
      <c r="G714" s="61"/>
      <c r="H714" s="269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 t="b">
        <v>0</v>
      </c>
      <c r="AO714" s="258"/>
      <c r="AP714" s="346"/>
      <c r="AQ714" s="300"/>
      <c r="AR714" s="300"/>
      <c r="AS714" s="345"/>
      <c r="AT714" s="345"/>
      <c r="AU714" s="300"/>
      <c r="AV714" s="286" t="b">
        <v>0</v>
      </c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263"/>
      <c r="B715" s="194"/>
      <c r="C715" s="61"/>
      <c r="D715" s="61"/>
      <c r="E715" s="81"/>
      <c r="F715" s="81"/>
      <c r="G715" s="61"/>
      <c r="H715" s="269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 t="b">
        <v>0</v>
      </c>
      <c r="AO715" s="258"/>
      <c r="AP715" s="346"/>
      <c r="AQ715" s="300"/>
      <c r="AR715" s="300"/>
      <c r="AS715" s="345"/>
      <c r="AT715" s="345"/>
      <c r="AU715" s="300"/>
      <c r="AV715" s="286" t="b">
        <v>0</v>
      </c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263"/>
      <c r="B716" s="194"/>
      <c r="C716" s="61"/>
      <c r="D716" s="61"/>
      <c r="E716" s="81"/>
      <c r="F716" s="81"/>
      <c r="G716" s="61"/>
      <c r="H716" s="269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 t="b">
        <v>0</v>
      </c>
      <c r="AO716" s="258"/>
      <c r="AP716" s="346"/>
      <c r="AQ716" s="300"/>
      <c r="AR716" s="300"/>
      <c r="AS716" s="345"/>
      <c r="AT716" s="345"/>
      <c r="AU716" s="300"/>
      <c r="AV716" s="286" t="b">
        <v>0</v>
      </c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263"/>
      <c r="B717" s="194"/>
      <c r="C717" s="61"/>
      <c r="D717" s="61"/>
      <c r="E717" s="81"/>
      <c r="F717" s="81"/>
      <c r="G717" s="61"/>
      <c r="H717" s="269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 t="b">
        <v>0</v>
      </c>
      <c r="AO717" s="258"/>
      <c r="AP717" s="346"/>
      <c r="AQ717" s="300"/>
      <c r="AR717" s="300"/>
      <c r="AS717" s="345"/>
      <c r="AT717" s="345"/>
      <c r="AU717" s="300"/>
      <c r="AV717" s="286" t="b">
        <v>0</v>
      </c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263"/>
      <c r="B718" s="194"/>
      <c r="C718" s="61"/>
      <c r="D718" s="61"/>
      <c r="E718" s="81"/>
      <c r="F718" s="81"/>
      <c r="G718" s="61"/>
      <c r="H718" s="269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 t="b">
        <v>0</v>
      </c>
      <c r="AO718" s="258"/>
      <c r="AP718" s="346"/>
      <c r="AQ718" s="300"/>
      <c r="AR718" s="300"/>
      <c r="AS718" s="345"/>
      <c r="AT718" s="345"/>
      <c r="AU718" s="300"/>
      <c r="AV718" s="286" t="b">
        <v>0</v>
      </c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263"/>
      <c r="B719" s="194"/>
      <c r="C719" s="61"/>
      <c r="D719" s="61"/>
      <c r="E719" s="81"/>
      <c r="F719" s="81"/>
      <c r="G719" s="61"/>
      <c r="H719" s="269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 t="b">
        <v>0</v>
      </c>
      <c r="AO719" s="258"/>
      <c r="AP719" s="346"/>
      <c r="AQ719" s="300"/>
      <c r="AR719" s="300"/>
      <c r="AS719" s="345"/>
      <c r="AT719" s="345"/>
      <c r="AU719" s="300"/>
      <c r="AV719" s="286" t="b">
        <v>0</v>
      </c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263"/>
      <c r="B720" s="194"/>
      <c r="C720" s="61"/>
      <c r="D720" s="61"/>
      <c r="E720" s="81"/>
      <c r="F720" s="81"/>
      <c r="G720" s="61"/>
      <c r="H720" s="269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 t="b">
        <v>0</v>
      </c>
      <c r="AO720" s="258"/>
      <c r="AP720" s="346"/>
      <c r="AQ720" s="300"/>
      <c r="AR720" s="300"/>
      <c r="AS720" s="345"/>
      <c r="AT720" s="345"/>
      <c r="AU720" s="300"/>
      <c r="AV720" s="286" t="b">
        <v>0</v>
      </c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263"/>
      <c r="B721" s="194"/>
      <c r="C721" s="61"/>
      <c r="D721" s="61"/>
      <c r="E721" s="81"/>
      <c r="F721" s="81"/>
      <c r="G721" s="61"/>
      <c r="H721" s="269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 t="b">
        <v>0</v>
      </c>
      <c r="AO721" s="258"/>
      <c r="AP721" s="346"/>
      <c r="AQ721" s="300"/>
      <c r="AR721" s="300"/>
      <c r="AS721" s="345"/>
      <c r="AT721" s="345"/>
      <c r="AU721" s="300"/>
      <c r="AV721" s="286" t="b">
        <v>0</v>
      </c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263"/>
      <c r="B722" s="194"/>
      <c r="C722" s="61"/>
      <c r="D722" s="61"/>
      <c r="E722" s="81"/>
      <c r="F722" s="81"/>
      <c r="G722" s="61"/>
      <c r="H722" s="269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 t="b">
        <v>0</v>
      </c>
      <c r="AO722" s="258"/>
      <c r="AP722" s="346"/>
      <c r="AQ722" s="300"/>
      <c r="AR722" s="300"/>
      <c r="AS722" s="345"/>
      <c r="AT722" s="345"/>
      <c r="AU722" s="300"/>
      <c r="AV722" s="286" t="b">
        <v>0</v>
      </c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263"/>
      <c r="B723" s="194"/>
      <c r="C723" s="61"/>
      <c r="D723" s="61"/>
      <c r="E723" s="81"/>
      <c r="F723" s="81"/>
      <c r="G723" s="61"/>
      <c r="H723" s="269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 t="b">
        <v>0</v>
      </c>
      <c r="AO723" s="258"/>
      <c r="AP723" s="346"/>
      <c r="AQ723" s="300"/>
      <c r="AR723" s="300"/>
      <c r="AS723" s="345"/>
      <c r="AT723" s="345"/>
      <c r="AU723" s="300"/>
      <c r="AV723" s="286" t="b">
        <v>0</v>
      </c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263"/>
      <c r="B724" s="194"/>
      <c r="C724" s="61"/>
      <c r="D724" s="61"/>
      <c r="E724" s="81"/>
      <c r="F724" s="81"/>
      <c r="G724" s="61"/>
      <c r="H724" s="269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 t="b">
        <v>0</v>
      </c>
      <c r="AO724" s="258"/>
      <c r="AP724" s="346"/>
      <c r="AQ724" s="300"/>
      <c r="AR724" s="300"/>
      <c r="AS724" s="345"/>
      <c r="AT724" s="345"/>
      <c r="AU724" s="300"/>
      <c r="AV724" s="286" t="b">
        <v>0</v>
      </c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263"/>
      <c r="B725" s="194"/>
      <c r="C725" s="61"/>
      <c r="D725" s="61"/>
      <c r="E725" s="81"/>
      <c r="F725" s="81"/>
      <c r="G725" s="61"/>
      <c r="H725" s="269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 t="b">
        <v>0</v>
      </c>
      <c r="AO725" s="258"/>
      <c r="AP725" s="346"/>
      <c r="AQ725" s="300"/>
      <c r="AR725" s="300"/>
      <c r="AS725" s="345"/>
      <c r="AT725" s="345"/>
      <c r="AU725" s="300"/>
      <c r="AV725" s="286" t="b">
        <v>0</v>
      </c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263"/>
      <c r="B726" s="194"/>
      <c r="C726" s="61"/>
      <c r="D726" s="61"/>
      <c r="E726" s="81"/>
      <c r="F726" s="81"/>
      <c r="G726" s="61"/>
      <c r="H726" s="269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 t="b">
        <v>0</v>
      </c>
      <c r="AO726" s="258"/>
      <c r="AP726" s="346"/>
      <c r="AQ726" s="300"/>
      <c r="AR726" s="300"/>
      <c r="AS726" s="345"/>
      <c r="AT726" s="345"/>
      <c r="AU726" s="300"/>
      <c r="AV726" s="286" t="b">
        <v>0</v>
      </c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263"/>
      <c r="B727" s="194"/>
      <c r="C727" s="61"/>
      <c r="D727" s="61"/>
      <c r="E727" s="81"/>
      <c r="F727" s="81"/>
      <c r="G727" s="61"/>
      <c r="H727" s="269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 t="b">
        <v>0</v>
      </c>
      <c r="AO727" s="258"/>
      <c r="AP727" s="346"/>
      <c r="AQ727" s="300"/>
      <c r="AR727" s="300"/>
      <c r="AS727" s="345"/>
      <c r="AT727" s="345"/>
      <c r="AU727" s="300"/>
      <c r="AV727" s="286" t="b">
        <v>0</v>
      </c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263"/>
      <c r="B728" s="194"/>
      <c r="C728" s="61"/>
      <c r="D728" s="61"/>
      <c r="E728" s="81"/>
      <c r="F728" s="81"/>
      <c r="G728" s="61"/>
      <c r="H728" s="269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 t="b">
        <v>0</v>
      </c>
      <c r="AO728" s="258"/>
      <c r="AP728" s="346"/>
      <c r="AQ728" s="300"/>
      <c r="AR728" s="300"/>
      <c r="AS728" s="345"/>
      <c r="AT728" s="345"/>
      <c r="AU728" s="300"/>
      <c r="AV728" s="286" t="b">
        <v>0</v>
      </c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263"/>
      <c r="B729" s="194"/>
      <c r="C729" s="61"/>
      <c r="D729" s="61"/>
      <c r="E729" s="81"/>
      <c r="F729" s="81"/>
      <c r="G729" s="61"/>
      <c r="H729" s="269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 t="b">
        <v>0</v>
      </c>
      <c r="AO729" s="258"/>
      <c r="AP729" s="346"/>
      <c r="AQ729" s="300"/>
      <c r="AR729" s="300"/>
      <c r="AS729" s="345"/>
      <c r="AT729" s="345"/>
      <c r="AU729" s="300"/>
      <c r="AV729" s="286" t="b">
        <v>0</v>
      </c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263"/>
      <c r="B730" s="194"/>
      <c r="C730" s="61"/>
      <c r="D730" s="61"/>
      <c r="E730" s="81"/>
      <c r="F730" s="81"/>
      <c r="G730" s="61"/>
      <c r="H730" s="269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 t="b">
        <v>0</v>
      </c>
      <c r="AO730" s="258"/>
      <c r="AP730" s="346"/>
      <c r="AQ730" s="300"/>
      <c r="AR730" s="300"/>
      <c r="AS730" s="345"/>
      <c r="AT730" s="345"/>
      <c r="AU730" s="300"/>
      <c r="AV730" s="286" t="b">
        <v>0</v>
      </c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263"/>
      <c r="B731" s="194"/>
      <c r="C731" s="61"/>
      <c r="D731" s="61"/>
      <c r="E731" s="81"/>
      <c r="F731" s="81"/>
      <c r="G731" s="61"/>
      <c r="H731" s="269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 t="b">
        <v>0</v>
      </c>
      <c r="AO731" s="258"/>
      <c r="AP731" s="346"/>
      <c r="AQ731" s="300"/>
      <c r="AR731" s="300"/>
      <c r="AS731" s="345"/>
      <c r="AT731" s="345"/>
      <c r="AU731" s="300"/>
      <c r="AV731" s="286" t="b">
        <v>0</v>
      </c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263"/>
      <c r="B732" s="194"/>
      <c r="C732" s="61"/>
      <c r="D732" s="61"/>
      <c r="E732" s="81"/>
      <c r="F732" s="81"/>
      <c r="G732" s="61"/>
      <c r="H732" s="269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 t="b">
        <v>0</v>
      </c>
      <c r="AO732" s="258"/>
      <c r="AP732" s="346"/>
      <c r="AQ732" s="300"/>
      <c r="AR732" s="300"/>
      <c r="AS732" s="345"/>
      <c r="AT732" s="345"/>
      <c r="AU732" s="300"/>
      <c r="AV732" s="286" t="b">
        <v>0</v>
      </c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263"/>
      <c r="B733" s="194"/>
      <c r="C733" s="61"/>
      <c r="D733" s="61"/>
      <c r="E733" s="81"/>
      <c r="F733" s="81"/>
      <c r="G733" s="61"/>
      <c r="H733" s="269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 t="b">
        <v>0</v>
      </c>
      <c r="AO733" s="258"/>
      <c r="AP733" s="346"/>
      <c r="AQ733" s="300"/>
      <c r="AR733" s="300"/>
      <c r="AS733" s="345"/>
      <c r="AT733" s="345"/>
      <c r="AU733" s="300"/>
      <c r="AV733" s="286" t="b">
        <v>0</v>
      </c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263"/>
      <c r="B734" s="194"/>
      <c r="C734" s="61"/>
      <c r="D734" s="61"/>
      <c r="E734" s="81"/>
      <c r="F734" s="81"/>
      <c r="G734" s="61"/>
      <c r="H734" s="269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 t="b">
        <v>0</v>
      </c>
      <c r="AO734" s="258"/>
      <c r="AP734" s="346"/>
      <c r="AQ734" s="300"/>
      <c r="AR734" s="300"/>
      <c r="AS734" s="345"/>
      <c r="AT734" s="345"/>
      <c r="AU734" s="300"/>
      <c r="AV734" s="286" t="b">
        <v>0</v>
      </c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263"/>
      <c r="B735" s="194"/>
      <c r="C735" s="61"/>
      <c r="D735" s="61"/>
      <c r="E735" s="81"/>
      <c r="F735" s="81"/>
      <c r="G735" s="61"/>
      <c r="H735" s="269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 t="b">
        <v>0</v>
      </c>
      <c r="AO735" s="258"/>
      <c r="AP735" s="346"/>
      <c r="AQ735" s="300"/>
      <c r="AR735" s="300"/>
      <c r="AS735" s="345"/>
      <c r="AT735" s="345"/>
      <c r="AU735" s="300"/>
      <c r="AV735" s="286" t="b">
        <v>0</v>
      </c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263"/>
      <c r="B736" s="194"/>
      <c r="C736" s="61"/>
      <c r="D736" s="61"/>
      <c r="E736" s="81"/>
      <c r="F736" s="81"/>
      <c r="G736" s="61"/>
      <c r="H736" s="269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 t="b">
        <v>0</v>
      </c>
      <c r="AO736" s="258"/>
      <c r="AP736" s="346"/>
      <c r="AQ736" s="300"/>
      <c r="AR736" s="300"/>
      <c r="AS736" s="345"/>
      <c r="AT736" s="345"/>
      <c r="AU736" s="300"/>
      <c r="AV736" s="286" t="b">
        <v>0</v>
      </c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263"/>
      <c r="B737" s="194"/>
      <c r="C737" s="61"/>
      <c r="D737" s="61"/>
      <c r="E737" s="81"/>
      <c r="F737" s="81"/>
      <c r="G737" s="61"/>
      <c r="H737" s="269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 t="b">
        <v>0</v>
      </c>
      <c r="AO737" s="258"/>
      <c r="AP737" s="346"/>
      <c r="AQ737" s="300"/>
      <c r="AR737" s="300"/>
      <c r="AS737" s="345"/>
      <c r="AT737" s="345"/>
      <c r="AU737" s="300"/>
      <c r="AV737" s="286" t="b">
        <v>0</v>
      </c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263"/>
      <c r="B738" s="194"/>
      <c r="C738" s="61"/>
      <c r="D738" s="61"/>
      <c r="E738" s="81"/>
      <c r="F738" s="81"/>
      <c r="G738" s="61"/>
      <c r="H738" s="269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 t="b">
        <v>0</v>
      </c>
      <c r="AO738" s="258"/>
      <c r="AP738" s="346"/>
      <c r="AQ738" s="300"/>
      <c r="AR738" s="300"/>
      <c r="AS738" s="345"/>
      <c r="AT738" s="345"/>
      <c r="AU738" s="300"/>
      <c r="AV738" s="286" t="b">
        <v>0</v>
      </c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263"/>
      <c r="B739" s="194"/>
      <c r="C739" s="61"/>
      <c r="D739" s="61"/>
      <c r="E739" s="81"/>
      <c r="F739" s="81"/>
      <c r="G739" s="61"/>
      <c r="H739" s="269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 t="b">
        <v>0</v>
      </c>
      <c r="AO739" s="258"/>
      <c r="AP739" s="346"/>
      <c r="AQ739" s="300"/>
      <c r="AR739" s="300"/>
      <c r="AS739" s="345"/>
      <c r="AT739" s="345"/>
      <c r="AU739" s="300"/>
      <c r="AV739" s="286" t="b">
        <v>0</v>
      </c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263"/>
      <c r="B740" s="194"/>
      <c r="C740" s="61"/>
      <c r="D740" s="61"/>
      <c r="E740" s="81"/>
      <c r="F740" s="81"/>
      <c r="G740" s="61"/>
      <c r="H740" s="269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 t="b">
        <v>0</v>
      </c>
      <c r="AO740" s="258"/>
      <c r="AP740" s="346"/>
      <c r="AQ740" s="300"/>
      <c r="AR740" s="300"/>
      <c r="AS740" s="345"/>
      <c r="AT740" s="345"/>
      <c r="AU740" s="300"/>
      <c r="AV740" s="286" t="b">
        <v>0</v>
      </c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263"/>
      <c r="B741" s="194"/>
      <c r="C741" s="61"/>
      <c r="D741" s="61"/>
      <c r="E741" s="81"/>
      <c r="F741" s="81"/>
      <c r="G741" s="61"/>
      <c r="H741" s="269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 t="b">
        <v>0</v>
      </c>
      <c r="AO741" s="258"/>
      <c r="AP741" s="346"/>
      <c r="AQ741" s="300"/>
      <c r="AR741" s="300"/>
      <c r="AS741" s="345"/>
      <c r="AT741" s="345"/>
      <c r="AU741" s="300"/>
      <c r="AV741" s="286" t="b">
        <v>0</v>
      </c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263"/>
      <c r="B742" s="194"/>
      <c r="C742" s="61"/>
      <c r="D742" s="61"/>
      <c r="E742" s="81"/>
      <c r="F742" s="81"/>
      <c r="G742" s="61"/>
      <c r="H742" s="269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 t="b">
        <v>0</v>
      </c>
      <c r="AO742" s="258"/>
      <c r="AP742" s="346"/>
      <c r="AQ742" s="300"/>
      <c r="AR742" s="300"/>
      <c r="AS742" s="345"/>
      <c r="AT742" s="345"/>
      <c r="AU742" s="300"/>
      <c r="AV742" s="286" t="b">
        <v>0</v>
      </c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263"/>
      <c r="B743" s="194"/>
      <c r="C743" s="61"/>
      <c r="D743" s="61"/>
      <c r="E743" s="81"/>
      <c r="F743" s="81"/>
      <c r="G743" s="61"/>
      <c r="H743" s="269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 t="b">
        <v>0</v>
      </c>
      <c r="AO743" s="258"/>
      <c r="AP743" s="346"/>
      <c r="AQ743" s="300"/>
      <c r="AR743" s="300"/>
      <c r="AS743" s="345"/>
      <c r="AT743" s="345"/>
      <c r="AU743" s="300"/>
      <c r="AV743" s="286" t="b">
        <v>0</v>
      </c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263"/>
      <c r="B744" s="194"/>
      <c r="C744" s="61"/>
      <c r="D744" s="61"/>
      <c r="E744" s="81"/>
      <c r="F744" s="81"/>
      <c r="G744" s="61"/>
      <c r="H744" s="269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 t="b">
        <v>0</v>
      </c>
      <c r="AO744" s="258"/>
      <c r="AP744" s="346"/>
      <c r="AQ744" s="300"/>
      <c r="AR744" s="300"/>
      <c r="AS744" s="345"/>
      <c r="AT744" s="345"/>
      <c r="AU744" s="300"/>
      <c r="AV744" s="286" t="b">
        <v>0</v>
      </c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263"/>
      <c r="B745" s="194"/>
      <c r="C745" s="61"/>
      <c r="D745" s="61"/>
      <c r="E745" s="81"/>
      <c r="F745" s="81"/>
      <c r="G745" s="61"/>
      <c r="H745" s="269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 t="b">
        <v>0</v>
      </c>
      <c r="AO745" s="258"/>
      <c r="AP745" s="346"/>
      <c r="AQ745" s="300"/>
      <c r="AR745" s="300"/>
      <c r="AS745" s="345"/>
      <c r="AT745" s="345"/>
      <c r="AU745" s="300"/>
      <c r="AV745" s="286" t="b">
        <v>0</v>
      </c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263"/>
      <c r="B746" s="194"/>
      <c r="C746" s="61"/>
      <c r="D746" s="61"/>
      <c r="E746" s="81"/>
      <c r="F746" s="81"/>
      <c r="G746" s="61"/>
      <c r="H746" s="269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 t="b">
        <v>0</v>
      </c>
      <c r="AO746" s="258"/>
      <c r="AP746" s="346"/>
      <c r="AQ746" s="300"/>
      <c r="AR746" s="300"/>
      <c r="AS746" s="345"/>
      <c r="AT746" s="345"/>
      <c r="AU746" s="300"/>
      <c r="AV746" s="286" t="b">
        <v>0</v>
      </c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263"/>
      <c r="B747" s="194"/>
      <c r="C747" s="61"/>
      <c r="D747" s="61"/>
      <c r="E747" s="81"/>
      <c r="F747" s="81"/>
      <c r="G747" s="61"/>
      <c r="H747" s="269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 t="b">
        <v>0</v>
      </c>
      <c r="AO747" s="258"/>
      <c r="AP747" s="346"/>
      <c r="AQ747" s="300"/>
      <c r="AR747" s="300"/>
      <c r="AS747" s="345"/>
      <c r="AT747" s="345"/>
      <c r="AU747" s="300"/>
      <c r="AV747" s="286" t="b">
        <v>0</v>
      </c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263"/>
      <c r="B748" s="194"/>
      <c r="C748" s="61"/>
      <c r="D748" s="61"/>
      <c r="E748" s="81"/>
      <c r="F748" s="81"/>
      <c r="G748" s="61"/>
      <c r="H748" s="269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 t="b">
        <v>0</v>
      </c>
      <c r="AO748" s="258"/>
      <c r="AP748" s="346"/>
      <c r="AQ748" s="300"/>
      <c r="AR748" s="300"/>
      <c r="AS748" s="345"/>
      <c r="AT748" s="345"/>
      <c r="AU748" s="300"/>
      <c r="AV748" s="286" t="b">
        <v>0</v>
      </c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263"/>
      <c r="B749" s="194"/>
      <c r="C749" s="61"/>
      <c r="D749" s="61"/>
      <c r="E749" s="81"/>
      <c r="F749" s="81"/>
      <c r="G749" s="61"/>
      <c r="H749" s="269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 t="b">
        <v>0</v>
      </c>
      <c r="AO749" s="258"/>
      <c r="AP749" s="346"/>
      <c r="AQ749" s="300"/>
      <c r="AR749" s="300"/>
      <c r="AS749" s="345"/>
      <c r="AT749" s="345"/>
      <c r="AU749" s="300"/>
      <c r="AV749" s="286" t="b">
        <v>0</v>
      </c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263"/>
      <c r="B750" s="194"/>
      <c r="C750" s="61"/>
      <c r="D750" s="61"/>
      <c r="E750" s="81"/>
      <c r="F750" s="81"/>
      <c r="G750" s="61"/>
      <c r="H750" s="269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 t="b">
        <v>0</v>
      </c>
      <c r="AO750" s="258"/>
      <c r="AP750" s="346"/>
      <c r="AQ750" s="300"/>
      <c r="AR750" s="300"/>
      <c r="AS750" s="345"/>
      <c r="AT750" s="345"/>
      <c r="AU750" s="300"/>
      <c r="AV750" s="286" t="b">
        <v>0</v>
      </c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263"/>
      <c r="B751" s="194"/>
      <c r="C751" s="61"/>
      <c r="D751" s="61"/>
      <c r="E751" s="81"/>
      <c r="F751" s="81"/>
      <c r="G751" s="61"/>
      <c r="H751" s="269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 t="b">
        <v>0</v>
      </c>
      <c r="AO751" s="258"/>
      <c r="AP751" s="346"/>
      <c r="AQ751" s="300"/>
      <c r="AR751" s="300"/>
      <c r="AS751" s="345"/>
      <c r="AT751" s="345"/>
      <c r="AU751" s="300"/>
      <c r="AV751" s="286" t="b">
        <v>0</v>
      </c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263"/>
      <c r="B752" s="194"/>
      <c r="C752" s="61"/>
      <c r="D752" s="61"/>
      <c r="E752" s="81"/>
      <c r="F752" s="81"/>
      <c r="G752" s="61"/>
      <c r="H752" s="269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 t="b">
        <v>0</v>
      </c>
      <c r="AO752" s="258"/>
      <c r="AP752" s="346"/>
      <c r="AQ752" s="300"/>
      <c r="AR752" s="300"/>
      <c r="AS752" s="345"/>
      <c r="AT752" s="345"/>
      <c r="AU752" s="300"/>
      <c r="AV752" s="286" t="b">
        <v>0</v>
      </c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263"/>
      <c r="B753" s="194"/>
      <c r="C753" s="61"/>
      <c r="D753" s="61"/>
      <c r="E753" s="81"/>
      <c r="F753" s="81"/>
      <c r="G753" s="61"/>
      <c r="H753" s="269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 t="b">
        <v>0</v>
      </c>
      <c r="AO753" s="258"/>
      <c r="AP753" s="346"/>
      <c r="AQ753" s="300"/>
      <c r="AR753" s="300"/>
      <c r="AS753" s="345"/>
      <c r="AT753" s="345"/>
      <c r="AU753" s="300"/>
      <c r="AV753" s="286" t="b">
        <v>0</v>
      </c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263"/>
      <c r="B754" s="194"/>
      <c r="C754" s="61"/>
      <c r="D754" s="61"/>
      <c r="E754" s="81"/>
      <c r="F754" s="81"/>
      <c r="G754" s="61"/>
      <c r="H754" s="269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 t="b">
        <v>0</v>
      </c>
      <c r="AO754" s="258"/>
      <c r="AP754" s="346"/>
      <c r="AQ754" s="300"/>
      <c r="AR754" s="300"/>
      <c r="AS754" s="345"/>
      <c r="AT754" s="345"/>
      <c r="AU754" s="300"/>
      <c r="AV754" s="286" t="b">
        <v>0</v>
      </c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263"/>
      <c r="B755" s="194"/>
      <c r="C755" s="61"/>
      <c r="D755" s="61"/>
      <c r="E755" s="81"/>
      <c r="F755" s="81"/>
      <c r="G755" s="61"/>
      <c r="H755" s="269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 t="b">
        <v>0</v>
      </c>
      <c r="AO755" s="258"/>
      <c r="AP755" s="346"/>
      <c r="AQ755" s="300"/>
      <c r="AR755" s="300"/>
      <c r="AS755" s="345"/>
      <c r="AT755" s="345"/>
      <c r="AU755" s="300"/>
      <c r="AV755" s="286" t="b">
        <v>0</v>
      </c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263"/>
      <c r="B756" s="194"/>
      <c r="C756" s="61"/>
      <c r="D756" s="61"/>
      <c r="E756" s="81"/>
      <c r="F756" s="81"/>
      <c r="G756" s="61"/>
      <c r="H756" s="269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 t="b">
        <v>0</v>
      </c>
      <c r="AO756" s="258"/>
      <c r="AP756" s="346"/>
      <c r="AQ756" s="300"/>
      <c r="AR756" s="300"/>
      <c r="AS756" s="345"/>
      <c r="AT756" s="345"/>
      <c r="AU756" s="300"/>
      <c r="AV756" s="286" t="b">
        <v>0</v>
      </c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263"/>
      <c r="B757" s="194"/>
      <c r="C757" s="61"/>
      <c r="D757" s="61"/>
      <c r="E757" s="81"/>
      <c r="F757" s="81"/>
      <c r="G757" s="61"/>
      <c r="H757" s="269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 t="b">
        <v>0</v>
      </c>
      <c r="AO757" s="258"/>
      <c r="AP757" s="346"/>
      <c r="AQ757" s="300"/>
      <c r="AR757" s="300"/>
      <c r="AS757" s="345"/>
      <c r="AT757" s="345"/>
      <c r="AU757" s="300"/>
      <c r="AV757" s="286" t="b">
        <v>0</v>
      </c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263"/>
      <c r="B758" s="194"/>
      <c r="C758" s="61"/>
      <c r="D758" s="61"/>
      <c r="E758" s="81"/>
      <c r="F758" s="81"/>
      <c r="G758" s="61"/>
      <c r="H758" s="269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 t="b">
        <v>0</v>
      </c>
      <c r="AO758" s="258"/>
      <c r="AP758" s="346"/>
      <c r="AQ758" s="300"/>
      <c r="AR758" s="300"/>
      <c r="AS758" s="345"/>
      <c r="AT758" s="345"/>
      <c r="AU758" s="300"/>
      <c r="AV758" s="286" t="b">
        <v>0</v>
      </c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263"/>
      <c r="B759" s="194"/>
      <c r="C759" s="61"/>
      <c r="D759" s="61"/>
      <c r="E759" s="81"/>
      <c r="F759" s="81"/>
      <c r="G759" s="61"/>
      <c r="H759" s="269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 t="b">
        <v>0</v>
      </c>
      <c r="AO759" s="258"/>
      <c r="AP759" s="346"/>
      <c r="AQ759" s="300"/>
      <c r="AR759" s="300"/>
      <c r="AS759" s="345"/>
      <c r="AT759" s="345"/>
      <c r="AU759" s="300"/>
      <c r="AV759" s="286" t="b">
        <v>0</v>
      </c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263"/>
      <c r="B760" s="194"/>
      <c r="C760" s="61"/>
      <c r="D760" s="61"/>
      <c r="E760" s="81"/>
      <c r="F760" s="81"/>
      <c r="G760" s="61"/>
      <c r="H760" s="269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 t="b">
        <v>0</v>
      </c>
      <c r="AO760" s="258"/>
      <c r="AP760" s="346"/>
      <c r="AQ760" s="300"/>
      <c r="AR760" s="300"/>
      <c r="AS760" s="345"/>
      <c r="AT760" s="345"/>
      <c r="AU760" s="300"/>
      <c r="AV760" s="286" t="b">
        <v>0</v>
      </c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263"/>
      <c r="B761" s="194"/>
      <c r="C761" s="61"/>
      <c r="D761" s="61"/>
      <c r="E761" s="81"/>
      <c r="F761" s="81"/>
      <c r="G761" s="61"/>
      <c r="H761" s="269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 t="b">
        <v>0</v>
      </c>
      <c r="AO761" s="258"/>
      <c r="AP761" s="346"/>
      <c r="AQ761" s="300"/>
      <c r="AR761" s="300"/>
      <c r="AS761" s="345"/>
      <c r="AT761" s="345"/>
      <c r="AU761" s="300"/>
      <c r="AV761" s="286" t="b">
        <v>0</v>
      </c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263"/>
      <c r="B762" s="194"/>
      <c r="C762" s="61"/>
      <c r="D762" s="61"/>
      <c r="E762" s="81"/>
      <c r="F762" s="81"/>
      <c r="G762" s="61"/>
      <c r="H762" s="269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 t="b">
        <v>0</v>
      </c>
      <c r="AO762" s="258"/>
      <c r="AP762" s="346"/>
      <c r="AQ762" s="300"/>
      <c r="AR762" s="300"/>
      <c r="AS762" s="345"/>
      <c r="AT762" s="345"/>
      <c r="AU762" s="300"/>
      <c r="AV762" s="286" t="b">
        <v>0</v>
      </c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263"/>
      <c r="B763" s="194"/>
      <c r="C763" s="61"/>
      <c r="D763" s="61"/>
      <c r="E763" s="81"/>
      <c r="F763" s="81"/>
      <c r="G763" s="61"/>
      <c r="H763" s="269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 t="b">
        <v>0</v>
      </c>
      <c r="AO763" s="258"/>
      <c r="AP763" s="346"/>
      <c r="AQ763" s="300"/>
      <c r="AR763" s="300"/>
      <c r="AS763" s="345"/>
      <c r="AT763" s="345"/>
      <c r="AU763" s="300"/>
      <c r="AV763" s="286" t="b">
        <v>0</v>
      </c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263"/>
      <c r="B764" s="194"/>
      <c r="C764" s="61"/>
      <c r="D764" s="61"/>
      <c r="E764" s="81"/>
      <c r="F764" s="81"/>
      <c r="G764" s="61"/>
      <c r="H764" s="269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 t="b">
        <v>0</v>
      </c>
      <c r="AO764" s="258"/>
      <c r="AP764" s="346"/>
      <c r="AQ764" s="300"/>
      <c r="AR764" s="300"/>
      <c r="AS764" s="345"/>
      <c r="AT764" s="345"/>
      <c r="AU764" s="300"/>
      <c r="AV764" s="286" t="b">
        <v>0</v>
      </c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263"/>
      <c r="B765" s="194"/>
      <c r="C765" s="61"/>
      <c r="D765" s="61"/>
      <c r="E765" s="81"/>
      <c r="F765" s="81"/>
      <c r="G765" s="61"/>
      <c r="H765" s="269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 t="b">
        <v>0</v>
      </c>
      <c r="AO765" s="258"/>
      <c r="AP765" s="346"/>
      <c r="AQ765" s="300"/>
      <c r="AR765" s="300"/>
      <c r="AS765" s="345"/>
      <c r="AT765" s="345"/>
      <c r="AU765" s="300"/>
      <c r="AV765" s="286" t="b">
        <v>0</v>
      </c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263"/>
      <c r="B766" s="194"/>
      <c r="C766" s="61"/>
      <c r="D766" s="61"/>
      <c r="E766" s="81"/>
      <c r="F766" s="81"/>
      <c r="G766" s="61"/>
      <c r="H766" s="269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 t="b">
        <v>0</v>
      </c>
      <c r="AO766" s="258"/>
      <c r="AP766" s="346"/>
      <c r="AQ766" s="300"/>
      <c r="AR766" s="300"/>
      <c r="AS766" s="345"/>
      <c r="AT766" s="345"/>
      <c r="AU766" s="300"/>
      <c r="AV766" s="286" t="b">
        <v>0</v>
      </c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263"/>
      <c r="B767" s="194"/>
      <c r="C767" s="61"/>
      <c r="D767" s="61"/>
      <c r="E767" s="81"/>
      <c r="F767" s="81"/>
      <c r="G767" s="61"/>
      <c r="H767" s="269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 t="b">
        <v>0</v>
      </c>
      <c r="AO767" s="258"/>
      <c r="AP767" s="346"/>
      <c r="AQ767" s="300"/>
      <c r="AR767" s="300"/>
      <c r="AS767" s="345"/>
      <c r="AT767" s="345"/>
      <c r="AU767" s="300"/>
      <c r="AV767" s="286" t="b">
        <v>0</v>
      </c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263"/>
      <c r="B768" s="194"/>
      <c r="C768" s="61"/>
      <c r="D768" s="61"/>
      <c r="E768" s="81"/>
      <c r="F768" s="81"/>
      <c r="G768" s="61"/>
      <c r="H768" s="269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 t="b">
        <v>0</v>
      </c>
      <c r="AO768" s="258"/>
      <c r="AP768" s="346"/>
      <c r="AQ768" s="300"/>
      <c r="AR768" s="300"/>
      <c r="AS768" s="345"/>
      <c r="AT768" s="345"/>
      <c r="AU768" s="300"/>
      <c r="AV768" s="286" t="b">
        <v>0</v>
      </c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263"/>
      <c r="B769" s="194"/>
      <c r="C769" s="61"/>
      <c r="D769" s="61"/>
      <c r="E769" s="81"/>
      <c r="F769" s="81"/>
      <c r="G769" s="61"/>
      <c r="H769" s="269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 t="b">
        <v>0</v>
      </c>
      <c r="AO769" s="258"/>
      <c r="AP769" s="346"/>
      <c r="AQ769" s="300"/>
      <c r="AR769" s="300"/>
      <c r="AS769" s="345"/>
      <c r="AT769" s="345"/>
      <c r="AU769" s="300"/>
      <c r="AV769" s="286" t="b">
        <v>0</v>
      </c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263"/>
      <c r="B770" s="194"/>
      <c r="C770" s="61"/>
      <c r="D770" s="61"/>
      <c r="E770" s="81"/>
      <c r="F770" s="81"/>
      <c r="G770" s="61"/>
      <c r="H770" s="269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 t="b">
        <v>0</v>
      </c>
      <c r="AO770" s="258"/>
      <c r="AP770" s="346"/>
      <c r="AQ770" s="300"/>
      <c r="AR770" s="300"/>
      <c r="AS770" s="345"/>
      <c r="AT770" s="345"/>
      <c r="AU770" s="300"/>
      <c r="AV770" s="286" t="b">
        <v>0</v>
      </c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263"/>
      <c r="B771" s="194"/>
      <c r="C771" s="61"/>
      <c r="D771" s="61"/>
      <c r="E771" s="81"/>
      <c r="F771" s="81"/>
      <c r="G771" s="61"/>
      <c r="H771" s="269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 t="b">
        <v>0</v>
      </c>
      <c r="AO771" s="258"/>
      <c r="AP771" s="346"/>
      <c r="AQ771" s="300"/>
      <c r="AR771" s="300"/>
      <c r="AS771" s="345"/>
      <c r="AT771" s="345"/>
      <c r="AU771" s="300"/>
      <c r="AV771" s="286" t="b">
        <v>0</v>
      </c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263"/>
      <c r="B772" s="194"/>
      <c r="C772" s="61"/>
      <c r="D772" s="61"/>
      <c r="E772" s="81"/>
      <c r="F772" s="81"/>
      <c r="G772" s="61"/>
      <c r="H772" s="269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 t="b">
        <v>0</v>
      </c>
      <c r="AO772" s="258"/>
      <c r="AP772" s="346"/>
      <c r="AQ772" s="300"/>
      <c r="AR772" s="300"/>
      <c r="AS772" s="345"/>
      <c r="AT772" s="345"/>
      <c r="AU772" s="300"/>
      <c r="AV772" s="286" t="b">
        <v>0</v>
      </c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263"/>
      <c r="B773" s="194"/>
      <c r="C773" s="61"/>
      <c r="D773" s="61"/>
      <c r="E773" s="81"/>
      <c r="F773" s="81"/>
      <c r="G773" s="61"/>
      <c r="H773" s="269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 t="b">
        <v>0</v>
      </c>
      <c r="AO773" s="258"/>
      <c r="AP773" s="346"/>
      <c r="AQ773" s="300"/>
      <c r="AR773" s="300"/>
      <c r="AS773" s="345"/>
      <c r="AT773" s="345"/>
      <c r="AU773" s="300"/>
      <c r="AV773" s="286" t="b">
        <v>0</v>
      </c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263"/>
      <c r="B774" s="194"/>
      <c r="C774" s="61"/>
      <c r="D774" s="61"/>
      <c r="E774" s="81"/>
      <c r="F774" s="81"/>
      <c r="G774" s="61"/>
      <c r="H774" s="269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 t="b">
        <v>0</v>
      </c>
      <c r="AO774" s="258"/>
      <c r="AP774" s="346"/>
      <c r="AQ774" s="300"/>
      <c r="AR774" s="300"/>
      <c r="AS774" s="345"/>
      <c r="AT774" s="345"/>
      <c r="AU774" s="300"/>
      <c r="AV774" s="286" t="b">
        <v>0</v>
      </c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263"/>
      <c r="B775" s="194"/>
      <c r="C775" s="61"/>
      <c r="D775" s="61"/>
      <c r="E775" s="81"/>
      <c r="F775" s="81"/>
      <c r="G775" s="61"/>
      <c r="H775" s="269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 t="b">
        <v>0</v>
      </c>
      <c r="AO775" s="258"/>
      <c r="AP775" s="346"/>
      <c r="AQ775" s="300"/>
      <c r="AR775" s="300"/>
      <c r="AS775" s="345"/>
      <c r="AT775" s="345"/>
      <c r="AU775" s="300"/>
      <c r="AV775" s="286" t="b">
        <v>0</v>
      </c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263"/>
      <c r="B776" s="194"/>
      <c r="C776" s="61"/>
      <c r="D776" s="61"/>
      <c r="E776" s="81"/>
      <c r="F776" s="81"/>
      <c r="G776" s="61"/>
      <c r="H776" s="269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 t="b">
        <v>0</v>
      </c>
      <c r="AO776" s="258"/>
      <c r="AP776" s="346"/>
      <c r="AQ776" s="300"/>
      <c r="AR776" s="300"/>
      <c r="AS776" s="345"/>
      <c r="AT776" s="345"/>
      <c r="AU776" s="300"/>
      <c r="AV776" s="286" t="b">
        <v>0</v>
      </c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263"/>
      <c r="B777" s="194"/>
      <c r="C777" s="61"/>
      <c r="D777" s="61"/>
      <c r="E777" s="81"/>
      <c r="F777" s="81"/>
      <c r="G777" s="61"/>
      <c r="H777" s="269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 t="b">
        <v>0</v>
      </c>
      <c r="AO777" s="258"/>
      <c r="AP777" s="346"/>
      <c r="AQ777" s="300"/>
      <c r="AR777" s="300"/>
      <c r="AS777" s="345"/>
      <c r="AT777" s="345"/>
      <c r="AU777" s="300"/>
      <c r="AV777" s="286" t="b">
        <v>0</v>
      </c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263"/>
      <c r="B778" s="194"/>
      <c r="C778" s="61"/>
      <c r="D778" s="61"/>
      <c r="E778" s="81"/>
      <c r="F778" s="81"/>
      <c r="G778" s="61"/>
      <c r="H778" s="269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 t="b">
        <v>0</v>
      </c>
      <c r="AO778" s="258"/>
      <c r="AP778" s="346"/>
      <c r="AQ778" s="300"/>
      <c r="AR778" s="300"/>
      <c r="AS778" s="345"/>
      <c r="AT778" s="345"/>
      <c r="AU778" s="300"/>
      <c r="AV778" s="286" t="b">
        <v>0</v>
      </c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263"/>
      <c r="B779" s="194"/>
      <c r="C779" s="61"/>
      <c r="D779" s="61"/>
      <c r="E779" s="81"/>
      <c r="F779" s="81"/>
      <c r="G779" s="61"/>
      <c r="H779" s="269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 t="b">
        <v>0</v>
      </c>
      <c r="AO779" s="258"/>
      <c r="AP779" s="346"/>
      <c r="AQ779" s="300"/>
      <c r="AR779" s="300"/>
      <c r="AS779" s="345"/>
      <c r="AT779" s="345"/>
      <c r="AU779" s="300"/>
      <c r="AV779" s="286" t="b">
        <v>0</v>
      </c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263"/>
      <c r="B780" s="194"/>
      <c r="C780" s="61"/>
      <c r="D780" s="61"/>
      <c r="E780" s="81"/>
      <c r="F780" s="81"/>
      <c r="G780" s="61"/>
      <c r="H780" s="269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 t="b">
        <v>0</v>
      </c>
      <c r="AO780" s="258"/>
      <c r="AP780" s="346"/>
      <c r="AQ780" s="300"/>
      <c r="AR780" s="300"/>
      <c r="AS780" s="345"/>
      <c r="AT780" s="345"/>
      <c r="AU780" s="300"/>
      <c r="AV780" s="286" t="b">
        <v>0</v>
      </c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263"/>
      <c r="B781" s="194"/>
      <c r="C781" s="61"/>
      <c r="D781" s="61"/>
      <c r="E781" s="81"/>
      <c r="F781" s="81"/>
      <c r="G781" s="61"/>
      <c r="H781" s="269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 t="b">
        <v>0</v>
      </c>
      <c r="AO781" s="258"/>
      <c r="AP781" s="346"/>
      <c r="AQ781" s="300"/>
      <c r="AR781" s="300"/>
      <c r="AS781" s="345"/>
      <c r="AT781" s="345"/>
      <c r="AU781" s="300"/>
      <c r="AV781" s="286" t="b">
        <v>0</v>
      </c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263"/>
      <c r="B782" s="194"/>
      <c r="C782" s="61"/>
      <c r="D782" s="61"/>
      <c r="E782" s="81"/>
      <c r="F782" s="81"/>
      <c r="G782" s="61"/>
      <c r="H782" s="269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 t="b">
        <v>0</v>
      </c>
      <c r="AO782" s="258"/>
      <c r="AP782" s="346"/>
      <c r="AQ782" s="300"/>
      <c r="AR782" s="300"/>
      <c r="AS782" s="345"/>
      <c r="AT782" s="345"/>
      <c r="AU782" s="300"/>
      <c r="AV782" s="286" t="b">
        <v>0</v>
      </c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263"/>
      <c r="B783" s="194"/>
      <c r="C783" s="61"/>
      <c r="D783" s="61"/>
      <c r="E783" s="81"/>
      <c r="F783" s="81"/>
      <c r="G783" s="61"/>
      <c r="H783" s="269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 t="b">
        <v>0</v>
      </c>
      <c r="AO783" s="258"/>
      <c r="AP783" s="346"/>
      <c r="AQ783" s="300"/>
      <c r="AR783" s="300"/>
      <c r="AS783" s="345"/>
      <c r="AT783" s="345"/>
      <c r="AU783" s="300"/>
      <c r="AV783" s="286" t="b">
        <v>0</v>
      </c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263"/>
      <c r="B784" s="194"/>
      <c r="C784" s="61"/>
      <c r="D784" s="61"/>
      <c r="E784" s="81"/>
      <c r="F784" s="81"/>
      <c r="G784" s="61"/>
      <c r="H784" s="269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 t="b">
        <v>0</v>
      </c>
      <c r="AO784" s="258"/>
      <c r="AP784" s="346"/>
      <c r="AQ784" s="300"/>
      <c r="AR784" s="300"/>
      <c r="AS784" s="345"/>
      <c r="AT784" s="345"/>
      <c r="AU784" s="300"/>
      <c r="AV784" s="286" t="b">
        <v>0</v>
      </c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263"/>
      <c r="B785" s="194"/>
      <c r="C785" s="61"/>
      <c r="D785" s="61"/>
      <c r="E785" s="81"/>
      <c r="F785" s="81"/>
      <c r="G785" s="61"/>
      <c r="H785" s="269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 t="b">
        <v>0</v>
      </c>
      <c r="AO785" s="258"/>
      <c r="AP785" s="346"/>
      <c r="AQ785" s="300"/>
      <c r="AR785" s="300"/>
      <c r="AS785" s="345"/>
      <c r="AT785" s="345"/>
      <c r="AU785" s="300"/>
      <c r="AV785" s="286" t="b">
        <v>0</v>
      </c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263"/>
      <c r="B786" s="194"/>
      <c r="C786" s="61"/>
      <c r="D786" s="61"/>
      <c r="E786" s="81"/>
      <c r="F786" s="81"/>
      <c r="G786" s="61"/>
      <c r="H786" s="269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 t="b">
        <v>0</v>
      </c>
      <c r="AO786" s="258"/>
      <c r="AP786" s="346"/>
      <c r="AQ786" s="300"/>
      <c r="AR786" s="300"/>
      <c r="AS786" s="345"/>
      <c r="AT786" s="345"/>
      <c r="AU786" s="300"/>
      <c r="AV786" s="286" t="b">
        <v>0</v>
      </c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263"/>
      <c r="B787" s="194"/>
      <c r="C787" s="61"/>
      <c r="D787" s="61"/>
      <c r="E787" s="81"/>
      <c r="F787" s="81"/>
      <c r="G787" s="61"/>
      <c r="H787" s="269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 t="b">
        <v>0</v>
      </c>
      <c r="AO787" s="258"/>
      <c r="AP787" s="346"/>
      <c r="AQ787" s="300"/>
      <c r="AR787" s="300"/>
      <c r="AS787" s="345"/>
      <c r="AT787" s="345"/>
      <c r="AU787" s="300"/>
      <c r="AV787" s="286" t="b">
        <v>0</v>
      </c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263"/>
      <c r="B788" s="194"/>
      <c r="C788" s="61"/>
      <c r="D788" s="61"/>
      <c r="E788" s="81"/>
      <c r="F788" s="81"/>
      <c r="G788" s="61"/>
      <c r="H788" s="269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 t="b">
        <v>0</v>
      </c>
      <c r="AO788" s="258"/>
      <c r="AP788" s="346"/>
      <c r="AQ788" s="300"/>
      <c r="AR788" s="300"/>
      <c r="AS788" s="345"/>
      <c r="AT788" s="345"/>
      <c r="AU788" s="300"/>
      <c r="AV788" s="286" t="b">
        <v>0</v>
      </c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263"/>
      <c r="B789" s="194"/>
      <c r="C789" s="61"/>
      <c r="D789" s="61"/>
      <c r="E789" s="81"/>
      <c r="F789" s="81"/>
      <c r="G789" s="61"/>
      <c r="H789" s="269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 t="b">
        <v>0</v>
      </c>
      <c r="AO789" s="258"/>
      <c r="AP789" s="346"/>
      <c r="AQ789" s="300"/>
      <c r="AR789" s="300"/>
      <c r="AS789" s="345"/>
      <c r="AT789" s="345"/>
      <c r="AU789" s="300"/>
      <c r="AV789" s="286" t="b">
        <v>0</v>
      </c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263"/>
      <c r="B790" s="194"/>
      <c r="C790" s="61"/>
      <c r="D790" s="61"/>
      <c r="E790" s="81"/>
      <c r="F790" s="81"/>
      <c r="G790" s="61"/>
      <c r="H790" s="269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 t="b">
        <v>0</v>
      </c>
      <c r="AO790" s="258"/>
      <c r="AP790" s="346"/>
      <c r="AQ790" s="300"/>
      <c r="AR790" s="300"/>
      <c r="AS790" s="345"/>
      <c r="AT790" s="345"/>
      <c r="AU790" s="300"/>
      <c r="AV790" s="286" t="b">
        <v>0</v>
      </c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263"/>
      <c r="B791" s="194"/>
      <c r="C791" s="61"/>
      <c r="D791" s="61"/>
      <c r="E791" s="81"/>
      <c r="F791" s="81"/>
      <c r="G791" s="61"/>
      <c r="H791" s="269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 t="b">
        <v>0</v>
      </c>
      <c r="AO791" s="258"/>
      <c r="AP791" s="346"/>
      <c r="AQ791" s="300"/>
      <c r="AR791" s="300"/>
      <c r="AS791" s="345"/>
      <c r="AT791" s="345"/>
      <c r="AU791" s="300"/>
      <c r="AV791" s="286" t="b">
        <v>0</v>
      </c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263"/>
      <c r="B792" s="194"/>
      <c r="C792" s="61"/>
      <c r="D792" s="61"/>
      <c r="E792" s="81"/>
      <c r="F792" s="81"/>
      <c r="G792" s="61"/>
      <c r="H792" s="269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 t="b">
        <v>0</v>
      </c>
      <c r="AO792" s="258"/>
      <c r="AP792" s="346"/>
      <c r="AQ792" s="300"/>
      <c r="AR792" s="300"/>
      <c r="AS792" s="345"/>
      <c r="AT792" s="345"/>
      <c r="AU792" s="300"/>
      <c r="AV792" s="286" t="b">
        <v>0</v>
      </c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263"/>
      <c r="B793" s="194"/>
      <c r="C793" s="61"/>
      <c r="D793" s="61"/>
      <c r="E793" s="81"/>
      <c r="F793" s="81"/>
      <c r="G793" s="61"/>
      <c r="H793" s="269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 t="b">
        <v>0</v>
      </c>
      <c r="AO793" s="258"/>
      <c r="AP793" s="346"/>
      <c r="AQ793" s="300"/>
      <c r="AR793" s="300"/>
      <c r="AS793" s="345"/>
      <c r="AT793" s="345"/>
      <c r="AU793" s="300"/>
      <c r="AV793" s="286" t="b">
        <v>0</v>
      </c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263"/>
      <c r="B794" s="194"/>
      <c r="C794" s="61"/>
      <c r="D794" s="61"/>
      <c r="E794" s="81"/>
      <c r="F794" s="81"/>
      <c r="G794" s="61"/>
      <c r="H794" s="269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 t="b">
        <v>0</v>
      </c>
      <c r="AO794" s="258"/>
      <c r="AP794" s="346"/>
      <c r="AQ794" s="300"/>
      <c r="AR794" s="300"/>
      <c r="AS794" s="345"/>
      <c r="AT794" s="345"/>
      <c r="AU794" s="300"/>
      <c r="AV794" s="286" t="b">
        <v>0</v>
      </c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263"/>
      <c r="B795" s="194"/>
      <c r="C795" s="61"/>
      <c r="D795" s="61"/>
      <c r="E795" s="81"/>
      <c r="F795" s="81"/>
      <c r="G795" s="61"/>
      <c r="H795" s="269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 t="b">
        <v>0</v>
      </c>
      <c r="AO795" s="258"/>
      <c r="AP795" s="346"/>
      <c r="AQ795" s="300"/>
      <c r="AR795" s="300"/>
      <c r="AS795" s="345"/>
      <c r="AT795" s="345"/>
      <c r="AU795" s="300"/>
      <c r="AV795" s="286" t="b">
        <v>0</v>
      </c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263"/>
      <c r="B796" s="194"/>
      <c r="C796" s="61"/>
      <c r="D796" s="61"/>
      <c r="E796" s="81"/>
      <c r="F796" s="81"/>
      <c r="G796" s="61"/>
      <c r="H796" s="269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 t="b">
        <v>0</v>
      </c>
      <c r="AO796" s="258"/>
      <c r="AP796" s="346"/>
      <c r="AQ796" s="300"/>
      <c r="AR796" s="300"/>
      <c r="AS796" s="345"/>
      <c r="AT796" s="345"/>
      <c r="AU796" s="300"/>
      <c r="AV796" s="286" t="b">
        <v>0</v>
      </c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263"/>
      <c r="B797" s="194"/>
      <c r="C797" s="61"/>
      <c r="D797" s="61"/>
      <c r="E797" s="81"/>
      <c r="F797" s="81"/>
      <c r="G797" s="61"/>
      <c r="H797" s="269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 t="b">
        <v>0</v>
      </c>
      <c r="AO797" s="258"/>
      <c r="AP797" s="346"/>
      <c r="AQ797" s="300"/>
      <c r="AR797" s="300"/>
      <c r="AS797" s="345"/>
      <c r="AT797" s="345"/>
      <c r="AU797" s="300"/>
      <c r="AV797" s="286" t="b">
        <v>0</v>
      </c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263"/>
      <c r="B798" s="194"/>
      <c r="C798" s="61"/>
      <c r="D798" s="61"/>
      <c r="E798" s="81"/>
      <c r="F798" s="81"/>
      <c r="G798" s="61"/>
      <c r="H798" s="269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 t="b">
        <v>0</v>
      </c>
      <c r="AO798" s="258"/>
      <c r="AP798" s="346"/>
      <c r="AQ798" s="300"/>
      <c r="AR798" s="300"/>
      <c r="AS798" s="345"/>
      <c r="AT798" s="345"/>
      <c r="AU798" s="300"/>
      <c r="AV798" s="286" t="b">
        <v>0</v>
      </c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263"/>
      <c r="B799" s="194"/>
      <c r="C799" s="61"/>
      <c r="D799" s="61"/>
      <c r="E799" s="81"/>
      <c r="F799" s="81"/>
      <c r="G799" s="61"/>
      <c r="H799" s="269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 t="b">
        <v>0</v>
      </c>
      <c r="AO799" s="258"/>
      <c r="AP799" s="346"/>
      <c r="AQ799" s="300"/>
      <c r="AR799" s="300"/>
      <c r="AS799" s="345"/>
      <c r="AT799" s="345"/>
      <c r="AU799" s="300"/>
      <c r="AV799" s="286" t="b">
        <v>0</v>
      </c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263"/>
      <c r="B800" s="194"/>
      <c r="C800" s="61"/>
      <c r="D800" s="61"/>
      <c r="E800" s="81"/>
      <c r="F800" s="81"/>
      <c r="G800" s="61"/>
      <c r="H800" s="269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 t="b">
        <v>0</v>
      </c>
      <c r="AO800" s="258"/>
      <c r="AP800" s="346"/>
      <c r="AQ800" s="300"/>
      <c r="AR800" s="300"/>
      <c r="AS800" s="345"/>
      <c r="AT800" s="345"/>
      <c r="AU800" s="300"/>
      <c r="AV800" s="286" t="b">
        <v>0</v>
      </c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263"/>
      <c r="B801" s="194"/>
      <c r="C801" s="61"/>
      <c r="D801" s="61"/>
      <c r="E801" s="81"/>
      <c r="F801" s="81"/>
      <c r="G801" s="61"/>
      <c r="H801" s="269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 t="b">
        <v>0</v>
      </c>
      <c r="AO801" s="258"/>
      <c r="AP801" s="346"/>
      <c r="AQ801" s="300"/>
      <c r="AR801" s="300"/>
      <c r="AS801" s="345"/>
      <c r="AT801" s="345"/>
      <c r="AU801" s="300"/>
      <c r="AV801" s="286" t="b">
        <v>0</v>
      </c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263"/>
      <c r="B802" s="194"/>
      <c r="C802" s="61"/>
      <c r="D802" s="61"/>
      <c r="E802" s="81"/>
      <c r="F802" s="81"/>
      <c r="G802" s="61"/>
      <c r="H802" s="269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 t="b">
        <v>0</v>
      </c>
      <c r="AO802" s="258"/>
      <c r="AP802" s="346"/>
      <c r="AQ802" s="300"/>
      <c r="AR802" s="300"/>
      <c r="AS802" s="345"/>
      <c r="AT802" s="345"/>
      <c r="AU802" s="300"/>
      <c r="AV802" s="286" t="b">
        <v>0</v>
      </c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263"/>
      <c r="B803" s="194"/>
      <c r="C803" s="61"/>
      <c r="D803" s="61"/>
      <c r="E803" s="81"/>
      <c r="F803" s="81"/>
      <c r="G803" s="61"/>
      <c r="H803" s="269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 t="b">
        <v>0</v>
      </c>
      <c r="AO803" s="258"/>
      <c r="AP803" s="346"/>
      <c r="AQ803" s="300"/>
      <c r="AR803" s="300"/>
      <c r="AS803" s="345"/>
      <c r="AT803" s="345"/>
      <c r="AU803" s="300"/>
      <c r="AV803" s="286" t="b">
        <v>0</v>
      </c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263"/>
      <c r="B804" s="194"/>
      <c r="C804" s="61"/>
      <c r="D804" s="61"/>
      <c r="E804" s="81"/>
      <c r="F804" s="81"/>
      <c r="G804" s="61"/>
      <c r="H804" s="269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 t="b">
        <v>0</v>
      </c>
      <c r="AO804" s="258"/>
      <c r="AP804" s="346"/>
      <c r="AQ804" s="300"/>
      <c r="AR804" s="300"/>
      <c r="AS804" s="345"/>
      <c r="AT804" s="345"/>
      <c r="AU804" s="300"/>
      <c r="AV804" s="286" t="b">
        <v>0</v>
      </c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263"/>
      <c r="B805" s="194"/>
      <c r="C805" s="61"/>
      <c r="D805" s="61"/>
      <c r="E805" s="81"/>
      <c r="F805" s="81"/>
      <c r="G805" s="61"/>
      <c r="H805" s="269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 t="b">
        <v>0</v>
      </c>
      <c r="AO805" s="258"/>
      <c r="AP805" s="346"/>
      <c r="AQ805" s="300"/>
      <c r="AR805" s="300"/>
      <c r="AS805" s="345"/>
      <c r="AT805" s="345"/>
      <c r="AU805" s="300"/>
      <c r="AV805" s="286" t="b">
        <v>0</v>
      </c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263"/>
      <c r="B806" s="194"/>
      <c r="C806" s="61"/>
      <c r="D806" s="61"/>
      <c r="E806" s="81"/>
      <c r="F806" s="81"/>
      <c r="G806" s="61"/>
      <c r="H806" s="269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 t="b">
        <v>0</v>
      </c>
      <c r="AO806" s="258"/>
      <c r="AP806" s="346"/>
      <c r="AQ806" s="300"/>
      <c r="AR806" s="300"/>
      <c r="AS806" s="345"/>
      <c r="AT806" s="345"/>
      <c r="AU806" s="300"/>
      <c r="AV806" s="286" t="b">
        <v>0</v>
      </c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263"/>
      <c r="B807" s="194"/>
      <c r="C807" s="61"/>
      <c r="D807" s="61"/>
      <c r="E807" s="81"/>
      <c r="F807" s="81"/>
      <c r="G807" s="61"/>
      <c r="H807" s="269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 t="b">
        <v>0</v>
      </c>
      <c r="AO807" s="258"/>
      <c r="AP807" s="346"/>
      <c r="AQ807" s="300"/>
      <c r="AR807" s="300"/>
      <c r="AS807" s="345"/>
      <c r="AT807" s="345"/>
      <c r="AU807" s="300"/>
      <c r="AV807" s="286" t="b">
        <v>0</v>
      </c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263"/>
      <c r="B808" s="194"/>
      <c r="C808" s="61"/>
      <c r="D808" s="61"/>
      <c r="E808" s="81"/>
      <c r="F808" s="81"/>
      <c r="G808" s="61"/>
      <c r="H808" s="269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 t="b">
        <v>0</v>
      </c>
      <c r="AO808" s="258"/>
      <c r="AP808" s="346"/>
      <c r="AQ808" s="300"/>
      <c r="AR808" s="300"/>
      <c r="AS808" s="345"/>
      <c r="AT808" s="345"/>
      <c r="AU808" s="300"/>
      <c r="AV808" s="286" t="b">
        <v>0</v>
      </c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263"/>
      <c r="B809" s="194"/>
      <c r="C809" s="61"/>
      <c r="D809" s="61"/>
      <c r="E809" s="81"/>
      <c r="F809" s="81"/>
      <c r="G809" s="61"/>
      <c r="H809" s="269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 t="b">
        <v>0</v>
      </c>
      <c r="AO809" s="258"/>
      <c r="AP809" s="346"/>
      <c r="AQ809" s="300"/>
      <c r="AR809" s="300"/>
      <c r="AS809" s="345"/>
      <c r="AT809" s="345"/>
      <c r="AU809" s="300"/>
      <c r="AV809" s="286" t="b">
        <v>0</v>
      </c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263"/>
      <c r="B810" s="194"/>
      <c r="C810" s="61"/>
      <c r="D810" s="61"/>
      <c r="E810" s="81"/>
      <c r="F810" s="81"/>
      <c r="G810" s="61"/>
      <c r="H810" s="269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 t="b">
        <v>0</v>
      </c>
      <c r="AO810" s="258"/>
      <c r="AP810" s="346"/>
      <c r="AQ810" s="300"/>
      <c r="AR810" s="300"/>
      <c r="AS810" s="345"/>
      <c r="AT810" s="345"/>
      <c r="AU810" s="300"/>
      <c r="AV810" s="286" t="b">
        <v>0</v>
      </c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263"/>
      <c r="B811" s="194"/>
      <c r="C811" s="61"/>
      <c r="D811" s="61"/>
      <c r="E811" s="81"/>
      <c r="F811" s="81"/>
      <c r="G811" s="61"/>
      <c r="H811" s="269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 t="b">
        <v>0</v>
      </c>
      <c r="AO811" s="258"/>
      <c r="AP811" s="346"/>
      <c r="AQ811" s="300"/>
      <c r="AR811" s="300"/>
      <c r="AS811" s="345"/>
      <c r="AT811" s="345"/>
      <c r="AU811" s="300"/>
      <c r="AV811" s="286" t="b">
        <v>0</v>
      </c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263"/>
      <c r="B812" s="194"/>
      <c r="C812" s="61"/>
      <c r="D812" s="61"/>
      <c r="E812" s="81"/>
      <c r="F812" s="81"/>
      <c r="G812" s="61"/>
      <c r="H812" s="269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 t="b">
        <v>0</v>
      </c>
      <c r="AO812" s="258"/>
      <c r="AP812" s="346"/>
      <c r="AQ812" s="300"/>
      <c r="AR812" s="300"/>
      <c r="AS812" s="345"/>
      <c r="AT812" s="345"/>
      <c r="AU812" s="300"/>
      <c r="AV812" s="286" t="b">
        <v>0</v>
      </c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263"/>
      <c r="B813" s="194"/>
      <c r="C813" s="61"/>
      <c r="D813" s="61"/>
      <c r="E813" s="81"/>
      <c r="F813" s="81"/>
      <c r="G813" s="61"/>
      <c r="H813" s="269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 t="b">
        <v>0</v>
      </c>
      <c r="AO813" s="258"/>
      <c r="AP813" s="346"/>
      <c r="AQ813" s="300"/>
      <c r="AR813" s="300"/>
      <c r="AS813" s="345"/>
      <c r="AT813" s="345"/>
      <c r="AU813" s="300"/>
      <c r="AV813" s="286" t="b">
        <v>0</v>
      </c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263"/>
      <c r="B814" s="194"/>
      <c r="C814" s="61"/>
      <c r="D814" s="61"/>
      <c r="E814" s="81"/>
      <c r="F814" s="81"/>
      <c r="G814" s="61"/>
      <c r="H814" s="269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 t="b">
        <v>0</v>
      </c>
      <c r="AO814" s="258"/>
      <c r="AP814" s="346"/>
      <c r="AQ814" s="300"/>
      <c r="AR814" s="300"/>
      <c r="AS814" s="345"/>
      <c r="AT814" s="345"/>
      <c r="AU814" s="300"/>
      <c r="AV814" s="286" t="b">
        <v>0</v>
      </c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263"/>
      <c r="B815" s="194"/>
      <c r="C815" s="61"/>
      <c r="D815" s="61"/>
      <c r="E815" s="81"/>
      <c r="F815" s="81"/>
      <c r="G815" s="61"/>
      <c r="H815" s="269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 t="b">
        <v>0</v>
      </c>
      <c r="AO815" s="258"/>
      <c r="AP815" s="346"/>
      <c r="AQ815" s="300"/>
      <c r="AR815" s="300"/>
      <c r="AS815" s="345"/>
      <c r="AT815" s="345"/>
      <c r="AU815" s="300"/>
      <c r="AV815" s="286" t="b">
        <v>0</v>
      </c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263"/>
      <c r="B816" s="194"/>
      <c r="C816" s="61"/>
      <c r="D816" s="61"/>
      <c r="E816" s="81"/>
      <c r="F816" s="81"/>
      <c r="G816" s="61"/>
      <c r="H816" s="269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 t="b">
        <v>0</v>
      </c>
      <c r="AO816" s="258"/>
      <c r="AP816" s="346"/>
      <c r="AQ816" s="300"/>
      <c r="AR816" s="300"/>
      <c r="AS816" s="345"/>
      <c r="AT816" s="345"/>
      <c r="AU816" s="300"/>
      <c r="AV816" s="286" t="b">
        <v>0</v>
      </c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263"/>
      <c r="B817" s="194"/>
      <c r="C817" s="61"/>
      <c r="D817" s="61"/>
      <c r="E817" s="81"/>
      <c r="F817" s="81"/>
      <c r="G817" s="61"/>
      <c r="H817" s="269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 t="b">
        <v>0</v>
      </c>
      <c r="AO817" s="258"/>
      <c r="AP817" s="346"/>
      <c r="AQ817" s="300"/>
      <c r="AR817" s="300"/>
      <c r="AS817" s="345"/>
      <c r="AT817" s="345"/>
      <c r="AU817" s="300"/>
      <c r="AV817" s="286" t="b">
        <v>0</v>
      </c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263"/>
      <c r="B818" s="194"/>
      <c r="C818" s="61"/>
      <c r="D818" s="61"/>
      <c r="E818" s="81"/>
      <c r="F818" s="81"/>
      <c r="G818" s="61"/>
      <c r="H818" s="269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 t="b">
        <v>0</v>
      </c>
      <c r="AO818" s="258"/>
      <c r="AP818" s="346"/>
      <c r="AQ818" s="300"/>
      <c r="AR818" s="300"/>
      <c r="AS818" s="345"/>
      <c r="AT818" s="345"/>
      <c r="AU818" s="300"/>
      <c r="AV818" s="286" t="b">
        <v>0</v>
      </c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263"/>
      <c r="B819" s="194"/>
      <c r="C819" s="61"/>
      <c r="D819" s="61"/>
      <c r="E819" s="81"/>
      <c r="F819" s="81"/>
      <c r="G819" s="61"/>
      <c r="H819" s="269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 t="b">
        <v>0</v>
      </c>
      <c r="AO819" s="258"/>
      <c r="AP819" s="346"/>
      <c r="AQ819" s="300"/>
      <c r="AR819" s="300"/>
      <c r="AS819" s="345"/>
      <c r="AT819" s="345"/>
      <c r="AU819" s="300"/>
      <c r="AV819" s="286" t="b">
        <v>0</v>
      </c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263"/>
      <c r="B820" s="194"/>
      <c r="C820" s="61"/>
      <c r="D820" s="61"/>
      <c r="E820" s="81"/>
      <c r="F820" s="81"/>
      <c r="G820" s="61"/>
      <c r="H820" s="269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 t="b">
        <v>0</v>
      </c>
      <c r="AO820" s="258"/>
      <c r="AP820" s="346"/>
      <c r="AQ820" s="300"/>
      <c r="AR820" s="300"/>
      <c r="AS820" s="345"/>
      <c r="AT820" s="345"/>
      <c r="AU820" s="300"/>
      <c r="AV820" s="286" t="b">
        <v>0</v>
      </c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263"/>
      <c r="B821" s="194"/>
      <c r="C821" s="61"/>
      <c r="D821" s="61"/>
      <c r="E821" s="81"/>
      <c r="F821" s="81"/>
      <c r="G821" s="61"/>
      <c r="H821" s="269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 t="b">
        <v>0</v>
      </c>
      <c r="AO821" s="258"/>
      <c r="AP821" s="346"/>
      <c r="AQ821" s="300"/>
      <c r="AR821" s="300"/>
      <c r="AS821" s="345"/>
      <c r="AT821" s="345"/>
      <c r="AU821" s="300"/>
      <c r="AV821" s="286" t="b">
        <v>0</v>
      </c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263"/>
      <c r="B822" s="194"/>
      <c r="C822" s="61"/>
      <c r="D822" s="61"/>
      <c r="E822" s="81"/>
      <c r="F822" s="81"/>
      <c r="G822" s="61"/>
      <c r="H822" s="269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 t="b">
        <v>0</v>
      </c>
      <c r="AO822" s="258"/>
      <c r="AP822" s="346"/>
      <c r="AQ822" s="300"/>
      <c r="AR822" s="300"/>
      <c r="AS822" s="345"/>
      <c r="AT822" s="345"/>
      <c r="AU822" s="300"/>
      <c r="AV822" s="286" t="b">
        <v>0</v>
      </c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263"/>
      <c r="B823" s="194"/>
      <c r="C823" s="61"/>
      <c r="D823" s="61"/>
      <c r="E823" s="81"/>
      <c r="F823" s="81"/>
      <c r="G823" s="61"/>
      <c r="H823" s="269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 t="b">
        <v>0</v>
      </c>
      <c r="AO823" s="258"/>
      <c r="AP823" s="346"/>
      <c r="AQ823" s="300"/>
      <c r="AR823" s="300"/>
      <c r="AS823" s="345"/>
      <c r="AT823" s="345"/>
      <c r="AU823" s="300"/>
      <c r="AV823" s="286" t="b">
        <v>0</v>
      </c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263"/>
      <c r="B824" s="194"/>
      <c r="C824" s="61"/>
      <c r="D824" s="61"/>
      <c r="E824" s="81"/>
      <c r="F824" s="81"/>
      <c r="G824" s="61"/>
      <c r="H824" s="269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 t="b">
        <v>0</v>
      </c>
      <c r="AO824" s="258"/>
      <c r="AP824" s="346"/>
      <c r="AQ824" s="300"/>
      <c r="AR824" s="300"/>
      <c r="AS824" s="345"/>
      <c r="AT824" s="345"/>
      <c r="AU824" s="300"/>
      <c r="AV824" s="286" t="b">
        <v>0</v>
      </c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263"/>
      <c r="B825" s="194"/>
      <c r="C825" s="61"/>
      <c r="D825" s="61"/>
      <c r="E825" s="81"/>
      <c r="F825" s="81"/>
      <c r="G825" s="61"/>
      <c r="H825" s="269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 t="b">
        <v>0</v>
      </c>
      <c r="AO825" s="258"/>
      <c r="AP825" s="346"/>
      <c r="AQ825" s="300"/>
      <c r="AR825" s="300"/>
      <c r="AS825" s="345"/>
      <c r="AT825" s="345"/>
      <c r="AU825" s="300"/>
      <c r="AV825" s="286" t="b">
        <v>0</v>
      </c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263"/>
      <c r="B826" s="194"/>
      <c r="C826" s="61"/>
      <c r="D826" s="61"/>
      <c r="E826" s="81"/>
      <c r="F826" s="81"/>
      <c r="G826" s="61"/>
      <c r="H826" s="269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 t="b">
        <v>0</v>
      </c>
      <c r="AO826" s="258"/>
      <c r="AP826" s="346"/>
      <c r="AQ826" s="300"/>
      <c r="AR826" s="300"/>
      <c r="AS826" s="345"/>
      <c r="AT826" s="345"/>
      <c r="AU826" s="300"/>
      <c r="AV826" s="286" t="b">
        <v>0</v>
      </c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263"/>
      <c r="B827" s="194"/>
      <c r="C827" s="61"/>
      <c r="D827" s="61"/>
      <c r="E827" s="81"/>
      <c r="F827" s="81"/>
      <c r="G827" s="61"/>
      <c r="H827" s="269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 t="b">
        <v>0</v>
      </c>
      <c r="AO827" s="258"/>
      <c r="AP827" s="346"/>
      <c r="AQ827" s="300"/>
      <c r="AR827" s="300"/>
      <c r="AS827" s="345"/>
      <c r="AT827" s="345"/>
      <c r="AU827" s="300"/>
      <c r="AV827" s="286" t="b">
        <v>0</v>
      </c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263"/>
      <c r="B828" s="194"/>
      <c r="C828" s="61"/>
      <c r="D828" s="61"/>
      <c r="E828" s="81"/>
      <c r="F828" s="81"/>
      <c r="G828" s="61"/>
      <c r="H828" s="269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 t="b">
        <v>0</v>
      </c>
      <c r="AO828" s="258"/>
      <c r="AP828" s="346"/>
      <c r="AQ828" s="300"/>
      <c r="AR828" s="300"/>
      <c r="AS828" s="345"/>
      <c r="AT828" s="345"/>
      <c r="AU828" s="300"/>
      <c r="AV828" s="286" t="b">
        <v>0</v>
      </c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263"/>
      <c r="B829" s="194"/>
      <c r="C829" s="61"/>
      <c r="D829" s="61"/>
      <c r="E829" s="81"/>
      <c r="F829" s="81"/>
      <c r="G829" s="61"/>
      <c r="H829" s="269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 t="b">
        <v>0</v>
      </c>
      <c r="AO829" s="258"/>
      <c r="AP829" s="346"/>
      <c r="AQ829" s="300"/>
      <c r="AR829" s="300"/>
      <c r="AS829" s="345"/>
      <c r="AT829" s="345"/>
      <c r="AU829" s="300"/>
      <c r="AV829" s="286" t="b">
        <v>0</v>
      </c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263"/>
      <c r="B830" s="194"/>
      <c r="C830" s="61"/>
      <c r="D830" s="61"/>
      <c r="E830" s="81"/>
      <c r="F830" s="81"/>
      <c r="G830" s="61"/>
      <c r="H830" s="269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 t="b">
        <v>0</v>
      </c>
      <c r="AO830" s="258"/>
      <c r="AP830" s="346"/>
      <c r="AQ830" s="300"/>
      <c r="AR830" s="300"/>
      <c r="AS830" s="345"/>
      <c r="AT830" s="345"/>
      <c r="AU830" s="300"/>
      <c r="AV830" s="286" t="b">
        <v>0</v>
      </c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263"/>
      <c r="B831" s="194"/>
      <c r="C831" s="61"/>
      <c r="D831" s="61"/>
      <c r="E831" s="81"/>
      <c r="F831" s="81"/>
      <c r="G831" s="61"/>
      <c r="H831" s="269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 t="b">
        <v>0</v>
      </c>
      <c r="AO831" s="258"/>
      <c r="AP831" s="346"/>
      <c r="AQ831" s="300"/>
      <c r="AR831" s="300"/>
      <c r="AS831" s="345"/>
      <c r="AT831" s="345"/>
      <c r="AU831" s="300"/>
      <c r="AV831" s="286" t="b">
        <v>0</v>
      </c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263"/>
      <c r="B832" s="194"/>
      <c r="C832" s="61"/>
      <c r="D832" s="61"/>
      <c r="E832" s="81"/>
      <c r="F832" s="81"/>
      <c r="G832" s="61"/>
      <c r="H832" s="269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 t="b">
        <v>0</v>
      </c>
      <c r="AO832" s="258"/>
      <c r="AP832" s="346"/>
      <c r="AQ832" s="300"/>
      <c r="AR832" s="300"/>
      <c r="AS832" s="345"/>
      <c r="AT832" s="345"/>
      <c r="AU832" s="300"/>
      <c r="AV832" s="286" t="b">
        <v>0</v>
      </c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263"/>
      <c r="B833" s="194"/>
      <c r="C833" s="61"/>
      <c r="D833" s="61"/>
      <c r="E833" s="81"/>
      <c r="F833" s="81"/>
      <c r="G833" s="61"/>
      <c r="H833" s="269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 t="b">
        <v>0</v>
      </c>
      <c r="AO833" s="258"/>
      <c r="AP833" s="346"/>
      <c r="AQ833" s="300"/>
      <c r="AR833" s="300"/>
      <c r="AS833" s="345"/>
      <c r="AT833" s="345"/>
      <c r="AU833" s="300"/>
      <c r="AV833" s="286" t="b">
        <v>0</v>
      </c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263"/>
      <c r="B834" s="194"/>
      <c r="C834" s="61"/>
      <c r="D834" s="61"/>
      <c r="E834" s="81"/>
      <c r="F834" s="81"/>
      <c r="G834" s="61"/>
      <c r="H834" s="269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 t="b">
        <v>0</v>
      </c>
      <c r="AO834" s="258"/>
      <c r="AP834" s="346"/>
      <c r="AQ834" s="300"/>
      <c r="AR834" s="300"/>
      <c r="AS834" s="345"/>
      <c r="AT834" s="345"/>
      <c r="AU834" s="300"/>
      <c r="AV834" s="286" t="b">
        <v>0</v>
      </c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263"/>
      <c r="B835" s="194"/>
      <c r="C835" s="61"/>
      <c r="D835" s="61"/>
      <c r="E835" s="81"/>
      <c r="F835" s="81"/>
      <c r="G835" s="61"/>
      <c r="H835" s="269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 t="b">
        <v>0</v>
      </c>
      <c r="AO835" s="258"/>
      <c r="AP835" s="346"/>
      <c r="AQ835" s="300"/>
      <c r="AR835" s="300"/>
      <c r="AS835" s="345"/>
      <c r="AT835" s="345"/>
      <c r="AU835" s="300"/>
      <c r="AV835" s="286" t="b">
        <v>0</v>
      </c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263"/>
      <c r="B836" s="194"/>
      <c r="C836" s="61"/>
      <c r="D836" s="61"/>
      <c r="E836" s="81"/>
      <c r="F836" s="81"/>
      <c r="G836" s="61"/>
      <c r="H836" s="269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 t="b">
        <v>0</v>
      </c>
      <c r="AO836" s="258"/>
      <c r="AP836" s="346"/>
      <c r="AQ836" s="300"/>
      <c r="AR836" s="300"/>
      <c r="AS836" s="345"/>
      <c r="AT836" s="345"/>
      <c r="AU836" s="300"/>
      <c r="AV836" s="286" t="b">
        <v>0</v>
      </c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263"/>
      <c r="B837" s="194"/>
      <c r="C837" s="61"/>
      <c r="D837" s="61"/>
      <c r="E837" s="81"/>
      <c r="F837" s="81"/>
      <c r="G837" s="61"/>
      <c r="H837" s="269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 t="b">
        <v>0</v>
      </c>
      <c r="AO837" s="258"/>
      <c r="AP837" s="346"/>
      <c r="AQ837" s="300"/>
      <c r="AR837" s="300"/>
      <c r="AS837" s="345"/>
      <c r="AT837" s="345"/>
      <c r="AU837" s="300"/>
      <c r="AV837" s="286" t="b">
        <v>0</v>
      </c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263"/>
      <c r="B838" s="194"/>
      <c r="C838" s="61"/>
      <c r="D838" s="61"/>
      <c r="E838" s="81"/>
      <c r="F838" s="81"/>
      <c r="G838" s="61"/>
      <c r="H838" s="269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 t="b">
        <v>0</v>
      </c>
      <c r="AO838" s="258"/>
      <c r="AP838" s="346"/>
      <c r="AQ838" s="300"/>
      <c r="AR838" s="300"/>
      <c r="AS838" s="345"/>
      <c r="AT838" s="345"/>
      <c r="AU838" s="300"/>
      <c r="AV838" s="286" t="b">
        <v>0</v>
      </c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263"/>
      <c r="B839" s="194"/>
      <c r="C839" s="61"/>
      <c r="D839" s="61"/>
      <c r="E839" s="81"/>
      <c r="F839" s="81"/>
      <c r="G839" s="61"/>
      <c r="H839" s="269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 t="b">
        <v>0</v>
      </c>
      <c r="AO839" s="258"/>
      <c r="AP839" s="346"/>
      <c r="AQ839" s="300"/>
      <c r="AR839" s="300"/>
      <c r="AS839" s="345"/>
      <c r="AT839" s="345"/>
      <c r="AU839" s="300"/>
      <c r="AV839" s="286" t="b">
        <v>0</v>
      </c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263"/>
      <c r="B840" s="194"/>
      <c r="C840" s="61"/>
      <c r="D840" s="61"/>
      <c r="E840" s="81"/>
      <c r="F840" s="81"/>
      <c r="G840" s="61"/>
      <c r="H840" s="269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 t="b">
        <v>0</v>
      </c>
      <c r="AO840" s="258"/>
      <c r="AP840" s="346"/>
      <c r="AQ840" s="300"/>
      <c r="AR840" s="300"/>
      <c r="AS840" s="345"/>
      <c r="AT840" s="345"/>
      <c r="AU840" s="300"/>
      <c r="AV840" s="286" t="b">
        <v>0</v>
      </c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263"/>
      <c r="B841" s="194"/>
      <c r="C841" s="61"/>
      <c r="D841" s="61"/>
      <c r="E841" s="81"/>
      <c r="F841" s="81"/>
      <c r="G841" s="61"/>
      <c r="H841" s="269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 t="b">
        <v>0</v>
      </c>
      <c r="AO841" s="258"/>
      <c r="AP841" s="346"/>
      <c r="AQ841" s="300"/>
      <c r="AR841" s="300"/>
      <c r="AS841" s="345"/>
      <c r="AT841" s="345"/>
      <c r="AU841" s="300"/>
      <c r="AV841" s="286" t="b">
        <v>0</v>
      </c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263"/>
      <c r="B842" s="194"/>
      <c r="C842" s="61"/>
      <c r="D842" s="61"/>
      <c r="E842" s="81"/>
      <c r="F842" s="81"/>
      <c r="G842" s="61"/>
      <c r="H842" s="269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 t="b">
        <v>0</v>
      </c>
      <c r="AO842" s="258"/>
      <c r="AP842" s="346"/>
      <c r="AQ842" s="300"/>
      <c r="AR842" s="300"/>
      <c r="AS842" s="345"/>
      <c r="AT842" s="345"/>
      <c r="AU842" s="300"/>
      <c r="AV842" s="286" t="b">
        <v>0</v>
      </c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263"/>
      <c r="B843" s="194"/>
      <c r="C843" s="61"/>
      <c r="D843" s="61"/>
      <c r="E843" s="81"/>
      <c r="F843" s="81"/>
      <c r="G843" s="61"/>
      <c r="H843" s="269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 t="b">
        <v>0</v>
      </c>
      <c r="AO843" s="258"/>
      <c r="AP843" s="346"/>
      <c r="AQ843" s="300"/>
      <c r="AR843" s="300"/>
      <c r="AS843" s="345"/>
      <c r="AT843" s="345"/>
      <c r="AU843" s="300"/>
      <c r="AV843" s="286" t="b">
        <v>0</v>
      </c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263"/>
      <c r="B844" s="194"/>
      <c r="C844" s="61"/>
      <c r="D844" s="61"/>
      <c r="E844" s="81"/>
      <c r="F844" s="81"/>
      <c r="G844" s="61"/>
      <c r="H844" s="269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 t="b">
        <v>0</v>
      </c>
      <c r="AO844" s="258"/>
      <c r="AP844" s="346"/>
      <c r="AQ844" s="300"/>
      <c r="AR844" s="300"/>
      <c r="AS844" s="345"/>
      <c r="AT844" s="345"/>
      <c r="AU844" s="300"/>
      <c r="AV844" s="286" t="b">
        <v>0</v>
      </c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263"/>
      <c r="B845" s="194"/>
      <c r="C845" s="61"/>
      <c r="D845" s="61"/>
      <c r="E845" s="81"/>
      <c r="F845" s="81"/>
      <c r="G845" s="61"/>
      <c r="H845" s="269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 t="b">
        <v>0</v>
      </c>
      <c r="AO845" s="258"/>
      <c r="AP845" s="346"/>
      <c r="AQ845" s="300"/>
      <c r="AR845" s="300"/>
      <c r="AS845" s="345"/>
      <c r="AT845" s="345"/>
      <c r="AU845" s="300"/>
      <c r="AV845" s="286" t="b">
        <v>0</v>
      </c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263"/>
      <c r="B846" s="194"/>
      <c r="C846" s="61"/>
      <c r="D846" s="61"/>
      <c r="E846" s="81"/>
      <c r="F846" s="81"/>
      <c r="G846" s="61"/>
      <c r="H846" s="269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 t="b">
        <v>0</v>
      </c>
      <c r="AO846" s="258"/>
      <c r="AP846" s="346"/>
      <c r="AQ846" s="300"/>
      <c r="AR846" s="300"/>
      <c r="AS846" s="345"/>
      <c r="AT846" s="345"/>
      <c r="AU846" s="300"/>
      <c r="AV846" s="286" t="b">
        <v>0</v>
      </c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263"/>
      <c r="B847" s="194"/>
      <c r="C847" s="61"/>
      <c r="D847" s="61"/>
      <c r="E847" s="81"/>
      <c r="F847" s="81"/>
      <c r="G847" s="61"/>
      <c r="H847" s="269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 t="b">
        <v>0</v>
      </c>
      <c r="AO847" s="258"/>
      <c r="AP847" s="346"/>
      <c r="AQ847" s="300"/>
      <c r="AR847" s="300"/>
      <c r="AS847" s="345"/>
      <c r="AT847" s="345"/>
      <c r="AU847" s="300"/>
      <c r="AV847" s="286" t="b">
        <v>0</v>
      </c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263"/>
      <c r="B848" s="194"/>
      <c r="C848" s="61"/>
      <c r="D848" s="61"/>
      <c r="E848" s="81"/>
      <c r="F848" s="81"/>
      <c r="G848" s="61"/>
      <c r="H848" s="269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 t="b">
        <v>0</v>
      </c>
      <c r="AO848" s="258"/>
      <c r="AP848" s="346"/>
      <c r="AQ848" s="300"/>
      <c r="AR848" s="300"/>
      <c r="AS848" s="345"/>
      <c r="AT848" s="345"/>
      <c r="AU848" s="300"/>
      <c r="AV848" s="286" t="b">
        <v>0</v>
      </c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263"/>
      <c r="B849" s="194"/>
      <c r="C849" s="61"/>
      <c r="D849" s="61"/>
      <c r="E849" s="81"/>
      <c r="F849" s="81"/>
      <c r="G849" s="61"/>
      <c r="H849" s="269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 t="b">
        <v>0</v>
      </c>
      <c r="AO849" s="258"/>
      <c r="AP849" s="346"/>
      <c r="AQ849" s="300"/>
      <c r="AR849" s="300"/>
      <c r="AS849" s="345"/>
      <c r="AT849" s="345"/>
      <c r="AU849" s="300"/>
      <c r="AV849" s="286" t="b">
        <v>0</v>
      </c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263"/>
      <c r="B850" s="194"/>
      <c r="C850" s="61"/>
      <c r="D850" s="61"/>
      <c r="E850" s="81"/>
      <c r="F850" s="81"/>
      <c r="G850" s="61"/>
      <c r="H850" s="269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 t="b">
        <v>0</v>
      </c>
      <c r="AO850" s="258"/>
      <c r="AP850" s="346"/>
      <c r="AQ850" s="300"/>
      <c r="AR850" s="300"/>
      <c r="AS850" s="345"/>
      <c r="AT850" s="345"/>
      <c r="AU850" s="300"/>
      <c r="AV850" s="286" t="b">
        <v>0</v>
      </c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263"/>
      <c r="B851" s="194"/>
      <c r="C851" s="61"/>
      <c r="D851" s="61"/>
      <c r="E851" s="81"/>
      <c r="F851" s="81"/>
      <c r="G851" s="61"/>
      <c r="H851" s="269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 t="b">
        <v>0</v>
      </c>
      <c r="AO851" s="258"/>
      <c r="AP851" s="346"/>
      <c r="AQ851" s="300"/>
      <c r="AR851" s="300"/>
      <c r="AS851" s="345"/>
      <c r="AT851" s="345"/>
      <c r="AU851" s="300"/>
      <c r="AV851" s="286" t="b">
        <v>0</v>
      </c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263"/>
      <c r="B852" s="194"/>
      <c r="C852" s="61"/>
      <c r="D852" s="61"/>
      <c r="E852" s="81"/>
      <c r="F852" s="81"/>
      <c r="G852" s="61"/>
      <c r="H852" s="269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 t="b">
        <v>0</v>
      </c>
      <c r="AO852" s="258"/>
      <c r="AP852" s="346"/>
      <c r="AQ852" s="300"/>
      <c r="AR852" s="300"/>
      <c r="AS852" s="345"/>
      <c r="AT852" s="345"/>
      <c r="AU852" s="300"/>
      <c r="AV852" s="286" t="b">
        <v>0</v>
      </c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263"/>
      <c r="B853" s="194"/>
      <c r="C853" s="61"/>
      <c r="D853" s="61"/>
      <c r="E853" s="81"/>
      <c r="F853" s="81"/>
      <c r="G853" s="61"/>
      <c r="H853" s="269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 t="b">
        <v>0</v>
      </c>
      <c r="AO853" s="258"/>
      <c r="AP853" s="346"/>
      <c r="AQ853" s="300"/>
      <c r="AR853" s="300"/>
      <c r="AS853" s="345"/>
      <c r="AT853" s="345"/>
      <c r="AU853" s="300"/>
      <c r="AV853" s="286" t="b">
        <v>0</v>
      </c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263"/>
      <c r="B854" s="194"/>
      <c r="C854" s="61"/>
      <c r="D854" s="61"/>
      <c r="E854" s="81"/>
      <c r="F854" s="81"/>
      <c r="G854" s="61"/>
      <c r="H854" s="269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 t="b">
        <v>0</v>
      </c>
      <c r="AO854" s="258"/>
      <c r="AP854" s="346"/>
      <c r="AQ854" s="300"/>
      <c r="AR854" s="300"/>
      <c r="AS854" s="345"/>
      <c r="AT854" s="345"/>
      <c r="AU854" s="300"/>
      <c r="AV854" s="286" t="b">
        <v>0</v>
      </c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263"/>
      <c r="B855" s="194"/>
      <c r="C855" s="61"/>
      <c r="D855" s="61"/>
      <c r="E855" s="81"/>
      <c r="F855" s="81"/>
      <c r="G855" s="61"/>
      <c r="H855" s="269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 t="b">
        <v>0</v>
      </c>
      <c r="AO855" s="258"/>
      <c r="AP855" s="346"/>
      <c r="AQ855" s="300"/>
      <c r="AR855" s="300"/>
      <c r="AS855" s="345"/>
      <c r="AT855" s="345"/>
      <c r="AU855" s="300"/>
      <c r="AV855" s="286" t="b">
        <v>0</v>
      </c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263"/>
      <c r="B856" s="194"/>
      <c r="C856" s="61"/>
      <c r="D856" s="61"/>
      <c r="E856" s="81"/>
      <c r="F856" s="81"/>
      <c r="G856" s="61"/>
      <c r="H856" s="269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 t="b">
        <v>0</v>
      </c>
      <c r="AO856" s="258"/>
      <c r="AP856" s="346"/>
      <c r="AQ856" s="300"/>
      <c r="AR856" s="300"/>
      <c r="AS856" s="345"/>
      <c r="AT856" s="345"/>
      <c r="AU856" s="300"/>
      <c r="AV856" s="286" t="b">
        <v>0</v>
      </c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263"/>
      <c r="B857" s="194"/>
      <c r="C857" s="61"/>
      <c r="D857" s="61"/>
      <c r="E857" s="81"/>
      <c r="F857" s="81"/>
      <c r="G857" s="61"/>
      <c r="H857" s="269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 t="b">
        <v>0</v>
      </c>
      <c r="AO857" s="258"/>
      <c r="AP857" s="346"/>
      <c r="AQ857" s="300"/>
      <c r="AR857" s="300"/>
      <c r="AS857" s="345"/>
      <c r="AT857" s="345"/>
      <c r="AU857" s="300"/>
      <c r="AV857" s="286" t="b">
        <v>0</v>
      </c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263"/>
      <c r="B858" s="194"/>
      <c r="C858" s="61"/>
      <c r="D858" s="61"/>
      <c r="E858" s="81"/>
      <c r="F858" s="81"/>
      <c r="G858" s="61"/>
      <c r="H858" s="269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 t="b">
        <v>0</v>
      </c>
      <c r="AO858" s="258"/>
      <c r="AP858" s="346"/>
      <c r="AQ858" s="300"/>
      <c r="AR858" s="300"/>
      <c r="AS858" s="345"/>
      <c r="AT858" s="345"/>
      <c r="AU858" s="300"/>
      <c r="AV858" s="286" t="b">
        <v>0</v>
      </c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263"/>
      <c r="B859" s="194"/>
      <c r="C859" s="61"/>
      <c r="D859" s="61"/>
      <c r="E859" s="81"/>
      <c r="F859" s="81"/>
      <c r="G859" s="61"/>
      <c r="H859" s="269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 t="b">
        <v>0</v>
      </c>
      <c r="AO859" s="258"/>
      <c r="AP859" s="346"/>
      <c r="AQ859" s="300"/>
      <c r="AR859" s="300"/>
      <c r="AS859" s="345"/>
      <c r="AT859" s="345"/>
      <c r="AU859" s="300"/>
      <c r="AV859" s="286" t="b">
        <v>0</v>
      </c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263"/>
      <c r="B860" s="194"/>
      <c r="C860" s="61"/>
      <c r="D860" s="61"/>
      <c r="E860" s="81"/>
      <c r="F860" s="81"/>
      <c r="G860" s="61"/>
      <c r="H860" s="269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 t="b">
        <v>0</v>
      </c>
      <c r="AO860" s="258"/>
      <c r="AP860" s="346"/>
      <c r="AQ860" s="300"/>
      <c r="AR860" s="300"/>
      <c r="AS860" s="345"/>
      <c r="AT860" s="345"/>
      <c r="AU860" s="300"/>
      <c r="AV860" s="286" t="b">
        <v>0</v>
      </c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263"/>
      <c r="B861" s="194"/>
      <c r="C861" s="61"/>
      <c r="D861" s="61"/>
      <c r="E861" s="81"/>
      <c r="F861" s="81"/>
      <c r="G861" s="61"/>
      <c r="H861" s="269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 t="b">
        <v>0</v>
      </c>
      <c r="AO861" s="258"/>
      <c r="AP861" s="346"/>
      <c r="AQ861" s="300"/>
      <c r="AR861" s="300"/>
      <c r="AS861" s="345"/>
      <c r="AT861" s="345"/>
      <c r="AU861" s="300"/>
      <c r="AV861" s="286" t="b">
        <v>0</v>
      </c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263"/>
      <c r="B862" s="194"/>
      <c r="C862" s="61"/>
      <c r="D862" s="61"/>
      <c r="E862" s="81"/>
      <c r="F862" s="81"/>
      <c r="G862" s="61"/>
      <c r="H862" s="269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 t="b">
        <v>0</v>
      </c>
      <c r="AO862" s="258"/>
      <c r="AP862" s="346"/>
      <c r="AQ862" s="300"/>
      <c r="AR862" s="300"/>
      <c r="AS862" s="345"/>
      <c r="AT862" s="345"/>
      <c r="AU862" s="300"/>
      <c r="AV862" s="286" t="b">
        <v>0</v>
      </c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263"/>
      <c r="B863" s="194"/>
      <c r="C863" s="61"/>
      <c r="D863" s="61"/>
      <c r="E863" s="81"/>
      <c r="F863" s="81"/>
      <c r="G863" s="61"/>
      <c r="H863" s="269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 t="b">
        <v>0</v>
      </c>
      <c r="AO863" s="258"/>
      <c r="AP863" s="346"/>
      <c r="AQ863" s="300"/>
      <c r="AR863" s="300"/>
      <c r="AS863" s="345"/>
      <c r="AT863" s="345"/>
      <c r="AU863" s="300"/>
      <c r="AV863" s="286" t="b">
        <v>0</v>
      </c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263"/>
      <c r="B864" s="194"/>
      <c r="C864" s="61"/>
      <c r="D864" s="61"/>
      <c r="E864" s="81"/>
      <c r="F864" s="81"/>
      <c r="G864" s="61"/>
      <c r="H864" s="269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 t="b">
        <v>0</v>
      </c>
      <c r="AO864" s="258"/>
      <c r="AP864" s="346"/>
      <c r="AQ864" s="300"/>
      <c r="AR864" s="300"/>
      <c r="AS864" s="345"/>
      <c r="AT864" s="345"/>
      <c r="AU864" s="300"/>
      <c r="AV864" s="286" t="b">
        <v>0</v>
      </c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263"/>
      <c r="B865" s="194"/>
      <c r="C865" s="61"/>
      <c r="D865" s="61"/>
      <c r="E865" s="81"/>
      <c r="F865" s="81"/>
      <c r="G865" s="61"/>
      <c r="H865" s="269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 t="b">
        <v>0</v>
      </c>
      <c r="AO865" s="258"/>
      <c r="AP865" s="346"/>
      <c r="AQ865" s="300"/>
      <c r="AR865" s="300"/>
      <c r="AS865" s="345"/>
      <c r="AT865" s="345"/>
      <c r="AU865" s="300"/>
      <c r="AV865" s="286" t="b">
        <v>0</v>
      </c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263"/>
      <c r="B866" s="194"/>
      <c r="C866" s="61"/>
      <c r="D866" s="61"/>
      <c r="E866" s="81"/>
      <c r="F866" s="81"/>
      <c r="G866" s="61"/>
      <c r="H866" s="269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 t="b">
        <v>0</v>
      </c>
      <c r="AO866" s="258"/>
      <c r="AP866" s="346"/>
      <c r="AQ866" s="300"/>
      <c r="AR866" s="300"/>
      <c r="AS866" s="345"/>
      <c r="AT866" s="345"/>
      <c r="AU866" s="300"/>
      <c r="AV866" s="286" t="b">
        <v>0</v>
      </c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263"/>
      <c r="B867" s="194"/>
      <c r="C867" s="61"/>
      <c r="D867" s="61"/>
      <c r="E867" s="81"/>
      <c r="F867" s="81"/>
      <c r="G867" s="61"/>
      <c r="H867" s="269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 t="b">
        <v>0</v>
      </c>
      <c r="AO867" s="258"/>
      <c r="AP867" s="346"/>
      <c r="AQ867" s="300"/>
      <c r="AR867" s="300"/>
      <c r="AS867" s="345"/>
      <c r="AT867" s="345"/>
      <c r="AU867" s="300"/>
      <c r="AV867" s="286" t="b">
        <v>0</v>
      </c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263"/>
      <c r="B868" s="194"/>
      <c r="C868" s="61"/>
      <c r="D868" s="61"/>
      <c r="E868" s="81"/>
      <c r="F868" s="81"/>
      <c r="G868" s="61"/>
      <c r="H868" s="269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 t="b">
        <v>0</v>
      </c>
      <c r="AO868" s="258"/>
      <c r="AP868" s="346"/>
      <c r="AQ868" s="300"/>
      <c r="AR868" s="300"/>
      <c r="AS868" s="345"/>
      <c r="AT868" s="345"/>
      <c r="AU868" s="300"/>
      <c r="AV868" s="286" t="b">
        <v>0</v>
      </c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263"/>
      <c r="B869" s="194"/>
      <c r="C869" s="61"/>
      <c r="D869" s="61"/>
      <c r="E869" s="81"/>
      <c r="F869" s="81"/>
      <c r="G869" s="61"/>
      <c r="H869" s="269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 t="b">
        <v>0</v>
      </c>
      <c r="AO869" s="258"/>
      <c r="AP869" s="346"/>
      <c r="AQ869" s="300"/>
      <c r="AR869" s="300"/>
      <c r="AS869" s="345"/>
      <c r="AT869" s="345"/>
      <c r="AU869" s="300"/>
      <c r="AV869" s="286" t="b">
        <v>0</v>
      </c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263"/>
      <c r="B870" s="194"/>
      <c r="C870" s="61"/>
      <c r="D870" s="61"/>
      <c r="E870" s="81"/>
      <c r="F870" s="81"/>
      <c r="G870" s="61"/>
      <c r="H870" s="269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 t="b">
        <v>0</v>
      </c>
      <c r="AO870" s="258"/>
      <c r="AP870" s="346"/>
      <c r="AQ870" s="300"/>
      <c r="AR870" s="300"/>
      <c r="AS870" s="345"/>
      <c r="AT870" s="345"/>
      <c r="AU870" s="300"/>
      <c r="AV870" s="286" t="b">
        <v>0</v>
      </c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263"/>
      <c r="B871" s="194"/>
      <c r="C871" s="61"/>
      <c r="D871" s="61"/>
      <c r="E871" s="81"/>
      <c r="F871" s="81"/>
      <c r="G871" s="61"/>
      <c r="H871" s="269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 t="b">
        <v>0</v>
      </c>
      <c r="AO871" s="258"/>
      <c r="AP871" s="346"/>
      <c r="AQ871" s="300"/>
      <c r="AR871" s="300"/>
      <c r="AS871" s="345"/>
      <c r="AT871" s="345"/>
      <c r="AU871" s="300"/>
      <c r="AV871" s="286" t="b">
        <v>0</v>
      </c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263"/>
      <c r="B872" s="194"/>
      <c r="C872" s="61"/>
      <c r="D872" s="61"/>
      <c r="E872" s="81"/>
      <c r="F872" s="81"/>
      <c r="G872" s="61"/>
      <c r="H872" s="269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 t="b">
        <v>0</v>
      </c>
      <c r="AO872" s="258"/>
      <c r="AP872" s="346"/>
      <c r="AQ872" s="300"/>
      <c r="AR872" s="300"/>
      <c r="AS872" s="345"/>
      <c r="AT872" s="345"/>
      <c r="AU872" s="300"/>
      <c r="AV872" s="286" t="b">
        <v>0</v>
      </c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263"/>
      <c r="B873" s="194"/>
      <c r="C873" s="61"/>
      <c r="D873" s="61"/>
      <c r="E873" s="81"/>
      <c r="F873" s="81"/>
      <c r="G873" s="61"/>
      <c r="H873" s="269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 t="b">
        <v>0</v>
      </c>
      <c r="AO873" s="258"/>
      <c r="AP873" s="346"/>
      <c r="AQ873" s="300"/>
      <c r="AR873" s="300"/>
      <c r="AS873" s="345"/>
      <c r="AT873" s="345"/>
      <c r="AU873" s="300"/>
      <c r="AV873" s="286" t="b">
        <v>0</v>
      </c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263"/>
      <c r="B874" s="194"/>
      <c r="C874" s="61"/>
      <c r="D874" s="61"/>
      <c r="E874" s="81"/>
      <c r="F874" s="81"/>
      <c r="G874" s="61"/>
      <c r="H874" s="269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 t="b">
        <v>0</v>
      </c>
      <c r="AO874" s="258"/>
      <c r="AP874" s="346"/>
      <c r="AQ874" s="300"/>
      <c r="AR874" s="300"/>
      <c r="AS874" s="345"/>
      <c r="AT874" s="345"/>
      <c r="AU874" s="300"/>
      <c r="AV874" s="286" t="b">
        <v>0</v>
      </c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263"/>
      <c r="B875" s="194"/>
      <c r="C875" s="61"/>
      <c r="D875" s="61"/>
      <c r="E875" s="81"/>
      <c r="F875" s="81"/>
      <c r="G875" s="61"/>
      <c r="H875" s="269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 t="b">
        <v>0</v>
      </c>
      <c r="AO875" s="258"/>
      <c r="AP875" s="346"/>
      <c r="AQ875" s="300"/>
      <c r="AR875" s="300"/>
      <c r="AS875" s="345"/>
      <c r="AT875" s="345"/>
      <c r="AU875" s="300"/>
      <c r="AV875" s="286" t="b">
        <v>0</v>
      </c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263"/>
      <c r="B876" s="194"/>
      <c r="C876" s="61"/>
      <c r="D876" s="61"/>
      <c r="E876" s="81"/>
      <c r="F876" s="81"/>
      <c r="G876" s="61"/>
      <c r="H876" s="269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 t="b">
        <v>0</v>
      </c>
      <c r="AO876" s="258"/>
      <c r="AP876" s="346"/>
      <c r="AQ876" s="300"/>
      <c r="AR876" s="300"/>
      <c r="AS876" s="345"/>
      <c r="AT876" s="345"/>
      <c r="AU876" s="300"/>
      <c r="AV876" s="286" t="b">
        <v>0</v>
      </c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263"/>
      <c r="B877" s="194"/>
      <c r="C877" s="61"/>
      <c r="D877" s="61"/>
      <c r="E877" s="81"/>
      <c r="F877" s="81"/>
      <c r="G877" s="61"/>
      <c r="H877" s="269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 t="b">
        <v>0</v>
      </c>
      <c r="AO877" s="258"/>
      <c r="AP877" s="346"/>
      <c r="AQ877" s="300"/>
      <c r="AR877" s="300"/>
      <c r="AS877" s="345"/>
      <c r="AT877" s="345"/>
      <c r="AU877" s="300"/>
      <c r="AV877" s="286" t="b">
        <v>0</v>
      </c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263"/>
      <c r="B878" s="194"/>
      <c r="C878" s="61"/>
      <c r="D878" s="61"/>
      <c r="E878" s="81"/>
      <c r="F878" s="81"/>
      <c r="G878" s="61"/>
      <c r="H878" s="269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 t="b">
        <v>0</v>
      </c>
      <c r="AO878" s="258"/>
      <c r="AP878" s="346"/>
      <c r="AQ878" s="300"/>
      <c r="AR878" s="300"/>
      <c r="AS878" s="345"/>
      <c r="AT878" s="345"/>
      <c r="AU878" s="300"/>
      <c r="AV878" s="286" t="b">
        <v>0</v>
      </c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263"/>
      <c r="B879" s="194"/>
      <c r="C879" s="61"/>
      <c r="D879" s="61"/>
      <c r="E879" s="81"/>
      <c r="F879" s="81"/>
      <c r="G879" s="61"/>
      <c r="H879" s="269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 t="b">
        <v>0</v>
      </c>
      <c r="AO879" s="258"/>
      <c r="AP879" s="346"/>
      <c r="AQ879" s="300"/>
      <c r="AR879" s="300"/>
      <c r="AS879" s="345"/>
      <c r="AT879" s="345"/>
      <c r="AU879" s="300"/>
      <c r="AV879" s="286" t="b">
        <v>0</v>
      </c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263"/>
      <c r="B880" s="194"/>
      <c r="C880" s="61"/>
      <c r="D880" s="61"/>
      <c r="E880" s="81"/>
      <c r="F880" s="81"/>
      <c r="G880" s="61"/>
      <c r="H880" s="269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 t="b">
        <v>0</v>
      </c>
      <c r="AO880" s="258"/>
      <c r="AP880" s="346"/>
      <c r="AQ880" s="300"/>
      <c r="AR880" s="300"/>
      <c r="AS880" s="345"/>
      <c r="AT880" s="345"/>
      <c r="AU880" s="300"/>
      <c r="AV880" s="286" t="b">
        <v>0</v>
      </c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263"/>
      <c r="B881" s="194"/>
      <c r="C881" s="61"/>
      <c r="D881" s="61"/>
      <c r="E881" s="81"/>
      <c r="F881" s="81"/>
      <c r="G881" s="61"/>
      <c r="H881" s="269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 t="b">
        <v>0</v>
      </c>
      <c r="AO881" s="258"/>
      <c r="AP881" s="346"/>
      <c r="AQ881" s="300"/>
      <c r="AR881" s="300"/>
      <c r="AS881" s="345"/>
      <c r="AT881" s="345"/>
      <c r="AU881" s="300"/>
      <c r="AV881" s="286" t="b">
        <v>0</v>
      </c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263"/>
      <c r="B882" s="194"/>
      <c r="C882" s="61"/>
      <c r="D882" s="61"/>
      <c r="E882" s="81"/>
      <c r="F882" s="81"/>
      <c r="G882" s="61"/>
      <c r="H882" s="269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 t="b">
        <v>0</v>
      </c>
      <c r="AO882" s="258"/>
      <c r="AP882" s="346"/>
      <c r="AQ882" s="300"/>
      <c r="AR882" s="300"/>
      <c r="AS882" s="345"/>
      <c r="AT882" s="345"/>
      <c r="AU882" s="300"/>
      <c r="AV882" s="286" t="b">
        <v>0</v>
      </c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263"/>
      <c r="B883" s="194"/>
      <c r="C883" s="61"/>
      <c r="D883" s="61"/>
      <c r="E883" s="81"/>
      <c r="F883" s="81"/>
      <c r="G883" s="61"/>
      <c r="H883" s="269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 t="b">
        <v>0</v>
      </c>
      <c r="AO883" s="258"/>
      <c r="AP883" s="346"/>
      <c r="AQ883" s="300"/>
      <c r="AR883" s="300"/>
      <c r="AS883" s="345"/>
      <c r="AT883" s="345"/>
      <c r="AU883" s="300"/>
      <c r="AV883" s="286" t="b">
        <v>0</v>
      </c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263"/>
      <c r="B884" s="194"/>
      <c r="C884" s="61"/>
      <c r="D884" s="61"/>
      <c r="E884" s="81"/>
      <c r="F884" s="81"/>
      <c r="G884" s="61"/>
      <c r="H884" s="269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 t="b">
        <v>0</v>
      </c>
      <c r="AO884" s="258"/>
      <c r="AP884" s="346"/>
      <c r="AQ884" s="300"/>
      <c r="AR884" s="300"/>
      <c r="AS884" s="345"/>
      <c r="AT884" s="345"/>
      <c r="AU884" s="300"/>
      <c r="AV884" s="286" t="b">
        <v>0</v>
      </c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263"/>
      <c r="B885" s="194"/>
      <c r="C885" s="61"/>
      <c r="D885" s="61"/>
      <c r="E885" s="81"/>
      <c r="F885" s="81"/>
      <c r="G885" s="61"/>
      <c r="H885" s="269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 t="b">
        <v>0</v>
      </c>
      <c r="AO885" s="258"/>
      <c r="AP885" s="346"/>
      <c r="AQ885" s="300"/>
      <c r="AR885" s="300"/>
      <c r="AS885" s="345"/>
      <c r="AT885" s="345"/>
      <c r="AU885" s="300"/>
      <c r="AV885" s="286" t="b">
        <v>0</v>
      </c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263"/>
      <c r="B886" s="194"/>
      <c r="C886" s="61"/>
      <c r="D886" s="61"/>
      <c r="E886" s="81"/>
      <c r="F886" s="81"/>
      <c r="G886" s="61"/>
      <c r="H886" s="269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 t="b">
        <v>0</v>
      </c>
      <c r="AO886" s="258"/>
      <c r="AP886" s="346"/>
      <c r="AQ886" s="300"/>
      <c r="AR886" s="300"/>
      <c r="AS886" s="345"/>
      <c r="AT886" s="345"/>
      <c r="AU886" s="300"/>
      <c r="AV886" s="286" t="b">
        <v>0</v>
      </c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263"/>
      <c r="B887" s="194"/>
      <c r="C887" s="61"/>
      <c r="D887" s="61"/>
      <c r="E887" s="81"/>
      <c r="F887" s="81"/>
      <c r="G887" s="61"/>
      <c r="H887" s="269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 t="b">
        <v>0</v>
      </c>
      <c r="AO887" s="258"/>
      <c r="AP887" s="346"/>
      <c r="AQ887" s="300"/>
      <c r="AR887" s="300"/>
      <c r="AS887" s="345"/>
      <c r="AT887" s="345"/>
      <c r="AU887" s="300"/>
      <c r="AV887" s="286" t="b">
        <v>0</v>
      </c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263"/>
      <c r="B888" s="194"/>
      <c r="C888" s="61"/>
      <c r="D888" s="61"/>
      <c r="E888" s="81"/>
      <c r="F888" s="81"/>
      <c r="G888" s="61"/>
      <c r="H888" s="269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 t="b">
        <v>0</v>
      </c>
      <c r="AO888" s="258"/>
      <c r="AP888" s="346"/>
      <c r="AQ888" s="300"/>
      <c r="AR888" s="300"/>
      <c r="AS888" s="345"/>
      <c r="AT888" s="345"/>
      <c r="AU888" s="300"/>
      <c r="AV888" s="286" t="b">
        <v>0</v>
      </c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263"/>
      <c r="B889" s="194"/>
      <c r="C889" s="61"/>
      <c r="D889" s="61"/>
      <c r="E889" s="81"/>
      <c r="F889" s="81"/>
      <c r="G889" s="61"/>
      <c r="H889" s="269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 t="b">
        <v>0</v>
      </c>
      <c r="AO889" s="258"/>
      <c r="AP889" s="346"/>
      <c r="AQ889" s="300"/>
      <c r="AR889" s="300"/>
      <c r="AS889" s="345"/>
      <c r="AT889" s="345"/>
      <c r="AU889" s="300"/>
      <c r="AV889" s="286" t="b">
        <v>0</v>
      </c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263"/>
      <c r="B890" s="194"/>
      <c r="C890" s="61"/>
      <c r="D890" s="61"/>
      <c r="E890" s="81"/>
      <c r="F890" s="81"/>
      <c r="G890" s="61"/>
      <c r="H890" s="269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 t="b">
        <v>0</v>
      </c>
      <c r="AO890" s="258"/>
      <c r="AP890" s="346"/>
      <c r="AQ890" s="300"/>
      <c r="AR890" s="300"/>
      <c r="AS890" s="345"/>
      <c r="AT890" s="345"/>
      <c r="AU890" s="300"/>
      <c r="AV890" s="286" t="b">
        <v>0</v>
      </c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263"/>
      <c r="B891" s="194"/>
      <c r="C891" s="61"/>
      <c r="D891" s="61"/>
      <c r="E891" s="81"/>
      <c r="F891" s="81"/>
      <c r="G891" s="61"/>
      <c r="H891" s="269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 t="b">
        <v>0</v>
      </c>
      <c r="AO891" s="258"/>
      <c r="AP891" s="346"/>
      <c r="AQ891" s="300"/>
      <c r="AR891" s="300"/>
      <c r="AS891" s="345"/>
      <c r="AT891" s="345"/>
      <c r="AU891" s="300"/>
      <c r="AV891" s="286" t="b">
        <v>0</v>
      </c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263"/>
      <c r="B892" s="194"/>
      <c r="C892" s="61"/>
      <c r="D892" s="61"/>
      <c r="E892" s="81"/>
      <c r="F892" s="81"/>
      <c r="G892" s="61"/>
      <c r="H892" s="269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 t="b">
        <v>0</v>
      </c>
      <c r="AO892" s="258"/>
      <c r="AP892" s="346"/>
      <c r="AQ892" s="300"/>
      <c r="AR892" s="300"/>
      <c r="AS892" s="345"/>
      <c r="AT892" s="345"/>
      <c r="AU892" s="300"/>
      <c r="AV892" s="286" t="b">
        <v>0</v>
      </c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263"/>
      <c r="B893" s="194"/>
      <c r="C893" s="61"/>
      <c r="D893" s="61"/>
      <c r="E893" s="81"/>
      <c r="F893" s="81"/>
      <c r="G893" s="61"/>
      <c r="H893" s="269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 t="b">
        <v>0</v>
      </c>
      <c r="AO893" s="258"/>
      <c r="AP893" s="346"/>
      <c r="AQ893" s="300"/>
      <c r="AR893" s="300"/>
      <c r="AS893" s="345"/>
      <c r="AT893" s="345"/>
      <c r="AU893" s="300"/>
      <c r="AV893" s="286" t="b">
        <v>0</v>
      </c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263"/>
      <c r="B894" s="194"/>
      <c r="C894" s="61"/>
      <c r="D894" s="61"/>
      <c r="E894" s="81"/>
      <c r="F894" s="81"/>
      <c r="G894" s="61"/>
      <c r="H894" s="269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 t="b">
        <v>0</v>
      </c>
      <c r="AO894" s="258"/>
      <c r="AP894" s="346"/>
      <c r="AQ894" s="300"/>
      <c r="AR894" s="300"/>
      <c r="AS894" s="345"/>
      <c r="AT894" s="345"/>
      <c r="AU894" s="300"/>
      <c r="AV894" s="286" t="b">
        <v>0</v>
      </c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263"/>
      <c r="B895" s="194"/>
      <c r="C895" s="61"/>
      <c r="D895" s="61"/>
      <c r="E895" s="81"/>
      <c r="F895" s="81"/>
      <c r="G895" s="61"/>
      <c r="H895" s="269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 t="b">
        <v>0</v>
      </c>
      <c r="AO895" s="258"/>
      <c r="AP895" s="346"/>
      <c r="AQ895" s="300"/>
      <c r="AR895" s="300"/>
      <c r="AS895" s="345"/>
      <c r="AT895" s="345"/>
      <c r="AU895" s="300"/>
      <c r="AV895" s="286" t="b">
        <v>0</v>
      </c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263"/>
      <c r="B896" s="194"/>
      <c r="C896" s="61"/>
      <c r="D896" s="61"/>
      <c r="E896" s="81"/>
      <c r="F896" s="81"/>
      <c r="G896" s="61"/>
      <c r="H896" s="269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 t="b">
        <v>0</v>
      </c>
      <c r="AO896" s="258"/>
      <c r="AP896" s="346"/>
      <c r="AQ896" s="300"/>
      <c r="AR896" s="300"/>
      <c r="AS896" s="345"/>
      <c r="AT896" s="345"/>
      <c r="AU896" s="300"/>
      <c r="AV896" s="286" t="b">
        <v>0</v>
      </c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263"/>
      <c r="B897" s="194"/>
      <c r="C897" s="61"/>
      <c r="D897" s="61"/>
      <c r="E897" s="81"/>
      <c r="F897" s="81"/>
      <c r="G897" s="61"/>
      <c r="H897" s="269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 t="b">
        <v>0</v>
      </c>
      <c r="AO897" s="258"/>
      <c r="AP897" s="346"/>
      <c r="AQ897" s="300"/>
      <c r="AR897" s="300"/>
      <c r="AS897" s="345"/>
      <c r="AT897" s="345"/>
      <c r="AU897" s="300"/>
      <c r="AV897" s="286" t="b">
        <v>0</v>
      </c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263"/>
      <c r="B898" s="194"/>
      <c r="C898" s="61"/>
      <c r="D898" s="61"/>
      <c r="E898" s="81"/>
      <c r="F898" s="81"/>
      <c r="G898" s="61"/>
      <c r="H898" s="269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 t="b">
        <v>0</v>
      </c>
      <c r="AO898" s="258"/>
      <c r="AP898" s="346"/>
      <c r="AQ898" s="300"/>
      <c r="AR898" s="300"/>
      <c r="AS898" s="345"/>
      <c r="AT898" s="345"/>
      <c r="AU898" s="300"/>
      <c r="AV898" s="286" t="b">
        <v>0</v>
      </c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263"/>
      <c r="B899" s="194"/>
      <c r="C899" s="61"/>
      <c r="D899" s="61"/>
      <c r="E899" s="81"/>
      <c r="F899" s="81"/>
      <c r="G899" s="61"/>
      <c r="H899" s="269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 t="b">
        <v>0</v>
      </c>
      <c r="AO899" s="258"/>
      <c r="AP899" s="346"/>
      <c r="AQ899" s="300"/>
      <c r="AR899" s="300"/>
      <c r="AS899" s="345"/>
      <c r="AT899" s="345"/>
      <c r="AU899" s="300"/>
      <c r="AV899" s="286" t="b">
        <v>0</v>
      </c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263"/>
      <c r="B900" s="194"/>
      <c r="C900" s="61"/>
      <c r="D900" s="61"/>
      <c r="E900" s="81"/>
      <c r="F900" s="81"/>
      <c r="G900" s="61"/>
      <c r="H900" s="269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 t="b">
        <v>0</v>
      </c>
      <c r="AO900" s="258"/>
      <c r="AP900" s="346"/>
      <c r="AQ900" s="300"/>
      <c r="AR900" s="300"/>
      <c r="AS900" s="345"/>
      <c r="AT900" s="345"/>
      <c r="AU900" s="300"/>
      <c r="AV900" s="286" t="b">
        <v>0</v>
      </c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263"/>
      <c r="B901" s="194"/>
      <c r="C901" s="61"/>
      <c r="D901" s="61"/>
      <c r="E901" s="81"/>
      <c r="F901" s="81"/>
      <c r="G901" s="61"/>
      <c r="H901" s="269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 t="b">
        <v>0</v>
      </c>
      <c r="AO901" s="258"/>
      <c r="AP901" s="346"/>
      <c r="AQ901" s="300"/>
      <c r="AR901" s="300"/>
      <c r="AS901" s="345"/>
      <c r="AT901" s="345"/>
      <c r="AU901" s="300"/>
      <c r="AV901" s="286" t="b">
        <v>0</v>
      </c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263"/>
      <c r="B902" s="194"/>
      <c r="C902" s="61"/>
      <c r="D902" s="61"/>
      <c r="E902" s="81"/>
      <c r="F902" s="81"/>
      <c r="G902" s="61"/>
      <c r="H902" s="269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 t="b">
        <v>0</v>
      </c>
      <c r="AO902" s="258"/>
      <c r="AP902" s="346"/>
      <c r="AQ902" s="300"/>
      <c r="AR902" s="300"/>
      <c r="AS902" s="345"/>
      <c r="AT902" s="345"/>
      <c r="AU902" s="300"/>
      <c r="AV902" s="286" t="b">
        <v>0</v>
      </c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263"/>
      <c r="B903" s="194"/>
      <c r="C903" s="61"/>
      <c r="D903" s="61"/>
      <c r="E903" s="81"/>
      <c r="F903" s="81"/>
      <c r="G903" s="61"/>
      <c r="H903" s="269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 t="b">
        <v>0</v>
      </c>
      <c r="AO903" s="258"/>
      <c r="AP903" s="346"/>
      <c r="AQ903" s="300"/>
      <c r="AR903" s="300"/>
      <c r="AS903" s="345"/>
      <c r="AT903" s="345"/>
      <c r="AU903" s="300"/>
      <c r="AV903" s="286" t="b">
        <v>0</v>
      </c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263"/>
      <c r="B904" s="194"/>
      <c r="C904" s="61"/>
      <c r="D904" s="61"/>
      <c r="E904" s="81"/>
      <c r="F904" s="81"/>
      <c r="G904" s="61"/>
      <c r="H904" s="269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 t="b">
        <v>0</v>
      </c>
      <c r="AO904" s="258"/>
      <c r="AP904" s="346"/>
      <c r="AQ904" s="300"/>
      <c r="AR904" s="300"/>
      <c r="AS904" s="345"/>
      <c r="AT904" s="345"/>
      <c r="AU904" s="300"/>
      <c r="AV904" s="286" t="b">
        <v>0</v>
      </c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263"/>
      <c r="B905" s="194"/>
      <c r="C905" s="61"/>
      <c r="D905" s="61"/>
      <c r="E905" s="81"/>
      <c r="F905" s="81"/>
      <c r="G905" s="61"/>
      <c r="H905" s="269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 t="b">
        <v>0</v>
      </c>
      <c r="AO905" s="258"/>
      <c r="AP905" s="346"/>
      <c r="AQ905" s="300"/>
      <c r="AR905" s="300"/>
      <c r="AS905" s="345"/>
      <c r="AT905" s="345"/>
      <c r="AU905" s="300"/>
      <c r="AV905" s="286" t="b">
        <v>0</v>
      </c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263"/>
      <c r="B906" s="194"/>
      <c r="C906" s="61"/>
      <c r="D906" s="61"/>
      <c r="E906" s="81"/>
      <c r="F906" s="81"/>
      <c r="G906" s="61"/>
      <c r="H906" s="269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 t="b">
        <v>0</v>
      </c>
      <c r="AO906" s="258"/>
      <c r="AP906" s="346"/>
      <c r="AQ906" s="300"/>
      <c r="AR906" s="300"/>
      <c r="AS906" s="345"/>
      <c r="AT906" s="345"/>
      <c r="AU906" s="300"/>
      <c r="AV906" s="286" t="b">
        <v>0</v>
      </c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263"/>
      <c r="B907" s="194"/>
      <c r="C907" s="61"/>
      <c r="D907" s="61"/>
      <c r="E907" s="81"/>
      <c r="F907" s="81"/>
      <c r="G907" s="61"/>
      <c r="H907" s="269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 t="b">
        <v>0</v>
      </c>
      <c r="AO907" s="258"/>
      <c r="AP907" s="346"/>
      <c r="AQ907" s="300"/>
      <c r="AR907" s="300"/>
      <c r="AS907" s="345"/>
      <c r="AT907" s="345"/>
      <c r="AU907" s="300"/>
      <c r="AV907" s="286" t="b">
        <v>0</v>
      </c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263"/>
      <c r="B908" s="194"/>
      <c r="C908" s="61"/>
      <c r="D908" s="61"/>
      <c r="E908" s="81"/>
      <c r="F908" s="81"/>
      <c r="G908" s="61"/>
      <c r="H908" s="269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 t="b">
        <v>0</v>
      </c>
      <c r="AO908" s="258"/>
      <c r="AP908" s="346"/>
      <c r="AQ908" s="300"/>
      <c r="AR908" s="300"/>
      <c r="AS908" s="345"/>
      <c r="AT908" s="345"/>
      <c r="AU908" s="300"/>
      <c r="AV908" s="286" t="b">
        <v>0</v>
      </c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263"/>
      <c r="B909" s="194"/>
      <c r="C909" s="61"/>
      <c r="D909" s="61"/>
      <c r="E909" s="81"/>
      <c r="F909" s="81"/>
      <c r="G909" s="61"/>
      <c r="H909" s="269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 t="b">
        <v>0</v>
      </c>
      <c r="AO909" s="258"/>
      <c r="AP909" s="346"/>
      <c r="AQ909" s="300"/>
      <c r="AR909" s="300"/>
      <c r="AS909" s="345"/>
      <c r="AT909" s="345"/>
      <c r="AU909" s="300"/>
      <c r="AV909" s="286" t="b">
        <v>0</v>
      </c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263"/>
      <c r="B910" s="194"/>
      <c r="C910" s="61"/>
      <c r="D910" s="61"/>
      <c r="E910" s="81"/>
      <c r="F910" s="81"/>
      <c r="G910" s="61"/>
      <c r="H910" s="269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 t="b">
        <v>0</v>
      </c>
      <c r="AO910" s="258"/>
      <c r="AP910" s="346"/>
      <c r="AQ910" s="300"/>
      <c r="AR910" s="300"/>
      <c r="AS910" s="345"/>
      <c r="AT910" s="345"/>
      <c r="AU910" s="300"/>
      <c r="AV910" s="286" t="b">
        <v>0</v>
      </c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263"/>
      <c r="B911" s="194"/>
      <c r="C911" s="61"/>
      <c r="D911" s="61"/>
      <c r="E911" s="81"/>
      <c r="F911" s="81"/>
      <c r="G911" s="61"/>
      <c r="H911" s="269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 t="b">
        <v>0</v>
      </c>
      <c r="AO911" s="258"/>
      <c r="AP911" s="346"/>
      <c r="AQ911" s="300"/>
      <c r="AR911" s="300"/>
      <c r="AS911" s="345"/>
      <c r="AT911" s="345"/>
      <c r="AU911" s="300"/>
      <c r="AV911" s="286" t="b">
        <v>0</v>
      </c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263"/>
      <c r="B912" s="194"/>
      <c r="C912" s="61"/>
      <c r="D912" s="61"/>
      <c r="E912" s="81"/>
      <c r="F912" s="81"/>
      <c r="G912" s="61"/>
      <c r="H912" s="269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 t="b">
        <v>0</v>
      </c>
      <c r="AO912" s="258"/>
      <c r="AP912" s="346"/>
      <c r="AQ912" s="300"/>
      <c r="AR912" s="300"/>
      <c r="AS912" s="345"/>
      <c r="AT912" s="345"/>
      <c r="AU912" s="300"/>
      <c r="AV912" s="286" t="b">
        <v>0</v>
      </c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263"/>
      <c r="B913" s="194"/>
      <c r="C913" s="61"/>
      <c r="D913" s="61"/>
      <c r="E913" s="81"/>
      <c r="F913" s="81"/>
      <c r="G913" s="61"/>
      <c r="H913" s="269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 t="b">
        <v>0</v>
      </c>
      <c r="AO913" s="258"/>
      <c r="AP913" s="346"/>
      <c r="AQ913" s="300"/>
      <c r="AR913" s="300"/>
      <c r="AS913" s="345"/>
      <c r="AT913" s="345"/>
      <c r="AU913" s="300"/>
      <c r="AV913" s="286" t="b">
        <v>0</v>
      </c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263"/>
      <c r="B914" s="194"/>
      <c r="C914" s="61"/>
      <c r="D914" s="61"/>
      <c r="E914" s="81"/>
      <c r="F914" s="81"/>
      <c r="G914" s="61"/>
      <c r="H914" s="269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 t="b">
        <v>0</v>
      </c>
      <c r="AO914" s="258"/>
      <c r="AP914" s="346"/>
      <c r="AQ914" s="300"/>
      <c r="AR914" s="300"/>
      <c r="AS914" s="345"/>
      <c r="AT914" s="345"/>
      <c r="AU914" s="300"/>
      <c r="AV914" s="286" t="b">
        <v>0</v>
      </c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263"/>
      <c r="B915" s="194"/>
      <c r="C915" s="61"/>
      <c r="D915" s="61"/>
      <c r="E915" s="81"/>
      <c r="F915" s="81"/>
      <c r="G915" s="61"/>
      <c r="H915" s="269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 t="b">
        <v>0</v>
      </c>
      <c r="AO915" s="258"/>
      <c r="AP915" s="346"/>
      <c r="AQ915" s="300"/>
      <c r="AR915" s="300"/>
      <c r="AS915" s="345"/>
      <c r="AT915" s="345"/>
      <c r="AU915" s="300"/>
      <c r="AV915" s="286" t="b">
        <v>0</v>
      </c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263"/>
      <c r="B916" s="194"/>
      <c r="C916" s="61"/>
      <c r="D916" s="61"/>
      <c r="E916" s="81"/>
      <c r="F916" s="81"/>
      <c r="G916" s="61"/>
      <c r="H916" s="269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 t="b">
        <v>0</v>
      </c>
      <c r="AO916" s="258"/>
      <c r="AP916" s="346"/>
      <c r="AQ916" s="300"/>
      <c r="AR916" s="300"/>
      <c r="AS916" s="345"/>
      <c r="AT916" s="345"/>
      <c r="AU916" s="300"/>
      <c r="AV916" s="286" t="b">
        <v>0</v>
      </c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263"/>
      <c r="B917" s="194"/>
      <c r="C917" s="61"/>
      <c r="D917" s="61"/>
      <c r="E917" s="81"/>
      <c r="F917" s="81"/>
      <c r="G917" s="61"/>
      <c r="H917" s="269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 t="b">
        <v>0</v>
      </c>
      <c r="AO917" s="258"/>
      <c r="AP917" s="346"/>
      <c r="AQ917" s="300"/>
      <c r="AR917" s="300"/>
      <c r="AS917" s="345"/>
      <c r="AT917" s="345"/>
      <c r="AU917" s="300"/>
      <c r="AV917" s="286" t="b">
        <v>0</v>
      </c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263"/>
      <c r="B918" s="194"/>
      <c r="C918" s="61"/>
      <c r="D918" s="61"/>
      <c r="E918" s="81"/>
      <c r="F918" s="81"/>
      <c r="G918" s="61"/>
      <c r="H918" s="269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 t="b">
        <v>0</v>
      </c>
      <c r="AO918" s="258"/>
      <c r="AP918" s="346"/>
      <c r="AQ918" s="300"/>
      <c r="AR918" s="300"/>
      <c r="AS918" s="345"/>
      <c r="AT918" s="345"/>
      <c r="AU918" s="300"/>
      <c r="AV918" s="286" t="b">
        <v>0</v>
      </c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263"/>
      <c r="B919" s="194"/>
      <c r="C919" s="61"/>
      <c r="D919" s="61"/>
      <c r="E919" s="81"/>
      <c r="F919" s="81"/>
      <c r="G919" s="61"/>
      <c r="H919" s="269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 t="b">
        <v>0</v>
      </c>
      <c r="AO919" s="258"/>
      <c r="AP919" s="346"/>
      <c r="AQ919" s="300"/>
      <c r="AR919" s="300"/>
      <c r="AS919" s="345"/>
      <c r="AT919" s="345"/>
      <c r="AU919" s="300"/>
      <c r="AV919" s="286" t="b">
        <v>0</v>
      </c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263"/>
      <c r="B920" s="194"/>
      <c r="C920" s="61"/>
      <c r="D920" s="61"/>
      <c r="E920" s="81"/>
      <c r="F920" s="81"/>
      <c r="G920" s="61"/>
      <c r="H920" s="269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 t="b">
        <v>0</v>
      </c>
      <c r="AO920" s="258"/>
      <c r="AP920" s="346"/>
      <c r="AQ920" s="300"/>
      <c r="AR920" s="300"/>
      <c r="AS920" s="345"/>
      <c r="AT920" s="345"/>
      <c r="AU920" s="300"/>
      <c r="AV920" s="286" t="b">
        <v>0</v>
      </c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263"/>
      <c r="B921" s="194"/>
      <c r="C921" s="61"/>
      <c r="D921" s="61"/>
      <c r="E921" s="81"/>
      <c r="F921" s="81"/>
      <c r="G921" s="61"/>
      <c r="H921" s="269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 t="b">
        <v>0</v>
      </c>
      <c r="AO921" s="258"/>
      <c r="AP921" s="346"/>
      <c r="AQ921" s="300"/>
      <c r="AR921" s="300"/>
      <c r="AS921" s="345"/>
      <c r="AT921" s="345"/>
      <c r="AU921" s="300"/>
      <c r="AV921" s="286" t="b">
        <v>0</v>
      </c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263"/>
      <c r="B922" s="194"/>
      <c r="C922" s="61"/>
      <c r="D922" s="61"/>
      <c r="E922" s="81"/>
      <c r="F922" s="81"/>
      <c r="G922" s="61"/>
      <c r="H922" s="269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 t="b">
        <v>0</v>
      </c>
      <c r="AO922" s="258"/>
      <c r="AP922" s="346"/>
      <c r="AQ922" s="300"/>
      <c r="AR922" s="300"/>
      <c r="AS922" s="345"/>
      <c r="AT922" s="345"/>
      <c r="AU922" s="300"/>
      <c r="AV922" s="286" t="b">
        <v>0</v>
      </c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263"/>
      <c r="B923" s="194"/>
      <c r="C923" s="61"/>
      <c r="D923" s="61"/>
      <c r="E923" s="81"/>
      <c r="F923" s="81"/>
      <c r="G923" s="61"/>
      <c r="H923" s="269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 t="b">
        <v>0</v>
      </c>
      <c r="AO923" s="258"/>
      <c r="AP923" s="346"/>
      <c r="AQ923" s="300"/>
      <c r="AR923" s="300"/>
      <c r="AS923" s="345"/>
      <c r="AT923" s="345"/>
      <c r="AU923" s="300"/>
      <c r="AV923" s="286" t="b">
        <v>0</v>
      </c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263"/>
      <c r="B924" s="194"/>
      <c r="C924" s="61"/>
      <c r="D924" s="61"/>
      <c r="E924" s="81"/>
      <c r="F924" s="81"/>
      <c r="G924" s="61"/>
      <c r="H924" s="269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 t="b">
        <v>0</v>
      </c>
      <c r="AO924" s="258"/>
      <c r="AP924" s="346"/>
      <c r="AQ924" s="300"/>
      <c r="AR924" s="300"/>
      <c r="AS924" s="345"/>
      <c r="AT924" s="345"/>
      <c r="AU924" s="300"/>
      <c r="AV924" s="286" t="b">
        <v>0</v>
      </c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263"/>
      <c r="B925" s="194"/>
      <c r="C925" s="61"/>
      <c r="D925" s="61"/>
      <c r="E925" s="81"/>
      <c r="F925" s="81"/>
      <c r="G925" s="61"/>
      <c r="H925" s="269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 t="b">
        <v>0</v>
      </c>
      <c r="AO925" s="258"/>
      <c r="AP925" s="346"/>
      <c r="AQ925" s="300"/>
      <c r="AR925" s="300"/>
      <c r="AS925" s="345"/>
      <c r="AT925" s="345"/>
      <c r="AU925" s="300"/>
      <c r="AV925" s="286" t="b">
        <v>0</v>
      </c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263"/>
      <c r="B926" s="194"/>
      <c r="C926" s="61"/>
      <c r="D926" s="61"/>
      <c r="E926" s="81"/>
      <c r="F926" s="81"/>
      <c r="G926" s="61"/>
      <c r="H926" s="269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 t="b">
        <v>0</v>
      </c>
      <c r="AO926" s="258"/>
      <c r="AP926" s="346"/>
      <c r="AQ926" s="300"/>
      <c r="AR926" s="300"/>
      <c r="AS926" s="345"/>
      <c r="AT926" s="345"/>
      <c r="AU926" s="300"/>
      <c r="AV926" s="286" t="b">
        <v>0</v>
      </c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263"/>
      <c r="B927" s="194"/>
      <c r="C927" s="61"/>
      <c r="D927" s="61"/>
      <c r="E927" s="81"/>
      <c r="F927" s="81"/>
      <c r="G927" s="61"/>
      <c r="H927" s="269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 t="b">
        <v>0</v>
      </c>
      <c r="AO927" s="258"/>
      <c r="AP927" s="346"/>
      <c r="AQ927" s="300"/>
      <c r="AR927" s="300"/>
      <c r="AS927" s="345"/>
      <c r="AT927" s="345"/>
      <c r="AU927" s="300"/>
      <c r="AV927" s="286" t="b">
        <v>0</v>
      </c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263"/>
      <c r="B928" s="194"/>
      <c r="C928" s="61"/>
      <c r="D928" s="61"/>
      <c r="E928" s="81"/>
      <c r="F928" s="81"/>
      <c r="G928" s="61"/>
      <c r="H928" s="269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 t="b">
        <v>0</v>
      </c>
      <c r="AO928" s="258"/>
      <c r="AP928" s="346"/>
      <c r="AQ928" s="300"/>
      <c r="AR928" s="300"/>
      <c r="AS928" s="345"/>
      <c r="AT928" s="345"/>
      <c r="AU928" s="300"/>
      <c r="AV928" s="286" t="b">
        <v>0</v>
      </c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263"/>
      <c r="B929" s="194"/>
      <c r="C929" s="61"/>
      <c r="D929" s="61"/>
      <c r="E929" s="81"/>
      <c r="F929" s="81"/>
      <c r="G929" s="61"/>
      <c r="H929" s="269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 t="b">
        <v>0</v>
      </c>
      <c r="AO929" s="258"/>
      <c r="AP929" s="346"/>
      <c r="AQ929" s="300"/>
      <c r="AR929" s="300"/>
      <c r="AS929" s="345"/>
      <c r="AT929" s="345"/>
      <c r="AU929" s="300"/>
      <c r="AV929" s="286" t="b">
        <v>0</v>
      </c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263"/>
      <c r="B930" s="194"/>
      <c r="C930" s="61"/>
      <c r="D930" s="61"/>
      <c r="E930" s="81"/>
      <c r="F930" s="81"/>
      <c r="G930" s="61"/>
      <c r="H930" s="269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 t="b">
        <v>0</v>
      </c>
      <c r="AO930" s="258"/>
      <c r="AP930" s="346"/>
      <c r="AQ930" s="300"/>
      <c r="AR930" s="300"/>
      <c r="AS930" s="345"/>
      <c r="AT930" s="345"/>
      <c r="AU930" s="300"/>
      <c r="AV930" s="286" t="b">
        <v>0</v>
      </c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263"/>
      <c r="B931" s="194"/>
      <c r="C931" s="61"/>
      <c r="D931" s="61"/>
      <c r="E931" s="81"/>
      <c r="F931" s="81"/>
      <c r="G931" s="61"/>
      <c r="H931" s="269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 t="b">
        <v>0</v>
      </c>
      <c r="AO931" s="258"/>
      <c r="AP931" s="346"/>
      <c r="AQ931" s="300"/>
      <c r="AR931" s="300"/>
      <c r="AS931" s="345"/>
      <c r="AT931" s="345"/>
      <c r="AU931" s="300"/>
      <c r="AV931" s="286" t="b">
        <v>0</v>
      </c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263"/>
      <c r="B932" s="194"/>
      <c r="C932" s="61"/>
      <c r="D932" s="61"/>
      <c r="E932" s="81"/>
      <c r="F932" s="81"/>
      <c r="G932" s="61"/>
      <c r="H932" s="269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 t="b">
        <v>0</v>
      </c>
      <c r="AO932" s="258"/>
      <c r="AP932" s="346"/>
      <c r="AQ932" s="300"/>
      <c r="AR932" s="300"/>
      <c r="AS932" s="345"/>
      <c r="AT932" s="345"/>
      <c r="AU932" s="300"/>
      <c r="AV932" s="286" t="b">
        <v>0</v>
      </c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263"/>
      <c r="B933" s="194"/>
      <c r="C933" s="61"/>
      <c r="D933" s="61"/>
      <c r="E933" s="81"/>
      <c r="F933" s="81"/>
      <c r="G933" s="61"/>
      <c r="H933" s="269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 t="b">
        <v>0</v>
      </c>
      <c r="AO933" s="258"/>
      <c r="AP933" s="346"/>
      <c r="AQ933" s="300"/>
      <c r="AR933" s="300"/>
      <c r="AS933" s="345"/>
      <c r="AT933" s="345"/>
      <c r="AU933" s="300"/>
      <c r="AV933" s="286" t="b">
        <v>0</v>
      </c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263"/>
      <c r="B934" s="194"/>
      <c r="C934" s="61"/>
      <c r="D934" s="61"/>
      <c r="E934" s="81"/>
      <c r="F934" s="81"/>
      <c r="G934" s="61"/>
      <c r="H934" s="269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 t="b">
        <v>0</v>
      </c>
      <c r="AO934" s="258"/>
      <c r="AP934" s="346"/>
      <c r="AQ934" s="300"/>
      <c r="AR934" s="300"/>
      <c r="AS934" s="345"/>
      <c r="AT934" s="345"/>
      <c r="AU934" s="300"/>
      <c r="AV934" s="286" t="b">
        <v>0</v>
      </c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263"/>
      <c r="B935" s="194"/>
      <c r="C935" s="61"/>
      <c r="D935" s="61"/>
      <c r="E935" s="81"/>
      <c r="F935" s="81"/>
      <c r="G935" s="61"/>
      <c r="H935" s="269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 t="b">
        <v>0</v>
      </c>
      <c r="AO935" s="258"/>
      <c r="AP935" s="346"/>
      <c r="AQ935" s="300"/>
      <c r="AR935" s="300"/>
      <c r="AS935" s="345"/>
      <c r="AT935" s="345"/>
      <c r="AU935" s="300"/>
      <c r="AV935" s="286" t="b">
        <v>0</v>
      </c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263"/>
      <c r="B936" s="194"/>
      <c r="C936" s="61"/>
      <c r="D936" s="61"/>
      <c r="E936" s="81"/>
      <c r="F936" s="81"/>
      <c r="G936" s="61"/>
      <c r="H936" s="269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 t="b">
        <v>0</v>
      </c>
      <c r="AO936" s="258"/>
      <c r="AP936" s="346"/>
      <c r="AQ936" s="300"/>
      <c r="AR936" s="300"/>
      <c r="AS936" s="345"/>
      <c r="AT936" s="345"/>
      <c r="AU936" s="300"/>
      <c r="AV936" s="286" t="b">
        <v>0</v>
      </c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263"/>
      <c r="B937" s="194"/>
      <c r="C937" s="61"/>
      <c r="D937" s="61"/>
      <c r="E937" s="81"/>
      <c r="F937" s="81"/>
      <c r="G937" s="61"/>
      <c r="H937" s="269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 t="b">
        <v>0</v>
      </c>
      <c r="AO937" s="258"/>
      <c r="AP937" s="346"/>
      <c r="AQ937" s="300"/>
      <c r="AR937" s="300"/>
      <c r="AS937" s="345"/>
      <c r="AT937" s="345"/>
      <c r="AU937" s="300"/>
      <c r="AV937" s="286" t="b">
        <v>0</v>
      </c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263"/>
      <c r="B938" s="194"/>
      <c r="C938" s="61"/>
      <c r="D938" s="61"/>
      <c r="E938" s="81"/>
      <c r="F938" s="81"/>
      <c r="G938" s="61"/>
      <c r="H938" s="269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 t="b">
        <v>0</v>
      </c>
      <c r="AO938" s="258"/>
      <c r="AP938" s="346"/>
      <c r="AQ938" s="300"/>
      <c r="AR938" s="300"/>
      <c r="AS938" s="345"/>
      <c r="AT938" s="345"/>
      <c r="AU938" s="300"/>
      <c r="AV938" s="286" t="b">
        <v>0</v>
      </c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263"/>
      <c r="B939" s="194"/>
      <c r="C939" s="61"/>
      <c r="D939" s="61"/>
      <c r="E939" s="81"/>
      <c r="F939" s="81"/>
      <c r="G939" s="61"/>
      <c r="H939" s="269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 t="b">
        <v>0</v>
      </c>
      <c r="AO939" s="258"/>
      <c r="AP939" s="346"/>
      <c r="AQ939" s="300"/>
      <c r="AR939" s="300"/>
      <c r="AS939" s="345"/>
      <c r="AT939" s="345"/>
      <c r="AU939" s="300"/>
      <c r="AV939" s="286" t="b">
        <v>0</v>
      </c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263"/>
      <c r="B940" s="194"/>
      <c r="C940" s="61"/>
      <c r="D940" s="61"/>
      <c r="E940" s="81"/>
      <c r="F940" s="81"/>
      <c r="G940" s="61"/>
      <c r="H940" s="269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 t="b">
        <v>0</v>
      </c>
      <c r="AO940" s="258"/>
      <c r="AP940" s="346"/>
      <c r="AQ940" s="300"/>
      <c r="AR940" s="300"/>
      <c r="AS940" s="345"/>
      <c r="AT940" s="345"/>
      <c r="AU940" s="300"/>
      <c r="AV940" s="286" t="b">
        <v>0</v>
      </c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263"/>
      <c r="B941" s="194"/>
      <c r="C941" s="61"/>
      <c r="D941" s="61"/>
      <c r="E941" s="81"/>
      <c r="F941" s="81"/>
      <c r="G941" s="61"/>
      <c r="H941" s="269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 t="b">
        <v>0</v>
      </c>
      <c r="AO941" s="258"/>
      <c r="AP941" s="346"/>
      <c r="AQ941" s="300"/>
      <c r="AR941" s="300"/>
      <c r="AS941" s="345"/>
      <c r="AT941" s="345"/>
      <c r="AU941" s="300"/>
      <c r="AV941" s="286" t="b">
        <v>0</v>
      </c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263"/>
      <c r="B942" s="194"/>
      <c r="C942" s="61"/>
      <c r="D942" s="61"/>
      <c r="E942" s="81"/>
      <c r="F942" s="81"/>
      <c r="G942" s="61"/>
      <c r="H942" s="269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 t="b">
        <v>0</v>
      </c>
      <c r="AO942" s="258"/>
      <c r="AP942" s="346"/>
      <c r="AQ942" s="300"/>
      <c r="AR942" s="300"/>
      <c r="AS942" s="345"/>
      <c r="AT942" s="345"/>
      <c r="AU942" s="300"/>
      <c r="AV942" s="286" t="b">
        <v>0</v>
      </c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263"/>
      <c r="B943" s="194"/>
      <c r="C943" s="61"/>
      <c r="D943" s="61"/>
      <c r="E943" s="81"/>
      <c r="F943" s="81"/>
      <c r="G943" s="61"/>
      <c r="H943" s="269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 t="b">
        <v>0</v>
      </c>
      <c r="AO943" s="258"/>
      <c r="AP943" s="346"/>
      <c r="AQ943" s="300"/>
      <c r="AR943" s="300"/>
      <c r="AS943" s="345"/>
      <c r="AT943" s="345"/>
      <c r="AU943" s="300"/>
      <c r="AV943" s="286" t="b">
        <v>0</v>
      </c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263"/>
      <c r="B944" s="194"/>
      <c r="C944" s="61"/>
      <c r="D944" s="61"/>
      <c r="E944" s="81"/>
      <c r="F944" s="81"/>
      <c r="G944" s="61"/>
      <c r="H944" s="269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 t="b">
        <v>0</v>
      </c>
      <c r="AO944" s="258"/>
      <c r="AP944" s="346"/>
      <c r="AQ944" s="300"/>
      <c r="AR944" s="300"/>
      <c r="AS944" s="345"/>
      <c r="AT944" s="345"/>
      <c r="AU944" s="300"/>
      <c r="AV944" s="286" t="b">
        <v>0</v>
      </c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263"/>
      <c r="B945" s="194"/>
      <c r="C945" s="61"/>
      <c r="D945" s="61"/>
      <c r="E945" s="81"/>
      <c r="F945" s="81"/>
      <c r="G945" s="61"/>
      <c r="H945" s="269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 t="b">
        <v>0</v>
      </c>
      <c r="AO945" s="258"/>
      <c r="AP945" s="346"/>
      <c r="AQ945" s="300"/>
      <c r="AR945" s="300"/>
      <c r="AS945" s="345"/>
      <c r="AT945" s="345"/>
      <c r="AU945" s="300"/>
      <c r="AV945" s="286" t="b">
        <v>0</v>
      </c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263"/>
      <c r="B946" s="194"/>
      <c r="C946" s="61"/>
      <c r="D946" s="61"/>
      <c r="E946" s="81"/>
      <c r="F946" s="81"/>
      <c r="G946" s="61"/>
      <c r="H946" s="269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 t="b">
        <v>0</v>
      </c>
      <c r="AO946" s="258"/>
      <c r="AP946" s="346"/>
      <c r="AQ946" s="300"/>
      <c r="AR946" s="300"/>
      <c r="AS946" s="345"/>
      <c r="AT946" s="345"/>
      <c r="AU946" s="300"/>
      <c r="AV946" s="286" t="b">
        <v>0</v>
      </c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263"/>
      <c r="B947" s="194"/>
      <c r="C947" s="61"/>
      <c r="D947" s="61"/>
      <c r="E947" s="81"/>
      <c r="F947" s="81"/>
      <c r="G947" s="61"/>
      <c r="H947" s="269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 t="b">
        <v>0</v>
      </c>
      <c r="AO947" s="258"/>
      <c r="AP947" s="346"/>
      <c r="AQ947" s="300"/>
      <c r="AR947" s="300"/>
      <c r="AS947" s="345"/>
      <c r="AT947" s="345"/>
      <c r="AU947" s="300"/>
      <c r="AV947" s="286" t="b">
        <v>0</v>
      </c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263"/>
      <c r="B948" s="194"/>
      <c r="C948" s="61"/>
      <c r="D948" s="61"/>
      <c r="E948" s="81"/>
      <c r="F948" s="81"/>
      <c r="G948" s="61"/>
      <c r="H948" s="269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 t="b">
        <v>0</v>
      </c>
      <c r="AO948" s="258"/>
      <c r="AP948" s="346"/>
      <c r="AQ948" s="300"/>
      <c r="AR948" s="300"/>
      <c r="AS948" s="345"/>
      <c r="AT948" s="345"/>
      <c r="AU948" s="300"/>
      <c r="AV948" s="286" t="b">
        <v>0</v>
      </c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263"/>
      <c r="B949" s="194"/>
      <c r="C949" s="61"/>
      <c r="D949" s="61"/>
      <c r="E949" s="81"/>
      <c r="F949" s="81"/>
      <c r="G949" s="61"/>
      <c r="H949" s="269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 t="b">
        <v>0</v>
      </c>
      <c r="AO949" s="258"/>
      <c r="AP949" s="346"/>
      <c r="AQ949" s="300"/>
      <c r="AR949" s="300"/>
      <c r="AS949" s="345"/>
      <c r="AT949" s="345"/>
      <c r="AU949" s="300"/>
      <c r="AV949" s="286" t="b">
        <v>0</v>
      </c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263"/>
      <c r="B950" s="194"/>
      <c r="C950" s="61"/>
      <c r="D950" s="61"/>
      <c r="E950" s="81"/>
      <c r="F950" s="81"/>
      <c r="G950" s="61"/>
      <c r="H950" s="269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 t="b">
        <v>0</v>
      </c>
      <c r="AO950" s="258"/>
      <c r="AP950" s="346"/>
      <c r="AQ950" s="300"/>
      <c r="AR950" s="300"/>
      <c r="AS950" s="345"/>
      <c r="AT950" s="345"/>
      <c r="AU950" s="300"/>
      <c r="AV950" s="286" t="b">
        <v>0</v>
      </c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263"/>
      <c r="B951" s="194"/>
      <c r="C951" s="61"/>
      <c r="D951" s="61"/>
      <c r="E951" s="81"/>
      <c r="F951" s="81"/>
      <c r="G951" s="61"/>
      <c r="H951" s="269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 t="b">
        <v>0</v>
      </c>
      <c r="AO951" s="258"/>
      <c r="AP951" s="346"/>
      <c r="AQ951" s="300"/>
      <c r="AR951" s="300"/>
      <c r="AS951" s="345"/>
      <c r="AT951" s="345"/>
      <c r="AU951" s="300"/>
      <c r="AV951" s="286" t="b">
        <v>0</v>
      </c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263"/>
      <c r="B952" s="194"/>
      <c r="C952" s="61"/>
      <c r="D952" s="61"/>
      <c r="E952" s="81"/>
      <c r="F952" s="81"/>
      <c r="G952" s="61"/>
      <c r="H952" s="269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 t="b">
        <v>0</v>
      </c>
      <c r="AO952" s="258"/>
      <c r="AP952" s="346"/>
      <c r="AQ952" s="300"/>
      <c r="AR952" s="300"/>
      <c r="AS952" s="345"/>
      <c r="AT952" s="345"/>
      <c r="AU952" s="300"/>
      <c r="AV952" s="286" t="b">
        <v>0</v>
      </c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263"/>
      <c r="B953" s="194"/>
      <c r="C953" s="61"/>
      <c r="D953" s="61"/>
      <c r="E953" s="81"/>
      <c r="F953" s="81"/>
      <c r="G953" s="61"/>
      <c r="H953" s="269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 t="b">
        <v>0</v>
      </c>
      <c r="AO953" s="258"/>
      <c r="AP953" s="346"/>
      <c r="AQ953" s="300"/>
      <c r="AR953" s="300"/>
      <c r="AS953" s="345"/>
      <c r="AT953" s="345"/>
      <c r="AU953" s="300"/>
      <c r="AV953" s="286" t="b">
        <v>0</v>
      </c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263"/>
      <c r="B954" s="194"/>
      <c r="C954" s="61"/>
      <c r="D954" s="61"/>
      <c r="E954" s="81"/>
      <c r="F954" s="81"/>
      <c r="G954" s="61"/>
      <c r="H954" s="269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 t="b">
        <v>0</v>
      </c>
      <c r="AO954" s="258"/>
      <c r="AP954" s="346"/>
      <c r="AQ954" s="300"/>
      <c r="AR954" s="300"/>
      <c r="AS954" s="345"/>
      <c r="AT954" s="345"/>
      <c r="AU954" s="300"/>
      <c r="AV954" s="286" t="b">
        <v>0</v>
      </c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263"/>
      <c r="B955" s="194"/>
      <c r="C955" s="61"/>
      <c r="D955" s="61"/>
      <c r="E955" s="81"/>
      <c r="F955" s="81"/>
      <c r="G955" s="61"/>
      <c r="H955" s="269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 t="b">
        <v>0</v>
      </c>
      <c r="AO955" s="258"/>
      <c r="AP955" s="346"/>
      <c r="AQ955" s="300"/>
      <c r="AR955" s="300"/>
      <c r="AS955" s="345"/>
      <c r="AT955" s="345"/>
      <c r="AU955" s="300"/>
      <c r="AV955" s="286" t="b">
        <v>0</v>
      </c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263"/>
      <c r="B956" s="194"/>
      <c r="C956" s="61"/>
      <c r="D956" s="61"/>
      <c r="E956" s="81"/>
      <c r="F956" s="81"/>
      <c r="G956" s="61"/>
      <c r="H956" s="269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 t="b">
        <v>0</v>
      </c>
      <c r="AO956" s="258"/>
      <c r="AP956" s="346"/>
      <c r="AQ956" s="300"/>
      <c r="AR956" s="300"/>
      <c r="AS956" s="345"/>
      <c r="AT956" s="345"/>
      <c r="AU956" s="300"/>
      <c r="AV956" s="286" t="b">
        <v>0</v>
      </c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263"/>
      <c r="B957" s="194"/>
      <c r="C957" s="61"/>
      <c r="D957" s="61"/>
      <c r="E957" s="81"/>
      <c r="F957" s="81"/>
      <c r="G957" s="61"/>
      <c r="H957" s="269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 t="b">
        <v>0</v>
      </c>
      <c r="AO957" s="258"/>
      <c r="AP957" s="346"/>
      <c r="AQ957" s="300"/>
      <c r="AR957" s="300"/>
      <c r="AS957" s="345"/>
      <c r="AT957" s="345"/>
      <c r="AU957" s="300"/>
      <c r="AV957" s="286" t="b">
        <v>0</v>
      </c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263"/>
      <c r="B958" s="194"/>
      <c r="C958" s="61"/>
      <c r="D958" s="61"/>
      <c r="E958" s="81"/>
      <c r="F958" s="81"/>
      <c r="G958" s="61"/>
      <c r="H958" s="269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 t="b">
        <v>0</v>
      </c>
      <c r="AO958" s="258"/>
      <c r="AP958" s="346"/>
      <c r="AQ958" s="300"/>
      <c r="AR958" s="300"/>
      <c r="AS958" s="345"/>
      <c r="AT958" s="345"/>
      <c r="AU958" s="300"/>
      <c r="AV958" s="286" t="b">
        <v>0</v>
      </c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263"/>
      <c r="B959" s="194"/>
      <c r="C959" s="61"/>
      <c r="D959" s="61"/>
      <c r="E959" s="81"/>
      <c r="F959" s="81"/>
      <c r="G959" s="61"/>
      <c r="H959" s="269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 t="b">
        <v>0</v>
      </c>
      <c r="AO959" s="258"/>
      <c r="AP959" s="346"/>
      <c r="AQ959" s="300"/>
      <c r="AR959" s="300"/>
      <c r="AS959" s="345"/>
      <c r="AT959" s="345"/>
      <c r="AU959" s="300"/>
      <c r="AV959" s="286" t="b">
        <v>0</v>
      </c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263"/>
      <c r="B960" s="194"/>
      <c r="C960" s="61"/>
      <c r="D960" s="61"/>
      <c r="E960" s="81"/>
      <c r="F960" s="81"/>
      <c r="G960" s="61"/>
      <c r="H960" s="269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 t="b">
        <v>0</v>
      </c>
      <c r="AO960" s="258"/>
      <c r="AP960" s="346"/>
      <c r="AQ960" s="300"/>
      <c r="AR960" s="300"/>
      <c r="AS960" s="345"/>
      <c r="AT960" s="345"/>
      <c r="AU960" s="300"/>
      <c r="AV960" s="286" t="b">
        <v>0</v>
      </c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263"/>
      <c r="B961" s="194"/>
      <c r="C961" s="61"/>
      <c r="D961" s="61"/>
      <c r="E961" s="81"/>
      <c r="F961" s="81"/>
      <c r="G961" s="61"/>
      <c r="H961" s="269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 t="b">
        <v>0</v>
      </c>
      <c r="AO961" s="258"/>
      <c r="AP961" s="346"/>
      <c r="AQ961" s="300"/>
      <c r="AR961" s="300"/>
      <c r="AS961" s="345"/>
      <c r="AT961" s="345"/>
      <c r="AU961" s="300"/>
      <c r="AV961" s="286" t="b">
        <v>0</v>
      </c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263"/>
      <c r="B962" s="194"/>
      <c r="C962" s="61"/>
      <c r="D962" s="61"/>
      <c r="E962" s="81"/>
      <c r="F962" s="81"/>
      <c r="G962" s="61"/>
      <c r="H962" s="269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 t="b">
        <v>0</v>
      </c>
      <c r="AO962" s="258"/>
      <c r="AP962" s="346"/>
      <c r="AQ962" s="300"/>
      <c r="AR962" s="300"/>
      <c r="AS962" s="345"/>
      <c r="AT962" s="345"/>
      <c r="AU962" s="300"/>
      <c r="AV962" s="286" t="b">
        <v>0</v>
      </c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263"/>
      <c r="B963" s="194"/>
      <c r="C963" s="61"/>
      <c r="D963" s="61"/>
      <c r="E963" s="81"/>
      <c r="F963" s="81"/>
      <c r="G963" s="61"/>
      <c r="H963" s="269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 t="b">
        <v>0</v>
      </c>
      <c r="AO963" s="258"/>
      <c r="AP963" s="346"/>
      <c r="AQ963" s="300"/>
      <c r="AR963" s="300"/>
      <c r="AS963" s="345"/>
      <c r="AT963" s="345"/>
      <c r="AU963" s="300"/>
      <c r="AV963" s="286" t="b">
        <v>0</v>
      </c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263"/>
      <c r="B964" s="194"/>
      <c r="C964" s="61"/>
      <c r="D964" s="61"/>
      <c r="E964" s="81"/>
      <c r="F964" s="81"/>
      <c r="G964" s="61"/>
      <c r="H964" s="269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 t="b">
        <v>0</v>
      </c>
      <c r="AO964" s="258"/>
      <c r="AP964" s="346"/>
      <c r="AQ964" s="300"/>
      <c r="AR964" s="300"/>
      <c r="AS964" s="345"/>
      <c r="AT964" s="345"/>
      <c r="AU964" s="300"/>
      <c r="AV964" s="286" t="b">
        <v>0</v>
      </c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263"/>
      <c r="B965" s="194"/>
      <c r="C965" s="61"/>
      <c r="D965" s="61"/>
      <c r="E965" s="81"/>
      <c r="F965" s="81"/>
      <c r="G965" s="61"/>
      <c r="H965" s="269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 t="b">
        <v>0</v>
      </c>
      <c r="AO965" s="258"/>
      <c r="AP965" s="346"/>
      <c r="AQ965" s="300"/>
      <c r="AR965" s="300"/>
      <c r="AS965" s="345"/>
      <c r="AT965" s="345"/>
      <c r="AU965" s="300"/>
      <c r="AV965" s="286" t="b">
        <v>0</v>
      </c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263"/>
      <c r="B966" s="194"/>
      <c r="C966" s="61"/>
      <c r="D966" s="61"/>
      <c r="E966" s="81"/>
      <c r="F966" s="81"/>
      <c r="G966" s="61"/>
      <c r="H966" s="269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 t="b">
        <v>0</v>
      </c>
      <c r="AO966" s="258"/>
      <c r="AP966" s="346"/>
      <c r="AQ966" s="300"/>
      <c r="AR966" s="300"/>
      <c r="AS966" s="345"/>
      <c r="AT966" s="345"/>
      <c r="AU966" s="300"/>
      <c r="AV966" s="286" t="b">
        <v>0</v>
      </c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263"/>
      <c r="B967" s="194"/>
      <c r="C967" s="61"/>
      <c r="D967" s="61"/>
      <c r="E967" s="81"/>
      <c r="F967" s="81"/>
      <c r="G967" s="61"/>
      <c r="H967" s="269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 t="b">
        <v>0</v>
      </c>
      <c r="AO967" s="258"/>
      <c r="AP967" s="346"/>
      <c r="AQ967" s="300"/>
      <c r="AR967" s="300"/>
      <c r="AS967" s="345"/>
      <c r="AT967" s="345"/>
      <c r="AU967" s="300"/>
      <c r="AV967" s="286" t="b">
        <v>0</v>
      </c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263"/>
      <c r="B968" s="194"/>
      <c r="C968" s="61"/>
      <c r="D968" s="61"/>
      <c r="E968" s="81"/>
      <c r="F968" s="81"/>
      <c r="G968" s="61"/>
      <c r="H968" s="269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 t="b">
        <v>0</v>
      </c>
      <c r="AO968" s="258"/>
      <c r="AP968" s="346"/>
      <c r="AQ968" s="300"/>
      <c r="AR968" s="300"/>
      <c r="AS968" s="345"/>
      <c r="AT968" s="345"/>
      <c r="AU968" s="300"/>
      <c r="AV968" s="286" t="b">
        <v>0</v>
      </c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263"/>
      <c r="B969" s="194"/>
      <c r="C969" s="61"/>
      <c r="D969" s="61"/>
      <c r="E969" s="81"/>
      <c r="F969" s="81"/>
      <c r="G969" s="61"/>
      <c r="H969" s="269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 t="b">
        <v>0</v>
      </c>
      <c r="AO969" s="258"/>
      <c r="AP969" s="346"/>
      <c r="AQ969" s="300"/>
      <c r="AR969" s="300"/>
      <c r="AS969" s="345"/>
      <c r="AT969" s="345"/>
      <c r="AU969" s="300"/>
      <c r="AV969" s="286" t="b">
        <v>0</v>
      </c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263"/>
      <c r="B970" s="194"/>
      <c r="C970" s="61"/>
      <c r="D970" s="61"/>
      <c r="E970" s="81"/>
      <c r="F970" s="81"/>
      <c r="G970" s="61"/>
      <c r="H970" s="269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 t="b">
        <v>0</v>
      </c>
      <c r="AO970" s="258"/>
      <c r="AP970" s="346"/>
      <c r="AQ970" s="300"/>
      <c r="AR970" s="300"/>
      <c r="AS970" s="345"/>
      <c r="AT970" s="345"/>
      <c r="AU970" s="300"/>
      <c r="AV970" s="286" t="b">
        <v>0</v>
      </c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263"/>
      <c r="B971" s="194"/>
      <c r="C971" s="61"/>
      <c r="D971" s="61"/>
      <c r="E971" s="81"/>
      <c r="F971" s="81"/>
      <c r="G971" s="61"/>
      <c r="H971" s="269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 t="b">
        <v>0</v>
      </c>
      <c r="AO971" s="258"/>
      <c r="AP971" s="346"/>
      <c r="AQ971" s="300"/>
      <c r="AR971" s="300"/>
      <c r="AS971" s="345"/>
      <c r="AT971" s="345"/>
      <c r="AU971" s="300"/>
      <c r="AV971" s="286" t="b">
        <v>0</v>
      </c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263"/>
      <c r="B972" s="194"/>
      <c r="C972" s="61"/>
      <c r="D972" s="61"/>
      <c r="E972" s="81"/>
      <c r="F972" s="81"/>
      <c r="G972" s="61"/>
      <c r="H972" s="269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 t="b">
        <v>0</v>
      </c>
      <c r="AO972" s="258"/>
      <c r="AP972" s="346"/>
      <c r="AQ972" s="300"/>
      <c r="AR972" s="300"/>
      <c r="AS972" s="345"/>
      <c r="AT972" s="345"/>
      <c r="AU972" s="300"/>
      <c r="AV972" s="286" t="b">
        <v>0</v>
      </c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263"/>
      <c r="B973" s="194"/>
      <c r="C973" s="61"/>
      <c r="D973" s="61"/>
      <c r="E973" s="81"/>
      <c r="F973" s="81"/>
      <c r="G973" s="61"/>
      <c r="H973" s="269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 t="b">
        <v>0</v>
      </c>
      <c r="AO973" s="258"/>
      <c r="AP973" s="346"/>
      <c r="AQ973" s="300"/>
      <c r="AR973" s="300"/>
      <c r="AS973" s="345"/>
      <c r="AT973" s="345"/>
      <c r="AU973" s="300"/>
      <c r="AV973" s="286" t="b">
        <v>0</v>
      </c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263"/>
      <c r="B974" s="194"/>
      <c r="C974" s="61"/>
      <c r="D974" s="61"/>
      <c r="E974" s="81"/>
      <c r="F974" s="81"/>
      <c r="G974" s="61"/>
      <c r="H974" s="269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 t="b">
        <v>0</v>
      </c>
      <c r="AO974" s="258"/>
      <c r="AP974" s="346"/>
      <c r="AQ974" s="300"/>
      <c r="AR974" s="300"/>
      <c r="AS974" s="345"/>
      <c r="AT974" s="345"/>
      <c r="AU974" s="300"/>
      <c r="AV974" s="286" t="b">
        <v>0</v>
      </c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263"/>
      <c r="B975" s="194"/>
      <c r="C975" s="61"/>
      <c r="D975" s="61"/>
      <c r="E975" s="81"/>
      <c r="F975" s="81"/>
      <c r="G975" s="61"/>
      <c r="H975" s="269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 t="b">
        <v>0</v>
      </c>
      <c r="AO975" s="258"/>
      <c r="AP975" s="346"/>
      <c r="AQ975" s="300"/>
      <c r="AR975" s="300"/>
      <c r="AS975" s="345"/>
      <c r="AT975" s="345"/>
      <c r="AU975" s="300"/>
      <c r="AV975" s="286" t="b">
        <v>0</v>
      </c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263"/>
      <c r="B976" s="194"/>
      <c r="C976" s="61"/>
      <c r="D976" s="61"/>
      <c r="E976" s="81"/>
      <c r="F976" s="81"/>
      <c r="G976" s="61"/>
      <c r="H976" s="269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 t="b">
        <v>0</v>
      </c>
      <c r="AO976" s="258"/>
      <c r="AP976" s="346"/>
      <c r="AQ976" s="300"/>
      <c r="AR976" s="300"/>
      <c r="AS976" s="345"/>
      <c r="AT976" s="345"/>
      <c r="AU976" s="300"/>
      <c r="AV976" s="286" t="b">
        <v>0</v>
      </c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263"/>
      <c r="B977" s="194"/>
      <c r="C977" s="61"/>
      <c r="D977" s="61"/>
      <c r="E977" s="81"/>
      <c r="F977" s="81"/>
      <c r="G977" s="61"/>
      <c r="H977" s="269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 t="b">
        <v>0</v>
      </c>
      <c r="AO977" s="258"/>
      <c r="AP977" s="346"/>
      <c r="AQ977" s="300"/>
      <c r="AR977" s="300"/>
      <c r="AS977" s="345"/>
      <c r="AT977" s="345"/>
      <c r="AU977" s="300"/>
      <c r="AV977" s="286" t="b">
        <v>0</v>
      </c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263"/>
      <c r="B978" s="194"/>
      <c r="C978" s="61"/>
      <c r="D978" s="61"/>
      <c r="E978" s="81"/>
      <c r="F978" s="81"/>
      <c r="G978" s="61"/>
      <c r="H978" s="269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 t="b">
        <v>0</v>
      </c>
      <c r="AO978" s="258"/>
      <c r="AP978" s="346"/>
      <c r="AQ978" s="300"/>
      <c r="AR978" s="300"/>
      <c r="AS978" s="345"/>
      <c r="AT978" s="345"/>
      <c r="AU978" s="300"/>
      <c r="AV978" s="286" t="b">
        <v>0</v>
      </c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263"/>
      <c r="B979" s="194"/>
      <c r="C979" s="61"/>
      <c r="D979" s="61"/>
      <c r="E979" s="81"/>
      <c r="F979" s="81"/>
      <c r="G979" s="61"/>
      <c r="H979" s="269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 t="b">
        <v>0</v>
      </c>
      <c r="AO979" s="258"/>
      <c r="AP979" s="346"/>
      <c r="AQ979" s="300"/>
      <c r="AR979" s="300"/>
      <c r="AS979" s="345"/>
      <c r="AT979" s="345"/>
      <c r="AU979" s="300"/>
      <c r="AV979" s="286" t="b">
        <v>0</v>
      </c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263"/>
      <c r="B980" s="194"/>
      <c r="C980" s="61"/>
      <c r="D980" s="61"/>
      <c r="E980" s="81"/>
      <c r="F980" s="81"/>
      <c r="G980" s="61"/>
      <c r="H980" s="269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 t="b">
        <v>0</v>
      </c>
      <c r="AO980" s="258"/>
      <c r="AP980" s="346"/>
      <c r="AQ980" s="300"/>
      <c r="AR980" s="300"/>
      <c r="AS980" s="345"/>
      <c r="AT980" s="345"/>
      <c r="AU980" s="300"/>
      <c r="AV980" s="286" t="b">
        <v>0</v>
      </c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263"/>
      <c r="B981" s="194"/>
      <c r="C981" s="61"/>
      <c r="D981" s="61"/>
      <c r="E981" s="81"/>
      <c r="F981" s="81"/>
      <c r="G981" s="61"/>
      <c r="H981" s="269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 t="b">
        <v>0</v>
      </c>
      <c r="AO981" s="258"/>
      <c r="AP981" s="346"/>
      <c r="AQ981" s="300"/>
      <c r="AR981" s="300"/>
      <c r="AS981" s="345"/>
      <c r="AT981" s="345"/>
      <c r="AU981" s="300"/>
      <c r="AV981" s="286" t="b">
        <v>0</v>
      </c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263"/>
      <c r="B982" s="194"/>
      <c r="C982" s="61"/>
      <c r="D982" s="61"/>
      <c r="E982" s="81"/>
      <c r="F982" s="81"/>
      <c r="G982" s="61"/>
      <c r="H982" s="269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 t="b">
        <v>0</v>
      </c>
      <c r="AO982" s="258"/>
      <c r="AP982" s="346"/>
      <c r="AQ982" s="300"/>
      <c r="AR982" s="300"/>
      <c r="AS982" s="345"/>
      <c r="AT982" s="345"/>
      <c r="AU982" s="300"/>
      <c r="AV982" s="286" t="b">
        <v>0</v>
      </c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263"/>
      <c r="B983" s="194"/>
      <c r="C983" s="61"/>
      <c r="D983" s="61"/>
      <c r="E983" s="81"/>
      <c r="F983" s="81"/>
      <c r="G983" s="61"/>
      <c r="H983" s="269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 t="b">
        <v>0</v>
      </c>
      <c r="AO983" s="258"/>
      <c r="AP983" s="346"/>
      <c r="AQ983" s="300"/>
      <c r="AR983" s="300"/>
      <c r="AS983" s="345"/>
      <c r="AT983" s="345"/>
      <c r="AU983" s="300"/>
      <c r="AV983" s="286" t="b">
        <v>0</v>
      </c>
      <c r="AW983" s="258"/>
      <c r="AX983" s="349"/>
      <c r="AY983" s="290"/>
      <c r="AZ983" s="290"/>
      <c r="BA983" s="350"/>
      <c r="BB983" s="350"/>
      <c r="BC983" s="290"/>
      <c r="BD983" s="281" t="b">
        <v>0</v>
      </c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263"/>
      <c r="B984" s="194"/>
      <c r="C984" s="61"/>
      <c r="D984" s="61"/>
      <c r="E984" s="81"/>
      <c r="F984" s="81"/>
      <c r="G984" s="61"/>
      <c r="H984" s="269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 t="b">
        <v>0</v>
      </c>
      <c r="AO984" s="258"/>
      <c r="AP984" s="346"/>
      <c r="AQ984" s="300"/>
      <c r="AR984" s="300"/>
      <c r="AS984" s="345"/>
      <c r="AT984" s="345"/>
      <c r="AU984" s="300"/>
      <c r="AV984" s="286" t="b">
        <v>0</v>
      </c>
      <c r="AW984" s="258"/>
      <c r="AX984" s="349"/>
      <c r="AY984" s="290"/>
      <c r="AZ984" s="290"/>
      <c r="BA984" s="350"/>
      <c r="BB984" s="350"/>
      <c r="BC984" s="290"/>
      <c r="BD984" s="281" t="b">
        <v>0</v>
      </c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263"/>
      <c r="B985" s="194"/>
      <c r="C985" s="61"/>
      <c r="D985" s="61"/>
      <c r="E985" s="81"/>
      <c r="F985" s="81"/>
      <c r="G985" s="61"/>
      <c r="H985" s="269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 t="b">
        <v>0</v>
      </c>
      <c r="AO985" s="258"/>
      <c r="AP985" s="346"/>
      <c r="AQ985" s="300"/>
      <c r="AR985" s="300"/>
      <c r="AS985" s="345"/>
      <c r="AT985" s="345"/>
      <c r="AU985" s="300"/>
      <c r="AV985" s="286" t="b">
        <v>0</v>
      </c>
      <c r="AW985" s="258"/>
      <c r="AX985" s="349"/>
      <c r="AY985" s="290"/>
      <c r="AZ985" s="290"/>
      <c r="BA985" s="350"/>
      <c r="BB985" s="350"/>
      <c r="BC985" s="290"/>
      <c r="BD985" s="281" t="b">
        <v>0</v>
      </c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263"/>
      <c r="B986" s="194"/>
      <c r="C986" s="61"/>
      <c r="D986" s="61"/>
      <c r="E986" s="81"/>
      <c r="F986" s="81"/>
      <c r="G986" s="61"/>
      <c r="H986" s="269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 t="b">
        <v>0</v>
      </c>
      <c r="AO986" s="258"/>
      <c r="AP986" s="346"/>
      <c r="AQ986" s="300"/>
      <c r="AR986" s="300"/>
      <c r="AS986" s="345"/>
      <c r="AT986" s="345"/>
      <c r="AU986" s="300"/>
      <c r="AV986" s="286" t="b">
        <v>0</v>
      </c>
      <c r="AW986" s="258"/>
      <c r="AX986" s="349"/>
      <c r="AY986" s="290"/>
      <c r="AZ986" s="290"/>
      <c r="BA986" s="350"/>
      <c r="BB986" s="350"/>
      <c r="BC986" s="290"/>
      <c r="BD986" s="281" t="b">
        <v>0</v>
      </c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263"/>
      <c r="B987" s="194"/>
      <c r="C987" s="61"/>
      <c r="D987" s="61"/>
      <c r="E987" s="81"/>
      <c r="F987" s="81"/>
      <c r="G987" s="61"/>
      <c r="H987" s="269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 t="b">
        <v>0</v>
      </c>
      <c r="AO987" s="258"/>
      <c r="AP987" s="346"/>
      <c r="AQ987" s="300"/>
      <c r="AR987" s="300"/>
      <c r="AS987" s="345"/>
      <c r="AT987" s="345"/>
      <c r="AU987" s="300"/>
      <c r="AV987" s="286" t="b">
        <v>0</v>
      </c>
      <c r="AW987" s="258"/>
      <c r="AX987" s="351"/>
      <c r="AY987" s="351"/>
      <c r="AZ987" s="351"/>
      <c r="BA987" s="351"/>
      <c r="BB987" s="351"/>
      <c r="BC987" s="351"/>
      <c r="BD987" s="351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263"/>
      <c r="B988" s="194"/>
      <c r="C988" s="61"/>
      <c r="D988" s="61"/>
      <c r="E988" s="81"/>
      <c r="F988" s="81"/>
      <c r="G988" s="61"/>
      <c r="H988" s="269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 t="b">
        <v>0</v>
      </c>
      <c r="AO988" s="258"/>
      <c r="AP988" s="346"/>
      <c r="AQ988" s="300"/>
      <c r="AR988" s="300"/>
      <c r="AS988" s="345"/>
      <c r="AT988" s="345"/>
      <c r="AU988" s="300"/>
      <c r="AV988" s="286" t="b">
        <v>0</v>
      </c>
      <c r="AW988" s="258"/>
      <c r="AX988" s="351"/>
      <c r="AY988" s="351"/>
      <c r="AZ988" s="351"/>
      <c r="BA988" s="351"/>
      <c r="BB988" s="351"/>
      <c r="BC988" s="351"/>
      <c r="BD988" s="351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263"/>
      <c r="B989" s="194"/>
      <c r="C989" s="61"/>
      <c r="D989" s="61"/>
      <c r="E989" s="81"/>
      <c r="F989" s="81"/>
      <c r="G989" s="61"/>
      <c r="H989" s="269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 t="b">
        <v>0</v>
      </c>
      <c r="AO989" s="258"/>
      <c r="AP989" s="346"/>
      <c r="AQ989" s="300"/>
      <c r="AR989" s="300"/>
      <c r="AS989" s="345"/>
      <c r="AT989" s="345"/>
      <c r="AU989" s="300"/>
      <c r="AV989" s="286" t="b">
        <v>0</v>
      </c>
      <c r="AW989" s="258"/>
      <c r="AX989" s="351"/>
      <c r="AY989" s="351"/>
      <c r="AZ989" s="351"/>
      <c r="BA989" s="351"/>
      <c r="BB989" s="351"/>
      <c r="BC989" s="351"/>
      <c r="BD989" s="351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263"/>
      <c r="B990" s="194"/>
      <c r="C990" s="61"/>
      <c r="D990" s="61"/>
      <c r="E990" s="81"/>
      <c r="F990" s="81"/>
      <c r="G990" s="61"/>
      <c r="H990" s="269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 t="b">
        <v>0</v>
      </c>
      <c r="AO990" s="258"/>
      <c r="AP990" s="346"/>
      <c r="AQ990" s="300"/>
      <c r="AR990" s="300"/>
      <c r="AS990" s="345"/>
      <c r="AT990" s="345"/>
      <c r="AU990" s="300"/>
      <c r="AV990" s="286" t="b">
        <v>0</v>
      </c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263"/>
      <c r="B991" s="194"/>
      <c r="C991" s="61"/>
      <c r="D991" s="61"/>
      <c r="E991" s="81"/>
      <c r="F991" s="81"/>
      <c r="G991" s="61"/>
      <c r="H991" s="269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 t="b">
        <v>0</v>
      </c>
      <c r="AO991" s="258"/>
      <c r="AP991" s="346"/>
      <c r="AQ991" s="300"/>
      <c r="AR991" s="300"/>
      <c r="AS991" s="345"/>
      <c r="AT991" s="345"/>
      <c r="AU991" s="300"/>
      <c r="AV991" s="286" t="b">
        <v>0</v>
      </c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263"/>
      <c r="B992" s="194"/>
      <c r="C992" s="61"/>
      <c r="D992" s="61"/>
      <c r="E992" s="81"/>
      <c r="F992" s="81"/>
      <c r="G992" s="61"/>
      <c r="H992" s="269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 t="b">
        <v>0</v>
      </c>
      <c r="AO992" s="258"/>
      <c r="AP992" s="346"/>
      <c r="AQ992" s="300"/>
      <c r="AR992" s="300"/>
      <c r="AS992" s="345"/>
      <c r="AT992" s="345"/>
      <c r="AU992" s="300"/>
      <c r="AV992" s="286" t="b">
        <v>0</v>
      </c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263"/>
      <c r="B993" s="194"/>
      <c r="C993" s="61"/>
      <c r="D993" s="61"/>
      <c r="E993" s="81"/>
      <c r="F993" s="81"/>
      <c r="G993" s="61"/>
      <c r="H993" s="269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 t="b">
        <v>0</v>
      </c>
      <c r="AO993" s="258"/>
      <c r="AP993" s="346"/>
      <c r="AQ993" s="300"/>
      <c r="AR993" s="300"/>
      <c r="AS993" s="345"/>
      <c r="AT993" s="345"/>
      <c r="AU993" s="300"/>
      <c r="AV993" s="286" t="b">
        <v>0</v>
      </c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263"/>
      <c r="B994" s="194"/>
      <c r="C994" s="61"/>
      <c r="D994" s="61"/>
      <c r="E994" s="81"/>
      <c r="F994" s="81"/>
      <c r="G994" s="61"/>
      <c r="H994" s="269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 t="b">
        <v>0</v>
      </c>
      <c r="AO994" s="258"/>
      <c r="AP994" s="346"/>
      <c r="AQ994" s="300"/>
      <c r="AR994" s="300"/>
      <c r="AS994" s="345"/>
      <c r="AT994" s="345"/>
      <c r="AU994" s="300"/>
      <c r="AV994" s="286" t="b">
        <v>0</v>
      </c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263"/>
      <c r="B995" s="194"/>
      <c r="C995" s="61"/>
      <c r="D995" s="61"/>
      <c r="E995" s="81"/>
      <c r="F995" s="81"/>
      <c r="G995" s="61"/>
      <c r="H995" s="269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 t="b">
        <v>0</v>
      </c>
      <c r="AO995" s="258"/>
      <c r="AP995" s="346"/>
      <c r="AQ995" s="300"/>
      <c r="AR995" s="300"/>
      <c r="AS995" s="345"/>
      <c r="AT995" s="345"/>
      <c r="AU995" s="300"/>
      <c r="AV995" s="286" t="b">
        <v>0</v>
      </c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263"/>
      <c r="B996" s="194"/>
      <c r="C996" s="61"/>
      <c r="D996" s="61"/>
      <c r="E996" s="81"/>
      <c r="F996" s="81"/>
      <c r="G996" s="61"/>
      <c r="H996" s="269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 t="b">
        <v>0</v>
      </c>
      <c r="AO996" s="258"/>
      <c r="AP996" s="346"/>
      <c r="AQ996" s="300"/>
      <c r="AR996" s="300"/>
      <c r="AS996" s="345"/>
      <c r="AT996" s="345"/>
      <c r="AU996" s="300"/>
      <c r="AV996" s="286" t="b">
        <v>0</v>
      </c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263"/>
      <c r="B997" s="194"/>
      <c r="C997" s="61"/>
      <c r="D997" s="61"/>
      <c r="E997" s="81"/>
      <c r="F997" s="81"/>
      <c r="G997" s="61"/>
      <c r="H997" s="269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 t="b">
        <v>0</v>
      </c>
      <c r="AO997" s="258"/>
      <c r="AP997" s="346"/>
      <c r="AQ997" s="300"/>
      <c r="AR997" s="300"/>
      <c r="AS997" s="345"/>
      <c r="AT997" s="345"/>
      <c r="AU997" s="300"/>
      <c r="AV997" s="286" t="b">
        <v>0</v>
      </c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263"/>
      <c r="B998" s="194"/>
      <c r="C998" s="61"/>
      <c r="D998" s="61"/>
      <c r="E998" s="81"/>
      <c r="F998" s="81"/>
      <c r="G998" s="61"/>
      <c r="H998" s="269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 t="b">
        <v>0</v>
      </c>
      <c r="AO998" s="258"/>
      <c r="AP998" s="346"/>
      <c r="AQ998" s="300"/>
      <c r="AR998" s="300"/>
      <c r="AS998" s="345"/>
      <c r="AT998" s="345"/>
      <c r="AU998" s="300"/>
      <c r="AV998" s="286" t="b">
        <v>0</v>
      </c>
      <c r="AW998" s="258"/>
      <c r="BE998" s="258"/>
      <c r="BF998" s="346"/>
      <c r="BG998" s="300"/>
      <c r="BH998" s="300"/>
      <c r="BI998" s="345"/>
      <c r="BJ998" s="345"/>
      <c r="BK998" s="300"/>
      <c r="BL998" s="286" t="b">
        <v>0</v>
      </c>
    </row>
    <row r="999" ht="22.5" customHeight="1">
      <c r="A999" s="263"/>
      <c r="B999" s="194"/>
      <c r="C999" s="61"/>
      <c r="D999" s="61"/>
      <c r="E999" s="81"/>
      <c r="F999" s="81"/>
      <c r="G999" s="61"/>
      <c r="H999" s="269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194"/>
      <c r="S999" s="61"/>
      <c r="T999" s="61"/>
      <c r="U999" s="81"/>
      <c r="V999" s="81"/>
      <c r="W999" s="61"/>
      <c r="X999" s="269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 t="b">
        <v>0</v>
      </c>
      <c r="AO999" s="258"/>
      <c r="AP999" s="346"/>
      <c r="AQ999" s="300"/>
      <c r="AR999" s="300"/>
      <c r="AS999" s="345"/>
      <c r="AT999" s="345"/>
      <c r="AU999" s="300"/>
      <c r="AV999" s="286" t="b">
        <v>0</v>
      </c>
      <c r="AW999" s="258"/>
      <c r="BE999" s="258"/>
      <c r="BF999" s="346"/>
      <c r="BG999" s="300"/>
      <c r="BH999" s="300"/>
      <c r="BI999" s="345"/>
      <c r="BJ999" s="345"/>
      <c r="BK999" s="300"/>
      <c r="BL999" s="286" t="b">
        <v>0</v>
      </c>
    </row>
    <row r="1000" ht="22.5" customHeight="1">
      <c r="A1000" s="263"/>
      <c r="B1000" s="194"/>
      <c r="C1000" s="61"/>
      <c r="D1000" s="61"/>
      <c r="E1000" s="81"/>
      <c r="F1000" s="81"/>
      <c r="G1000" s="61"/>
      <c r="H1000" s="269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R1000" s="194"/>
      <c r="S1000" s="61"/>
      <c r="T1000" s="61"/>
      <c r="U1000" s="81"/>
      <c r="V1000" s="81"/>
      <c r="W1000" s="61"/>
      <c r="X1000" s="269" t="b">
        <v>0</v>
      </c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 t="b">
        <v>0</v>
      </c>
      <c r="AO1000" s="258"/>
      <c r="AP1000" s="346"/>
      <c r="AQ1000" s="300"/>
      <c r="AR1000" s="300"/>
      <c r="AS1000" s="345"/>
      <c r="AT1000" s="345"/>
      <c r="AU1000" s="300"/>
      <c r="AV1000" s="286" t="b">
        <v>0</v>
      </c>
      <c r="AW1000" s="258"/>
      <c r="BE1000" s="258"/>
      <c r="BF1000" s="346"/>
      <c r="BG1000" s="300"/>
      <c r="BH1000" s="300"/>
      <c r="BI1000" s="345"/>
      <c r="BJ1000" s="345"/>
      <c r="BK1000" s="300"/>
      <c r="BL1000" s="286" t="b">
        <v>0</v>
      </c>
    </row>
    <row r="1001" ht="22.5" customHeight="1">
      <c r="A1001" s="263"/>
      <c r="B1001" s="194"/>
      <c r="C1001" s="61"/>
      <c r="D1001" s="61"/>
      <c r="E1001" s="81"/>
      <c r="F1001" s="81"/>
      <c r="G1001" s="61"/>
      <c r="H1001" s="269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R1001" s="194"/>
      <c r="S1001" s="61"/>
      <c r="T1001" s="61"/>
      <c r="U1001" s="81"/>
      <c r="V1001" s="81"/>
      <c r="W1001" s="61"/>
      <c r="X1001" s="269" t="b">
        <v>0</v>
      </c>
      <c r="Y1001" s="258"/>
      <c r="Z1001" s="194"/>
      <c r="AA1001" s="61"/>
      <c r="AB1001" s="61"/>
      <c r="AC1001" s="81"/>
      <c r="AD1001" s="81"/>
      <c r="AE1001" s="61"/>
      <c r="AF1001" s="269" t="b">
        <v>0</v>
      </c>
      <c r="AH1001" s="349"/>
      <c r="AI1001" s="290"/>
      <c r="AJ1001" s="290"/>
      <c r="AK1001" s="350"/>
      <c r="AL1001" s="350"/>
      <c r="AM1001" s="290"/>
      <c r="AN1001" s="281" t="b">
        <v>0</v>
      </c>
      <c r="AO1001" s="258"/>
      <c r="AP1001" s="346"/>
      <c r="AQ1001" s="300"/>
      <c r="AR1001" s="300"/>
      <c r="AS1001" s="345"/>
      <c r="AT1001" s="345"/>
      <c r="AU1001" s="300"/>
      <c r="AV1001" s="286" t="b">
        <v>0</v>
      </c>
      <c r="AW1001" s="258"/>
      <c r="BE1001" s="258"/>
      <c r="BF1001" s="346"/>
      <c r="BG1001" s="300"/>
      <c r="BH1001" s="300"/>
      <c r="BI1001" s="345"/>
      <c r="BJ1001" s="345"/>
      <c r="BK1001" s="300"/>
      <c r="BL1001" s="286" t="b">
        <v>0</v>
      </c>
    </row>
    <row r="1002" ht="22.5" customHeight="1">
      <c r="A1002" s="263"/>
      <c r="B1002" s="194"/>
      <c r="C1002" s="61"/>
      <c r="D1002" s="61"/>
      <c r="E1002" s="81"/>
      <c r="F1002" s="81"/>
      <c r="G1002" s="61"/>
      <c r="H1002" s="269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R1002" s="194"/>
      <c r="S1002" s="61"/>
      <c r="T1002" s="61"/>
      <c r="U1002" s="81"/>
      <c r="V1002" s="81"/>
      <c r="W1002" s="61"/>
      <c r="X1002" s="269" t="b">
        <v>0</v>
      </c>
      <c r="Y1002" s="258"/>
      <c r="Z1002" s="194"/>
      <c r="AA1002" s="61"/>
      <c r="AB1002" s="61"/>
      <c r="AC1002" s="81"/>
      <c r="AD1002" s="81"/>
      <c r="AE1002" s="61"/>
      <c r="AF1002" s="269" t="b">
        <v>0</v>
      </c>
      <c r="AH1002" s="349"/>
      <c r="AI1002" s="290"/>
      <c r="AJ1002" s="290"/>
      <c r="AK1002" s="350"/>
      <c r="AL1002" s="350"/>
      <c r="AM1002" s="290"/>
      <c r="AN1002" s="281" t="b">
        <v>0</v>
      </c>
      <c r="AO1002" s="258"/>
      <c r="AP1002" s="346"/>
      <c r="AQ1002" s="300"/>
      <c r="AR1002" s="300"/>
      <c r="AS1002" s="345"/>
      <c r="AT1002" s="345"/>
      <c r="AU1002" s="300"/>
      <c r="AV1002" s="286" t="b">
        <v>0</v>
      </c>
      <c r="AW1002" s="258"/>
      <c r="BE1002" s="258"/>
      <c r="BF1002" s="346"/>
      <c r="BG1002" s="300"/>
      <c r="BH1002" s="300"/>
      <c r="BI1002" s="345"/>
      <c r="BJ1002" s="345"/>
      <c r="BK1002" s="300"/>
      <c r="BL1002" s="286" t="b">
        <v>0</v>
      </c>
    </row>
    <row r="1003" ht="22.5" customHeight="1">
      <c r="A1003" s="263"/>
      <c r="B1003" s="194"/>
      <c r="C1003" s="61"/>
      <c r="D1003" s="61"/>
      <c r="E1003" s="81"/>
      <c r="F1003" s="81"/>
      <c r="G1003" s="61"/>
      <c r="H1003" s="269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R1003" s="194"/>
      <c r="S1003" s="61"/>
      <c r="T1003" s="61"/>
      <c r="U1003" s="81"/>
      <c r="V1003" s="81"/>
      <c r="W1003" s="61"/>
      <c r="X1003" s="269" t="b">
        <v>0</v>
      </c>
      <c r="Y1003" s="258"/>
      <c r="Z1003" s="194"/>
      <c r="AA1003" s="61"/>
      <c r="AB1003" s="61"/>
      <c r="AC1003" s="81"/>
      <c r="AD1003" s="81"/>
      <c r="AE1003" s="61"/>
      <c r="AF1003" s="269" t="b">
        <v>0</v>
      </c>
      <c r="AH1003" s="349"/>
      <c r="AI1003" s="290"/>
      <c r="AJ1003" s="290"/>
      <c r="AK1003" s="350"/>
      <c r="AL1003" s="350"/>
      <c r="AM1003" s="290"/>
      <c r="AN1003" s="281" t="b">
        <v>0</v>
      </c>
      <c r="AO1003" s="258"/>
      <c r="AP1003" s="352"/>
      <c r="AQ1003" s="352"/>
      <c r="AR1003" s="352"/>
      <c r="AS1003" s="352"/>
      <c r="AT1003" s="352"/>
      <c r="AU1003" s="352"/>
      <c r="AV1003" s="352"/>
      <c r="AW1003" s="258"/>
      <c r="BE1003" s="258"/>
      <c r="BF1003" s="352"/>
      <c r="BG1003" s="352"/>
      <c r="BH1003" s="352"/>
      <c r="BI1003" s="352"/>
      <c r="BJ1003" s="352"/>
      <c r="BK1003" s="352"/>
      <c r="BL1003" s="352"/>
    </row>
    <row r="1004" ht="22.5" customHeight="1">
      <c r="A1004" s="263"/>
      <c r="B1004" s="194"/>
      <c r="C1004" s="61"/>
      <c r="D1004" s="61"/>
      <c r="E1004" s="81"/>
      <c r="F1004" s="81"/>
      <c r="G1004" s="61"/>
      <c r="H1004" s="269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R1004" s="353"/>
      <c r="S1004" s="213"/>
      <c r="T1004" s="213"/>
      <c r="U1004" s="354"/>
      <c r="V1004" s="354"/>
      <c r="W1004" s="213"/>
      <c r="X1004" s="355" t="b">
        <v>0</v>
      </c>
      <c r="Y1004" s="258"/>
      <c r="Z1004" s="194"/>
      <c r="AA1004" s="61"/>
      <c r="AB1004" s="61"/>
      <c r="AC1004" s="81"/>
      <c r="AD1004" s="81"/>
      <c r="AE1004" s="61"/>
      <c r="AF1004" s="269" t="b">
        <v>0</v>
      </c>
      <c r="AH1004" s="349"/>
      <c r="AI1004" s="290"/>
      <c r="AJ1004" s="290"/>
      <c r="AK1004" s="350"/>
      <c r="AL1004" s="350"/>
      <c r="AM1004" s="290"/>
      <c r="AN1004" s="281" t="b">
        <v>0</v>
      </c>
      <c r="AO1004" s="258"/>
      <c r="AP1004" s="352"/>
      <c r="AQ1004" s="352"/>
      <c r="AR1004" s="352"/>
      <c r="AS1004" s="352"/>
      <c r="AT1004" s="352"/>
      <c r="AU1004" s="352"/>
      <c r="AV1004" s="352"/>
      <c r="AW1004" s="258"/>
      <c r="BE1004" s="258"/>
      <c r="BF1004" s="352"/>
      <c r="BG1004" s="352"/>
      <c r="BH1004" s="352"/>
      <c r="BI1004" s="352"/>
      <c r="BJ1004" s="352"/>
      <c r="BK1004" s="352"/>
      <c r="BL1004" s="352"/>
    </row>
    <row r="1005" ht="22.5" customHeight="1">
      <c r="A1005" s="263"/>
      <c r="B1005" s="194"/>
      <c r="C1005" s="61"/>
      <c r="D1005" s="61"/>
      <c r="E1005" s="81"/>
      <c r="F1005" s="81"/>
      <c r="G1005" s="61"/>
      <c r="H1005" s="269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H1005" s="351"/>
      <c r="AI1005" s="351"/>
      <c r="AJ1005" s="351"/>
      <c r="AK1005" s="351"/>
      <c r="AL1005" s="351"/>
      <c r="AM1005" s="351"/>
      <c r="AN1005" s="351"/>
      <c r="AO1005" s="258"/>
      <c r="AP1005" s="352"/>
      <c r="AQ1005" s="352"/>
      <c r="AR1005" s="352"/>
      <c r="AS1005" s="352"/>
      <c r="AT1005" s="352"/>
      <c r="AU1005" s="352"/>
      <c r="AV1005" s="352"/>
      <c r="AW1005" s="258"/>
      <c r="BE1005" s="258"/>
      <c r="BF1005" s="352"/>
      <c r="BG1005" s="352"/>
      <c r="BH1005" s="352"/>
      <c r="BI1005" s="352"/>
      <c r="BJ1005" s="352"/>
      <c r="BK1005" s="352"/>
      <c r="BL1005" s="352"/>
    </row>
    <row r="1006" ht="22.5" customHeight="1">
      <c r="A1006" s="263"/>
      <c r="B1006" s="194"/>
      <c r="C1006" s="61"/>
      <c r="D1006" s="61"/>
      <c r="E1006" s="81"/>
      <c r="F1006" s="81"/>
      <c r="G1006" s="61"/>
      <c r="H1006" s="269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H1006" s="351"/>
      <c r="AI1006" s="351"/>
      <c r="AJ1006" s="351"/>
      <c r="AK1006" s="351"/>
      <c r="AL1006" s="351"/>
      <c r="AM1006" s="351"/>
      <c r="AN1006" s="351"/>
      <c r="AO1006" s="258"/>
      <c r="AP1006" s="352"/>
      <c r="AQ1006" s="352"/>
      <c r="AR1006" s="352"/>
      <c r="AS1006" s="352"/>
      <c r="AT1006" s="352"/>
      <c r="AU1006" s="352"/>
      <c r="AV1006" s="352"/>
      <c r="AW1006" s="258"/>
      <c r="BE1006" s="258"/>
      <c r="BF1006" s="352"/>
      <c r="BG1006" s="352"/>
      <c r="BH1006" s="352"/>
      <c r="BI1006" s="352"/>
      <c r="BJ1006" s="352"/>
      <c r="BK1006" s="352"/>
      <c r="BL1006" s="352"/>
    </row>
    <row r="1007" ht="22.5" customHeight="1">
      <c r="A1007" s="263"/>
      <c r="B1007" s="194"/>
      <c r="C1007" s="61"/>
      <c r="D1007" s="61"/>
      <c r="E1007" s="81"/>
      <c r="F1007" s="81"/>
      <c r="G1007" s="61"/>
      <c r="H1007" s="269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H1007" s="351"/>
      <c r="AI1007" s="351"/>
      <c r="AJ1007" s="351"/>
      <c r="AK1007" s="351"/>
      <c r="AL1007" s="351"/>
      <c r="AM1007" s="351"/>
      <c r="AN1007" s="351"/>
      <c r="AO1007" s="258"/>
      <c r="AW1007" s="258"/>
      <c r="BE1007" s="258"/>
    </row>
    <row r="1008" ht="22.5" customHeight="1">
      <c r="A1008" s="263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263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263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263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263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263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  <row r="1014" ht="22.5" customHeight="1">
      <c r="A1014" s="263"/>
      <c r="I1014" s="258"/>
      <c r="J1014" s="194"/>
      <c r="K1014" s="61"/>
      <c r="L1014" s="61"/>
      <c r="M1014" s="81"/>
      <c r="N1014" s="81"/>
      <c r="O1014" s="61"/>
      <c r="P1014" s="269" t="b">
        <v>0</v>
      </c>
      <c r="Q1014" s="258"/>
      <c r="Y1014" s="258"/>
      <c r="AO1014" s="258"/>
      <c r="AW1014" s="258"/>
      <c r="BE1014" s="258"/>
    </row>
  </sheetData>
  <conditionalFormatting sqref="AI132">
    <cfRule type="expression" dxfId="12" priority="1">
      <formula>COUNTIF(AY:AY, AI132)&gt;1</formula>
    </cfRule>
  </conditionalFormatting>
  <conditionalFormatting sqref="C93">
    <cfRule type="expression" dxfId="12" priority="2">
      <formula>COUNTIF(S:S, C93)&gt;1</formula>
    </cfRule>
  </conditionalFormatting>
  <conditionalFormatting sqref="D93">
    <cfRule type="expression" dxfId="12" priority="3">
      <formula>COUNTIF(T:T, D93)&gt;1</formula>
    </cfRule>
  </conditionalFormatting>
  <conditionalFormatting sqref="K1:K1014">
    <cfRule type="expression" dxfId="12" priority="4">
      <formula>COUNTIF(K:K, K1)&gt;1</formula>
    </cfRule>
  </conditionalFormatting>
  <conditionalFormatting sqref="L1:L1014">
    <cfRule type="expression" dxfId="12" priority="5">
      <formula>COUNTIF(L:L, L1)&gt;1</formula>
    </cfRule>
  </conditionalFormatting>
  <conditionalFormatting sqref="S1:S1014 AY17 AI18">
    <cfRule type="expression" dxfId="12" priority="6">
      <formula>COUNTIF(S:S, S1)&gt;1</formula>
    </cfRule>
  </conditionalFormatting>
  <conditionalFormatting sqref="T1:T1014 AJ1:AJ1014 AZ1:AZ49 AZ111:AZ136 AZ138:AZ157 AZ182:AZ1014">
    <cfRule type="expression" dxfId="12" priority="7">
      <formula>COUNTIF(T:T, T1)&gt;1</formula>
    </cfRule>
  </conditionalFormatting>
  <conditionalFormatting sqref="AA1:AA1014 AQ1:AQ1014 BG1 BG3:BG1014">
    <cfRule type="expression" dxfId="12" priority="8">
      <formula>COUNTIF(AA:AA, AA1)&gt;1</formula>
    </cfRule>
  </conditionalFormatting>
  <conditionalFormatting sqref="AB1:AB1014 AR1:AR1014 BH1 BH3:BH1014">
    <cfRule type="expression" dxfId="12" priority="9">
      <formula>COUNTIF(AB:AB, AB1)&gt;1</formula>
    </cfRule>
  </conditionalFormatting>
  <conditionalFormatting sqref="C1:C92 S2:S4 AI2:AI4 AY2:AY4 C94:C1014">
    <cfRule type="expression" dxfId="12" priority="10">
      <formula>COUNTIF(C:C, C1)&gt;1</formula>
    </cfRule>
  </conditionalFormatting>
  <conditionalFormatting sqref="D1:D92 T2:T4 AJ2:AJ367 AZ2:AZ49 D94:D1014 AZ111:AZ136 AZ138:AZ157 AZ182:AZ373">
    <cfRule type="expression" dxfId="12" priority="11">
      <formula>COUNTIF(D:D, D1)&gt;1</formula>
    </cfRule>
  </conditionalFormatting>
  <dataValidations>
    <dataValidation type="list" allowBlank="1" sqref="BB2:BB986 V2:V1004 AL2:AL1004">
      <formula1>"Luis,Jesus,Clara,Noel,Daniela,Mariadelaida,Eduardo,Alexis,Diana"</formula1>
    </dataValidation>
    <dataValidation type="list" allowBlank="1" sqref="BA2:BA986 U2:U1004 AK2:AK1004 E2:E1007">
      <formula1>"Mexico,Costa Rica,Panama,Belize,Dominican Republic,Nicaragua,El Salvador,Guatemala,Honduras"</formula1>
    </dataValidation>
    <dataValidation type="list" allowBlank="1" sqref="AT2:AT1002 BJ2:BJ1002 AD2:AD1004">
      <formula1>"Luis,Jesus,Clara,Noel,Daniela,Mariadelaida,Eduardo,Edvaldo,Alexis"</formula1>
    </dataValidation>
    <dataValidation type="custom" allowBlank="1" showDropDown="1" sqref="AX2:AX986 AP2:AP1002 BF2:BF1002 R2:R1004 Z2:Z1004 AH2:AH1004 B2:B1007 J2:J1014">
      <formula1>OR(NOT(ISERROR(DATEVALUE(B2))), AND(ISNUMBER(B2), LEFT(CELL("format", B2))="D"))</formula1>
    </dataValidation>
    <dataValidation type="list" allowBlank="1" sqref="F2:F1007">
      <formula1>"Luis,Jesus,Clara,Noel,Daniela,Mariadelaida,Eduardo,Alexis,Diana,Edvaldo"</formula1>
    </dataValidation>
    <dataValidation allowBlank="1" showDropDown="1" sqref="AY2:AZ986 BC2:BC986 AQ2:AR1002 AU2:AU1002 BG2:BH1002 BK2:BK1002 S2:T1004 W2:W1004 AA2:AB1004 AE2:AE1004 AI2:AJ1004 AM2:AM1004 C2:D1007 G2:G1007 K2:L1014 O2:O1014"/>
    <dataValidation type="list" allowBlank="1" sqref="AS2:AS1002 BI2:BI1002 AC2:AC1004 M2:M1014">
      <formula1>"Argentina,Colombia,Ecuador,Chile,Paraguay,Uruguay,Peru,Bolivia"</formula1>
    </dataValidation>
    <dataValidation type="list" allowBlank="1" sqref="N2:N1014">
      <formula1>"Luis,Jesus,Clara,Noel,Daniela,Mariadelaida,Eduardo,Edvaldo,Alexis,Edvaldo,Diana"</formula1>
    </dataValidation>
  </dataValidations>
  <hyperlinks>
    <hyperlink r:id="rId1" ref="T18"/>
    <hyperlink r:id="rId2" ref="AR35"/>
    <hyperlink r:id="rId3" ref="AB95"/>
  </hyperlinks>
  <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 collapsed="1">
      <c r="A1" s="356"/>
    </row>
    <row r="2" hidden="1" outlineLevel="1">
      <c r="A2" s="357" t="s">
        <v>2336</v>
      </c>
      <c r="B2" s="9" t="s">
        <v>1</v>
      </c>
      <c r="G2" s="10"/>
      <c r="H2" s="11" t="s">
        <v>2</v>
      </c>
    </row>
    <row r="3" hidden="1" outlineLevel="1"/>
    <row r="4" hidden="1" outlineLevel="1"/>
    <row r="5" hidden="1" outlineLevel="1"/>
    <row r="6" hidden="1" outlineLevel="1"/>
    <row r="7" hidden="1" outlineLevel="1"/>
    <row r="8" hidden="1" outlineLevel="1"/>
    <row r="9" hidden="1" outlineLevel="1"/>
    <row r="10" hidden="1" outlineLevel="1"/>
    <row r="11" hidden="1" outlineLevel="1"/>
    <row r="12" hidden="1" outlineLevel="1"/>
    <row r="13" hidden="1" outlineLevel="1"/>
    <row r="14" hidden="1" outlineLevel="1"/>
    <row r="15" hidden="1" outlineLevel="1"/>
    <row r="16" hidden="1" outlineLevel="1"/>
    <row r="17" hidden="1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hidden="1" outlineLevel="1">
      <c r="B18" s="16" t="s">
        <v>33</v>
      </c>
      <c r="C18" s="358" t="s">
        <v>2339</v>
      </c>
      <c r="D18" s="10"/>
      <c r="E18" s="30" t="s">
        <v>34</v>
      </c>
      <c r="F18" s="30" t="s">
        <v>35</v>
      </c>
      <c r="G18" s="10"/>
      <c r="H18" s="16" t="s">
        <v>33</v>
      </c>
      <c r="I18" s="358" t="s">
        <v>2339</v>
      </c>
      <c r="J18" s="10"/>
      <c r="K18" s="30" t="s">
        <v>34</v>
      </c>
      <c r="L18" s="30" t="s">
        <v>35</v>
      </c>
    </row>
    <row r="19" hidden="1" outlineLevel="1">
      <c r="B19" s="31" t="s">
        <v>22</v>
      </c>
      <c r="C19" s="32">
        <v>40.0</v>
      </c>
      <c r="D19" s="10"/>
      <c r="E19" s="33">
        <f>SUMIF($E$4:$E$17,B19,$F$4:$F$17)</f>
        <v>76</v>
      </c>
      <c r="F19" s="246">
        <f t="shared" ref="F19:F21" si="1">C19-E19</f>
        <v>-36</v>
      </c>
      <c r="G19" s="10"/>
      <c r="H19" s="23" t="s">
        <v>11</v>
      </c>
      <c r="I19" s="36">
        <v>25.0</v>
      </c>
      <c r="J19" s="10"/>
      <c r="K19" s="33">
        <f>SUM(SUMIF($K$4:$K$17, "Argentina",$L$4:$L$17))</f>
        <v>26</v>
      </c>
      <c r="L19" s="33">
        <f t="shared" ref="L19:L23" si="2">I19-K19</f>
        <v>-1</v>
      </c>
    </row>
    <row r="20" hidden="1" outlineLevel="1">
      <c r="B20" s="19" t="s">
        <v>952</v>
      </c>
      <c r="C20" s="32">
        <v>40.0</v>
      </c>
      <c r="D20" s="10"/>
      <c r="E20" s="33">
        <f>SUM(SUMIF($E$4:$E$17,"Dominican Republic",$F$4:$F$17), SUMIF($E$4:$E$17,"Panama",$F$4:$F$17), SUMIF($E$4:$E$17,"Costa Rica",$F$4:$F$17))</f>
        <v>26</v>
      </c>
      <c r="F20" s="246">
        <f t="shared" si="1"/>
        <v>14</v>
      </c>
      <c r="G20" s="10"/>
      <c r="H20" s="22" t="s">
        <v>18</v>
      </c>
      <c r="I20" s="36">
        <v>20.0</v>
      </c>
      <c r="J20" s="10"/>
      <c r="K20" s="33">
        <f>SUMIF($K$4:$K$17, H20,$L$4:$L$17)</f>
        <v>19</v>
      </c>
      <c r="L20" s="33">
        <f t="shared" si="2"/>
        <v>1</v>
      </c>
    </row>
    <row r="21" hidden="1" outlineLevel="1">
      <c r="B21" s="19" t="s">
        <v>953</v>
      </c>
      <c r="C21" s="32">
        <v>40.0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16</v>
      </c>
      <c r="F21" s="246">
        <f t="shared" si="1"/>
        <v>24</v>
      </c>
      <c r="G21" s="10"/>
      <c r="H21" s="23" t="s">
        <v>954</v>
      </c>
      <c r="I21" s="36">
        <v>35.0</v>
      </c>
      <c r="J21" s="10"/>
      <c r="K21" s="33">
        <f>SUM(SUMIF($K$4:$K$17, "Colombia",$L$4:$L$17), SUMIF($K$4:$K$17, "Ecuador",$L$4:$L$17))</f>
        <v>42</v>
      </c>
      <c r="L21" s="33">
        <f t="shared" si="2"/>
        <v>-7</v>
      </c>
    </row>
    <row r="22" hidden="1" outlineLevel="1">
      <c r="D22" s="10"/>
      <c r="E22" s="37" t="s">
        <v>40</v>
      </c>
      <c r="F22" s="38">
        <f>sum(C19:C21)</f>
        <v>120</v>
      </c>
      <c r="G22" s="10"/>
      <c r="H22" s="22" t="s">
        <v>23</v>
      </c>
      <c r="I22" s="36">
        <v>10.0</v>
      </c>
      <c r="J22" s="10"/>
      <c r="K22" s="33">
        <f>SUMIF($K$4:$K$17, "Peru", $L$4:$L$17)</f>
        <v>14</v>
      </c>
      <c r="L22" s="33">
        <f t="shared" si="2"/>
        <v>-4</v>
      </c>
    </row>
    <row r="23" hidden="1" outlineLevel="1">
      <c r="D23" s="10"/>
      <c r="E23" s="37" t="s">
        <v>41</v>
      </c>
      <c r="F23" s="38">
        <f>SUM(F19:F21)</f>
        <v>2</v>
      </c>
      <c r="G23" s="10"/>
      <c r="H23" s="23" t="s">
        <v>2340</v>
      </c>
      <c r="I23" s="36">
        <v>20.0</v>
      </c>
      <c r="J23" s="10"/>
      <c r="K23" s="33">
        <f>SUM(SUMIF($K$4:$K$17, "Bolivia",$L$4:$L$17), SUMIF($K$4:$K$17, "Paraguay",$L$4:$L$17), SUMIF($K$4:$K$17, "Uruguay",$L$4:$L$17))</f>
        <v>7</v>
      </c>
      <c r="L23" s="33">
        <f t="shared" si="2"/>
        <v>13</v>
      </c>
    </row>
    <row r="24" hidden="1" outlineLevel="1">
      <c r="D24" s="10"/>
      <c r="G24" s="10"/>
      <c r="H24" s="10"/>
      <c r="I24" s="10"/>
      <c r="J24" s="10"/>
      <c r="K24" s="37" t="s">
        <v>40</v>
      </c>
      <c r="L24" s="247">
        <f>sum(I19:I23)</f>
        <v>110</v>
      </c>
    </row>
    <row r="25" hidden="1" outlineLevel="1">
      <c r="G25" s="10"/>
      <c r="J25" s="10"/>
      <c r="K25" s="37" t="s">
        <v>41</v>
      </c>
      <c r="L25" s="38">
        <f>SUM(L19:L23)</f>
        <v>2</v>
      </c>
    </row>
    <row r="26" hidden="1" outlineLevel="1">
      <c r="G26" s="10"/>
      <c r="J26" s="10"/>
    </row>
    <row r="27" hidden="1" outlineLevel="1">
      <c r="G27" s="10"/>
    </row>
    <row r="28" hidden="1" outlineLevel="1">
      <c r="G28" s="10"/>
    </row>
    <row r="29" hidden="1" outlineLevel="1">
      <c r="G29" s="10"/>
    </row>
    <row r="30" hidden="1" outlineLevel="1"/>
    <row r="31" hidden="1" outlineLevel="1"/>
    <row r="32" hidden="1" outlineLevel="1"/>
    <row r="33" hidden="1" outlineLevel="1"/>
    <row r="34" hidden="1" outlineLevel="1"/>
    <row r="35" hidden="1" outlineLevel="1"/>
    <row r="36" hidden="1" outlineLevel="1"/>
    <row r="37" collapsed="1">
      <c r="A37" s="359"/>
    </row>
    <row r="38" hidden="1" outlineLevel="1">
      <c r="A38" s="360" t="s">
        <v>2341</v>
      </c>
      <c r="B38" s="9" t="s">
        <v>1</v>
      </c>
      <c r="G38" s="10"/>
      <c r="H38" s="11" t="s">
        <v>2</v>
      </c>
    </row>
    <row r="39" hidden="1" outlineLevel="1"/>
    <row r="40" hidden="1" outlineLevel="1"/>
    <row r="41" hidden="1" outlineLevel="1"/>
    <row r="42" hidden="1" outlineLevel="1"/>
    <row r="43" hidden="1" outlineLevel="1"/>
    <row r="44" hidden="1" outlineLevel="1"/>
    <row r="45" hidden="1" outlineLevel="1"/>
    <row r="46" hidden="1" outlineLevel="1"/>
    <row r="47" hidden="1" outlineLevel="1"/>
    <row r="48" hidden="1" outlineLevel="1"/>
    <row r="49" hidden="1" outlineLevel="1"/>
    <row r="50" hidden="1" outlineLevel="1"/>
    <row r="51" hidden="1" outlineLevel="1"/>
    <row r="52" hidden="1" outlineLevel="1"/>
    <row r="53" hidden="1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hidden="1" outlineLevel="1">
      <c r="B54" s="29" t="s">
        <v>33</v>
      </c>
      <c r="C54" s="361" t="s">
        <v>2345</v>
      </c>
      <c r="D54" s="10"/>
      <c r="E54" s="30" t="s">
        <v>34</v>
      </c>
      <c r="F54" s="30" t="s">
        <v>35</v>
      </c>
      <c r="G54" s="10"/>
      <c r="H54" s="29" t="s">
        <v>33</v>
      </c>
      <c r="I54" s="361" t="s">
        <v>2345</v>
      </c>
      <c r="J54" s="10"/>
      <c r="K54" s="30" t="s">
        <v>34</v>
      </c>
      <c r="L54" s="30" t="s">
        <v>35</v>
      </c>
    </row>
    <row r="55" hidden="1" outlineLevel="1">
      <c r="B55" s="31" t="s">
        <v>22</v>
      </c>
      <c r="C55" s="32">
        <v>20.0</v>
      </c>
      <c r="D55" s="10"/>
      <c r="E55" s="33">
        <f>SUMIF($E$40:$E$53,"Mexico",$F$40:$F$53)</f>
        <v>50</v>
      </c>
      <c r="F55" s="246">
        <f t="shared" ref="F55:F57" si="3">C55-E55</f>
        <v>-30</v>
      </c>
      <c r="G55" s="10"/>
      <c r="H55" s="23" t="s">
        <v>11</v>
      </c>
      <c r="I55" s="36">
        <v>5.0</v>
      </c>
      <c r="J55" s="10"/>
      <c r="K55" s="33">
        <f>SUM(SUMIF($K$40:$K$53, "Argentina",$L$40:$L$53))</f>
        <v>17</v>
      </c>
      <c r="L55" s="33">
        <f t="shared" ref="L55:L59" si="4">I55-K55</f>
        <v>-12</v>
      </c>
    </row>
    <row r="56" hidden="1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9</v>
      </c>
      <c r="F56" s="246">
        <f t="shared" si="3"/>
        <v>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31</v>
      </c>
      <c r="L56" s="33">
        <f t="shared" si="4"/>
        <v>-21</v>
      </c>
    </row>
    <row r="57" hidden="1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</v>
      </c>
      <c r="F57" s="246">
        <f t="shared" si="3"/>
        <v>18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31</v>
      </c>
      <c r="L57" s="33">
        <f t="shared" si="4"/>
        <v>-11</v>
      </c>
    </row>
    <row r="58" hidden="1" outlineLevel="1">
      <c r="D58" s="10"/>
      <c r="E58" s="37" t="s">
        <v>40</v>
      </c>
      <c r="F58" s="38">
        <f>sum(C55:C57)</f>
        <v>60</v>
      </c>
      <c r="G58" s="10"/>
      <c r="H58" s="22" t="s">
        <v>23</v>
      </c>
      <c r="I58" s="36">
        <v>15.0</v>
      </c>
      <c r="J58" s="10"/>
      <c r="K58" s="33">
        <f>SUM(SUMIF($K$40:$K$53, "Peru",$L$40:$L$53))</f>
        <v>17</v>
      </c>
      <c r="L58" s="33">
        <f t="shared" si="4"/>
        <v>-2</v>
      </c>
    </row>
    <row r="59" hidden="1" outlineLevel="1">
      <c r="D59" s="10"/>
      <c r="E59" s="37" t="s">
        <v>41</v>
      </c>
      <c r="F59" s="38">
        <f>SUM(F55:F57)</f>
        <v>-1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5</v>
      </c>
      <c r="L59" s="33">
        <f t="shared" si="4"/>
        <v>5</v>
      </c>
    </row>
    <row r="60" hidden="1" outlineLevel="1">
      <c r="D60" s="10"/>
      <c r="G60" s="10"/>
      <c r="H60" s="10"/>
      <c r="I60" s="10"/>
      <c r="J60" s="10"/>
      <c r="K60" s="37" t="s">
        <v>40</v>
      </c>
      <c r="L60" s="247">
        <f>sum(I55:I59)</f>
        <v>60</v>
      </c>
    </row>
    <row r="61" hidden="1" outlineLevel="1">
      <c r="G61" s="10"/>
      <c r="J61" s="10"/>
      <c r="K61" s="37" t="s">
        <v>41</v>
      </c>
      <c r="L61" s="38">
        <f>SUM(L55:L59)</f>
        <v>-41</v>
      </c>
    </row>
    <row r="62" hidden="1" outlineLevel="1">
      <c r="G62" s="10"/>
      <c r="J62" s="10"/>
    </row>
    <row r="63" hidden="1" outlineLevel="1">
      <c r="G63" s="10"/>
    </row>
    <row r="64" hidden="1" outlineLevel="1">
      <c r="G64" s="10"/>
    </row>
    <row r="65" hidden="1" outlineLevel="1">
      <c r="G65" s="10"/>
    </row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2346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30.0</v>
      </c>
      <c r="D91" s="10"/>
      <c r="E91" s="33">
        <f>SUMIF($E$76:$E$89,"Mexico",$F$76:$F$89)</f>
        <v>45</v>
      </c>
      <c r="F91" s="246">
        <f t="shared" ref="F91:F93" si="5">C91-E91</f>
        <v>-15</v>
      </c>
      <c r="G91" s="10"/>
      <c r="H91" s="23" t="s">
        <v>11</v>
      </c>
      <c r="I91" s="36">
        <v>5.0</v>
      </c>
      <c r="J91" s="10"/>
      <c r="K91" s="33">
        <f>SUM(SUMIF($K$76:$K$89, "Argentina",$L$76:$L$89))</f>
        <v>15</v>
      </c>
      <c r="L91" s="33">
        <f t="shared" ref="L91:L95" si="6">I91-K91</f>
        <v>-10</v>
      </c>
    </row>
    <row r="92" outlineLevel="1">
      <c r="B92" s="19" t="s">
        <v>952</v>
      </c>
      <c r="C92" s="32">
        <v>15.0</v>
      </c>
      <c r="D92" s="10"/>
      <c r="E92" s="33">
        <f>SUM(SUMIF($E$76:$E$89,"Dominican Republic",$F$76:$F$89), SUMIF($E$76:$E$89,"Panama",$F$76:$F$89), SUMIF($E$76:$E$89,"Costa Rica",$F$76:$F$89))</f>
        <v>1</v>
      </c>
      <c r="F92" s="246">
        <f t="shared" si="5"/>
        <v>14</v>
      </c>
      <c r="G92" s="10"/>
      <c r="H92" s="22" t="s">
        <v>18</v>
      </c>
      <c r="I92" s="36">
        <v>10.0</v>
      </c>
      <c r="J92" s="10"/>
      <c r="K92" s="33">
        <f>SUM(SUMIF($K$76:$K$89, "Chile",$L$76:$L$89))</f>
        <v>7</v>
      </c>
      <c r="L92" s="33">
        <f t="shared" si="6"/>
        <v>3</v>
      </c>
    </row>
    <row r="93" outlineLevel="1">
      <c r="B93" s="19" t="s">
        <v>953</v>
      </c>
      <c r="C93" s="32">
        <v>15.0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11</v>
      </c>
      <c r="F93" s="246">
        <f t="shared" si="5"/>
        <v>4</v>
      </c>
      <c r="G93" s="10"/>
      <c r="H93" s="23" t="s">
        <v>954</v>
      </c>
      <c r="I93" s="36">
        <v>20.0</v>
      </c>
      <c r="J93" s="10"/>
      <c r="K93" s="33">
        <f>SUM(SUMIF($K$76:$K$89, "Ecuador",$L$76:$L$89), SUMIF($K$76:$K$89, "Colombia",$L$76:$L$89))</f>
        <v>27</v>
      </c>
      <c r="L93" s="33">
        <f t="shared" si="6"/>
        <v>-7</v>
      </c>
    </row>
    <row r="94" outlineLevel="1">
      <c r="D94" s="10"/>
      <c r="E94" s="37" t="s">
        <v>40</v>
      </c>
      <c r="F94" s="38">
        <f>sum(C91:C93)</f>
        <v>60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3</v>
      </c>
      <c r="G95" s="10"/>
      <c r="H95" s="23" t="s">
        <v>2340</v>
      </c>
      <c r="I95" s="36">
        <v>10.0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10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60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11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2348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30.0</v>
      </c>
      <c r="D127" s="10"/>
      <c r="E127" s="33">
        <f>SUMIF($E$112:$E$125,"Mexico",$F$112:$F$125)</f>
        <v>35</v>
      </c>
      <c r="F127" s="246">
        <f t="shared" ref="F127:F129" si="7">C127-E127</f>
        <v>-5</v>
      </c>
      <c r="G127" s="10"/>
      <c r="H127" s="23" t="s">
        <v>11</v>
      </c>
      <c r="I127" s="36">
        <v>5.0</v>
      </c>
      <c r="J127" s="10"/>
      <c r="K127" s="33">
        <f>SUM(SUMIF($K$112:$K$125, "Argentina",$L$112:$L$125))</f>
        <v>13</v>
      </c>
      <c r="L127" s="33">
        <f t="shared" ref="L127:L131" si="8">I127-K127</f>
        <v>-8</v>
      </c>
    </row>
    <row r="128" outlineLevel="1">
      <c r="B128" s="19" t="s">
        <v>952</v>
      </c>
      <c r="C128" s="32">
        <v>15.0</v>
      </c>
      <c r="D128" s="10"/>
      <c r="E128" s="33">
        <f>SUM(SUMIF($E$112:$E$125,"Dominican Republic",$F$112:$F$125), SUMIF($E$112:$E$125,"Panama",$F$112:$F$125), SUMIF($E$112:$E$125,"Costa Rica",$F$112:$F$125))</f>
        <v>10</v>
      </c>
      <c r="F128" s="246">
        <f t="shared" si="7"/>
        <v>5</v>
      </c>
      <c r="G128" s="10"/>
      <c r="H128" s="22" t="s">
        <v>18</v>
      </c>
      <c r="I128" s="36">
        <v>10.0</v>
      </c>
      <c r="J128" s="10"/>
      <c r="K128" s="33">
        <f>SUM(SUMIF($K$112:$K$125, "Chile",$L$112:$L$125))</f>
        <v>2</v>
      </c>
      <c r="L128" s="33">
        <f t="shared" si="8"/>
        <v>8</v>
      </c>
    </row>
    <row r="129" outlineLevel="1">
      <c r="B129" s="19" t="s">
        <v>953</v>
      </c>
      <c r="C129" s="32">
        <v>15.0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6</v>
      </c>
      <c r="F129" s="246">
        <f t="shared" si="7"/>
        <v>9</v>
      </c>
      <c r="G129" s="10"/>
      <c r="H129" s="23" t="s">
        <v>954</v>
      </c>
      <c r="I129" s="36">
        <v>20.0</v>
      </c>
      <c r="J129" s="10"/>
      <c r="K129" s="33">
        <f>SUM(SUMIF($K$112:$K$125, "Ecuador",$L$112:$L$125), SUMIF($K$112:$K$125, "Colombia",$L$112:$L$125))</f>
        <v>17</v>
      </c>
      <c r="L129" s="33">
        <f t="shared" si="8"/>
        <v>3</v>
      </c>
    </row>
    <row r="130" outlineLevel="1">
      <c r="D130" s="10"/>
      <c r="E130" s="37" t="s">
        <v>40</v>
      </c>
      <c r="F130" s="38">
        <f>sum(C127:C129)</f>
        <v>60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4</v>
      </c>
      <c r="L130" s="33">
        <f t="shared" si="8"/>
        <v>11</v>
      </c>
    </row>
    <row r="131" outlineLevel="1">
      <c r="D131" s="10"/>
      <c r="E131" s="37" t="s">
        <v>41</v>
      </c>
      <c r="F131" s="38">
        <f>SUM(F127:F129)</f>
        <v>9</v>
      </c>
      <c r="G131" s="10"/>
      <c r="H131" s="23" t="s">
        <v>37</v>
      </c>
      <c r="I131" s="36">
        <v>10.0</v>
      </c>
      <c r="J131" s="10"/>
      <c r="K131" s="33">
        <f>SUM(SUMIF($K$112:$K$125, "Bolivia",$L$112:$L$125), SUMIF($K$112:$K$125, "Paraguay",$L$112:$L$125), SUMIF($K$112:$K$125, "Uruguay",$L$112:$L$125))</f>
        <v>10</v>
      </c>
      <c r="L131" s="33">
        <f t="shared" si="8"/>
        <v>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60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14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2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ustomWidth="1" min="49" max="49" width="6.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314">
        <v>46141.0</v>
      </c>
      <c r="C2" s="302" t="s">
        <v>2350</v>
      </c>
      <c r="D2" s="277" t="s">
        <v>2351</v>
      </c>
      <c r="E2" s="303" t="s">
        <v>22</v>
      </c>
      <c r="F2" s="303" t="s">
        <v>14</v>
      </c>
      <c r="G2" s="290"/>
      <c r="H2" s="281" t="b">
        <v>1</v>
      </c>
      <c r="J2" s="270">
        <v>46146.0</v>
      </c>
      <c r="K2" s="109" t="s">
        <v>2352</v>
      </c>
      <c r="L2" s="109" t="s">
        <v>2353</v>
      </c>
      <c r="M2" s="271" t="s">
        <v>11</v>
      </c>
      <c r="N2" s="271" t="s">
        <v>14</v>
      </c>
      <c r="O2" s="61"/>
      <c r="P2" s="269"/>
      <c r="R2" s="369">
        <v>46154.0</v>
      </c>
      <c r="S2" s="326" t="s">
        <v>2354</v>
      </c>
      <c r="T2" s="326" t="s">
        <v>2355</v>
      </c>
      <c r="U2" s="370" t="s">
        <v>22</v>
      </c>
      <c r="V2" s="370" t="s">
        <v>12</v>
      </c>
      <c r="W2" s="195"/>
      <c r="X2" s="371" t="b">
        <v>1</v>
      </c>
      <c r="Z2" s="270">
        <v>46154.0</v>
      </c>
      <c r="AA2" s="109" t="s">
        <v>2356</v>
      </c>
      <c r="AB2" s="109" t="s">
        <v>2357</v>
      </c>
      <c r="AC2" s="271"/>
      <c r="AD2" s="58" t="s">
        <v>2337</v>
      </c>
      <c r="AE2" s="109" t="s">
        <v>2253</v>
      </c>
      <c r="AF2" s="269"/>
      <c r="AH2" s="372">
        <v>46163.0</v>
      </c>
      <c r="AI2" s="373" t="s">
        <v>2358</v>
      </c>
      <c r="AJ2" s="373" t="s">
        <v>2359</v>
      </c>
      <c r="AK2" s="374" t="s">
        <v>16</v>
      </c>
      <c r="AL2" s="374" t="s">
        <v>9</v>
      </c>
      <c r="AM2" s="375"/>
      <c r="AN2" s="269" t="b">
        <v>1</v>
      </c>
      <c r="AP2" s="270">
        <v>46162.0</v>
      </c>
      <c r="AQ2" s="109" t="s">
        <v>2360</v>
      </c>
      <c r="AR2" s="297" t="s">
        <v>2361</v>
      </c>
      <c r="AS2" s="58" t="s">
        <v>27</v>
      </c>
      <c r="AT2" s="58" t="s">
        <v>20</v>
      </c>
      <c r="AU2" s="109"/>
      <c r="AV2" s="269" t="b">
        <v>1</v>
      </c>
      <c r="AX2" s="372">
        <v>46168.0</v>
      </c>
      <c r="AY2" s="312" t="s">
        <v>2362</v>
      </c>
      <c r="AZ2" s="373" t="s">
        <v>2363</v>
      </c>
      <c r="BA2" s="376" t="s">
        <v>10</v>
      </c>
      <c r="BB2" s="376" t="s">
        <v>958</v>
      </c>
      <c r="BC2" s="61"/>
      <c r="BD2" s="269" t="b">
        <v>1</v>
      </c>
      <c r="BF2" s="270">
        <v>46169.0</v>
      </c>
      <c r="BG2" s="109" t="s">
        <v>2364</v>
      </c>
      <c r="BH2" s="109" t="s">
        <v>2365</v>
      </c>
      <c r="BI2" s="58" t="s">
        <v>23</v>
      </c>
      <c r="BJ2" s="58" t="s">
        <v>28</v>
      </c>
      <c r="BK2" s="109"/>
      <c r="BL2" s="269" t="b">
        <v>1</v>
      </c>
    </row>
    <row r="3" ht="22.5" customHeight="1">
      <c r="A3" s="368"/>
      <c r="B3" s="314">
        <v>46141.0</v>
      </c>
      <c r="C3" s="302" t="s">
        <v>2366</v>
      </c>
      <c r="D3" s="277" t="s">
        <v>2367</v>
      </c>
      <c r="E3" s="303" t="s">
        <v>22</v>
      </c>
      <c r="F3" s="303" t="s">
        <v>14</v>
      </c>
      <c r="G3" s="290"/>
      <c r="H3" s="281" t="b">
        <v>1</v>
      </c>
      <c r="J3" s="270">
        <v>46146.0</v>
      </c>
      <c r="K3" s="109" t="s">
        <v>2368</v>
      </c>
      <c r="L3" s="109" t="s">
        <v>2369</v>
      </c>
      <c r="M3" s="271" t="s">
        <v>11</v>
      </c>
      <c r="N3" s="271" t="s">
        <v>20</v>
      </c>
      <c r="O3" s="377" t="s">
        <v>2370</v>
      </c>
      <c r="P3" s="269" t="b">
        <v>1</v>
      </c>
      <c r="R3" s="369">
        <v>46154.0</v>
      </c>
      <c r="S3" s="326" t="s">
        <v>2371</v>
      </c>
      <c r="T3" s="326" t="s">
        <v>2372</v>
      </c>
      <c r="U3" s="370" t="s">
        <v>22</v>
      </c>
      <c r="V3" s="370" t="s">
        <v>12</v>
      </c>
      <c r="W3" s="195"/>
      <c r="X3" s="371" t="b">
        <v>1</v>
      </c>
      <c r="Z3" s="270">
        <v>46154.0</v>
      </c>
      <c r="AA3" s="109" t="s">
        <v>2373</v>
      </c>
      <c r="AB3" s="297" t="s">
        <v>2374</v>
      </c>
      <c r="AC3" s="58"/>
      <c r="AD3" s="58" t="s">
        <v>2337</v>
      </c>
      <c r="AE3" s="109" t="s">
        <v>2375</v>
      </c>
      <c r="AF3" s="298"/>
      <c r="AH3" s="372">
        <v>46163.0</v>
      </c>
      <c r="AI3" s="378" t="s">
        <v>2376</v>
      </c>
      <c r="AJ3" s="373" t="s">
        <v>2377</v>
      </c>
      <c r="AK3" s="376" t="s">
        <v>22</v>
      </c>
      <c r="AL3" s="376" t="s">
        <v>9</v>
      </c>
      <c r="AM3" s="61"/>
      <c r="AN3" s="269" t="b">
        <v>1</v>
      </c>
      <c r="AP3" s="270">
        <v>46162.0</v>
      </c>
      <c r="AQ3" s="109" t="s">
        <v>2378</v>
      </c>
      <c r="AR3" s="109" t="s">
        <v>2379</v>
      </c>
      <c r="AS3" s="271" t="s">
        <v>27</v>
      </c>
      <c r="AT3" s="58" t="s">
        <v>20</v>
      </c>
      <c r="AU3" s="61"/>
      <c r="AV3" s="269" t="b">
        <v>1</v>
      </c>
      <c r="AX3" s="379">
        <v>46168.0</v>
      </c>
      <c r="AY3" s="312" t="s">
        <v>2380</v>
      </c>
      <c r="AZ3" s="373" t="s">
        <v>2381</v>
      </c>
      <c r="BA3" s="58" t="s">
        <v>44</v>
      </c>
      <c r="BB3" s="58" t="s">
        <v>958</v>
      </c>
      <c r="BC3" s="61"/>
      <c r="BD3" s="269" t="b">
        <v>1</v>
      </c>
      <c r="BF3" s="380">
        <v>46169.0</v>
      </c>
      <c r="BG3" s="294" t="s">
        <v>2382</v>
      </c>
      <c r="BH3" s="294" t="s">
        <v>2383</v>
      </c>
      <c r="BI3" s="381" t="s">
        <v>25</v>
      </c>
      <c r="BJ3" s="295" t="s">
        <v>2338</v>
      </c>
      <c r="BK3" s="61"/>
      <c r="BL3" s="269" t="b">
        <v>1</v>
      </c>
    </row>
    <row r="4" ht="22.5" customHeight="1">
      <c r="A4" s="368"/>
      <c r="B4" s="314">
        <v>46142.0</v>
      </c>
      <c r="C4" s="302" t="s">
        <v>2384</v>
      </c>
      <c r="D4" s="277" t="s">
        <v>2385</v>
      </c>
      <c r="E4" s="303" t="s">
        <v>22</v>
      </c>
      <c r="F4" s="303" t="s">
        <v>9</v>
      </c>
      <c r="G4" s="290"/>
      <c r="H4" s="281" t="b">
        <v>1</v>
      </c>
      <c r="J4" s="270">
        <v>46146.0</v>
      </c>
      <c r="K4" s="109" t="s">
        <v>2386</v>
      </c>
      <c r="L4" s="109" t="s">
        <v>2387</v>
      </c>
      <c r="M4" s="271" t="s">
        <v>11</v>
      </c>
      <c r="N4" s="271" t="s">
        <v>20</v>
      </c>
      <c r="O4" s="377" t="s">
        <v>2370</v>
      </c>
      <c r="P4" s="269" t="b">
        <v>1</v>
      </c>
      <c r="R4" s="369">
        <v>46154.0</v>
      </c>
      <c r="S4" s="326" t="s">
        <v>2388</v>
      </c>
      <c r="T4" s="326" t="s">
        <v>2389</v>
      </c>
      <c r="U4" s="370" t="s">
        <v>22</v>
      </c>
      <c r="V4" s="370" t="s">
        <v>12</v>
      </c>
      <c r="W4" s="195"/>
      <c r="X4" s="371" t="b">
        <v>1</v>
      </c>
      <c r="Z4" s="270">
        <v>46154.0</v>
      </c>
      <c r="AA4" s="109" t="s">
        <v>2390</v>
      </c>
      <c r="AB4" s="109" t="s">
        <v>2391</v>
      </c>
      <c r="AC4" s="271" t="s">
        <v>23</v>
      </c>
      <c r="AD4" s="58" t="s">
        <v>17</v>
      </c>
      <c r="AE4" s="61"/>
      <c r="AF4" s="269" t="b">
        <v>1</v>
      </c>
      <c r="AH4" s="379">
        <v>46163.0</v>
      </c>
      <c r="AI4" s="109" t="s">
        <v>2392</v>
      </c>
      <c r="AJ4" s="373" t="s">
        <v>2393</v>
      </c>
      <c r="AK4" s="58" t="s">
        <v>22</v>
      </c>
      <c r="AL4" s="58" t="s">
        <v>28</v>
      </c>
      <c r="AM4" s="61"/>
      <c r="AN4" s="269" t="b">
        <v>0</v>
      </c>
      <c r="AP4" s="270">
        <v>46162.0</v>
      </c>
      <c r="AQ4" s="109" t="s">
        <v>2394</v>
      </c>
      <c r="AR4" s="109" t="s">
        <v>2395</v>
      </c>
      <c r="AS4" s="58" t="s">
        <v>27</v>
      </c>
      <c r="AT4" s="58" t="s">
        <v>20</v>
      </c>
      <c r="AU4" s="109"/>
      <c r="AV4" s="269" t="b">
        <v>1</v>
      </c>
      <c r="AX4" s="379">
        <v>46168.0</v>
      </c>
      <c r="AY4" s="312" t="s">
        <v>2396</v>
      </c>
      <c r="AZ4" s="373" t="s">
        <v>2397</v>
      </c>
      <c r="BA4" s="58" t="s">
        <v>44</v>
      </c>
      <c r="BB4" s="58" t="s">
        <v>958</v>
      </c>
      <c r="BC4" s="61"/>
      <c r="BD4" s="269" t="b">
        <v>1</v>
      </c>
      <c r="BF4" s="382">
        <v>46169.0</v>
      </c>
      <c r="BG4" s="273" t="s">
        <v>2398</v>
      </c>
      <c r="BH4" s="273" t="s">
        <v>2399</v>
      </c>
      <c r="BI4" s="383" t="s">
        <v>21</v>
      </c>
      <c r="BJ4" s="274" t="s">
        <v>2338</v>
      </c>
      <c r="BK4" s="109"/>
      <c r="BL4" s="269" t="b">
        <v>1</v>
      </c>
    </row>
    <row r="5" ht="22.5" customHeight="1">
      <c r="A5" s="368"/>
      <c r="B5" s="314">
        <v>46142.0</v>
      </c>
      <c r="C5" s="302" t="s">
        <v>2400</v>
      </c>
      <c r="D5" s="277" t="s">
        <v>2401</v>
      </c>
      <c r="E5" s="303" t="s">
        <v>10</v>
      </c>
      <c r="F5" s="303" t="s">
        <v>9</v>
      </c>
      <c r="G5" s="290"/>
      <c r="H5" s="281" t="b">
        <v>1</v>
      </c>
      <c r="J5" s="270">
        <v>46146.0</v>
      </c>
      <c r="K5" s="109" t="s">
        <v>2402</v>
      </c>
      <c r="L5" s="109" t="s">
        <v>2403</v>
      </c>
      <c r="M5" s="271" t="s">
        <v>11</v>
      </c>
      <c r="N5" s="271" t="s">
        <v>20</v>
      </c>
      <c r="O5" s="377" t="s">
        <v>2370</v>
      </c>
      <c r="P5" s="269" t="b">
        <v>1</v>
      </c>
      <c r="R5" s="369">
        <v>46154.0</v>
      </c>
      <c r="S5" s="326" t="s">
        <v>2404</v>
      </c>
      <c r="T5" s="326" t="s">
        <v>2405</v>
      </c>
      <c r="U5" s="370" t="s">
        <v>22</v>
      </c>
      <c r="V5" s="370" t="s">
        <v>12</v>
      </c>
      <c r="W5" s="195"/>
      <c r="X5" s="371" t="b">
        <v>1</v>
      </c>
      <c r="Z5" s="270">
        <v>46154.0</v>
      </c>
      <c r="AA5" s="109" t="s">
        <v>2406</v>
      </c>
      <c r="AB5" s="109" t="s">
        <v>2407</v>
      </c>
      <c r="AC5" s="58" t="s">
        <v>23</v>
      </c>
      <c r="AD5" s="58" t="s">
        <v>2337</v>
      </c>
      <c r="AE5" s="109"/>
      <c r="AF5" s="269" t="b">
        <v>1</v>
      </c>
      <c r="AH5" s="372">
        <v>46163.0</v>
      </c>
      <c r="AI5" s="109" t="s">
        <v>2408</v>
      </c>
      <c r="AJ5" s="373" t="s">
        <v>2409</v>
      </c>
      <c r="AK5" s="58" t="s">
        <v>13</v>
      </c>
      <c r="AL5" s="58" t="s">
        <v>9</v>
      </c>
      <c r="AM5" s="61"/>
      <c r="AN5" s="269" t="b">
        <v>1</v>
      </c>
      <c r="AP5" s="270">
        <v>46162.0</v>
      </c>
      <c r="AQ5" s="384" t="s">
        <v>2410</v>
      </c>
      <c r="AR5" s="109" t="s">
        <v>2411</v>
      </c>
      <c r="AS5" s="58" t="s">
        <v>27</v>
      </c>
      <c r="AT5" s="58" t="s">
        <v>20</v>
      </c>
      <c r="AU5" s="61"/>
      <c r="AV5" s="269" t="b">
        <v>1</v>
      </c>
      <c r="AX5" s="379">
        <v>46168.0</v>
      </c>
      <c r="AY5" s="312" t="s">
        <v>2412</v>
      </c>
      <c r="AZ5" s="373" t="s">
        <v>2413</v>
      </c>
      <c r="BA5" s="58" t="s">
        <v>44</v>
      </c>
      <c r="BB5" s="58" t="s">
        <v>958</v>
      </c>
      <c r="BC5" s="61"/>
      <c r="BD5" s="269" t="b">
        <v>1</v>
      </c>
      <c r="BF5" s="380">
        <v>46169.0</v>
      </c>
      <c r="BG5" s="294" t="s">
        <v>2414</v>
      </c>
      <c r="BH5" s="294" t="s">
        <v>2415</v>
      </c>
      <c r="BI5" s="381"/>
      <c r="BJ5" s="295" t="s">
        <v>2338</v>
      </c>
      <c r="BK5" s="109" t="s">
        <v>982</v>
      </c>
      <c r="BL5" s="298"/>
    </row>
    <row r="6" ht="22.5" customHeight="1">
      <c r="A6" s="368"/>
      <c r="B6" s="314">
        <v>46142.0</v>
      </c>
      <c r="C6" s="302" t="s">
        <v>2416</v>
      </c>
      <c r="D6" s="277" t="s">
        <v>2417</v>
      </c>
      <c r="E6" s="303" t="s">
        <v>22</v>
      </c>
      <c r="F6" s="303" t="s">
        <v>20</v>
      </c>
      <c r="G6" s="290"/>
      <c r="H6" s="281" t="b">
        <v>1</v>
      </c>
      <c r="J6" s="270">
        <v>46146.0</v>
      </c>
      <c r="K6" s="109" t="s">
        <v>2418</v>
      </c>
      <c r="L6" s="109" t="s">
        <v>2419</v>
      </c>
      <c r="M6" s="271" t="s">
        <v>11</v>
      </c>
      <c r="N6" s="271" t="s">
        <v>20</v>
      </c>
      <c r="O6" s="377" t="s">
        <v>2370</v>
      </c>
      <c r="P6" s="269" t="b">
        <v>1</v>
      </c>
      <c r="R6" s="369">
        <v>46154.0</v>
      </c>
      <c r="S6" s="326" t="s">
        <v>2420</v>
      </c>
      <c r="T6" s="326" t="s">
        <v>2421</v>
      </c>
      <c r="U6" s="385"/>
      <c r="V6" s="370" t="s">
        <v>12</v>
      </c>
      <c r="W6" s="326" t="s">
        <v>2422</v>
      </c>
      <c r="X6" s="386"/>
      <c r="Z6" s="270">
        <v>46154.0</v>
      </c>
      <c r="AA6" s="384" t="s">
        <v>2423</v>
      </c>
      <c r="AB6" s="109" t="s">
        <v>2424</v>
      </c>
      <c r="AC6" s="58" t="s">
        <v>23</v>
      </c>
      <c r="AD6" s="58" t="s">
        <v>28</v>
      </c>
      <c r="AE6" s="61"/>
      <c r="AF6" s="269" t="b">
        <v>0</v>
      </c>
      <c r="AH6" s="379">
        <v>46163.0</v>
      </c>
      <c r="AI6" s="312" t="s">
        <v>2425</v>
      </c>
      <c r="AJ6" s="347" t="s">
        <v>2426</v>
      </c>
      <c r="AK6" s="58" t="s">
        <v>22</v>
      </c>
      <c r="AL6" s="58" t="s">
        <v>958</v>
      </c>
      <c r="AM6" s="109" t="s">
        <v>2427</v>
      </c>
      <c r="AN6" s="269"/>
      <c r="AP6" s="270">
        <v>46162.0</v>
      </c>
      <c r="AQ6" s="384" t="s">
        <v>2428</v>
      </c>
      <c r="AR6" s="109" t="s">
        <v>2429</v>
      </c>
      <c r="AS6" s="58" t="s">
        <v>11</v>
      </c>
      <c r="AT6" s="58" t="s">
        <v>20</v>
      </c>
      <c r="AU6" s="109"/>
      <c r="AV6" s="269" t="b">
        <v>1</v>
      </c>
      <c r="AX6" s="379">
        <v>46168.0</v>
      </c>
      <c r="AY6" s="312" t="s">
        <v>2430</v>
      </c>
      <c r="AZ6" s="373" t="s">
        <v>2431</v>
      </c>
      <c r="BA6" s="58"/>
      <c r="BB6" s="58" t="s">
        <v>958</v>
      </c>
      <c r="BC6" s="109" t="s">
        <v>2432</v>
      </c>
      <c r="BD6" s="269"/>
      <c r="BF6" s="270">
        <v>46169.0</v>
      </c>
      <c r="BG6" s="384" t="s">
        <v>2433</v>
      </c>
      <c r="BH6" s="109" t="s">
        <v>2434</v>
      </c>
      <c r="BI6" s="58" t="s">
        <v>23</v>
      </c>
      <c r="BJ6" s="58" t="s">
        <v>20</v>
      </c>
      <c r="BK6" s="109"/>
      <c r="BL6" s="269" t="b">
        <v>1</v>
      </c>
    </row>
    <row r="7" ht="22.5" customHeight="1">
      <c r="A7" s="368"/>
      <c r="B7" s="314">
        <v>46142.0</v>
      </c>
      <c r="C7" s="302" t="s">
        <v>2435</v>
      </c>
      <c r="D7" s="277" t="s">
        <v>2436</v>
      </c>
      <c r="E7" s="303" t="s">
        <v>22</v>
      </c>
      <c r="F7" s="303" t="s">
        <v>20</v>
      </c>
      <c r="G7" s="290"/>
      <c r="H7" s="281" t="b">
        <v>1</v>
      </c>
      <c r="J7" s="270">
        <v>46146.0</v>
      </c>
      <c r="K7" s="109" t="s">
        <v>2437</v>
      </c>
      <c r="L7" s="109" t="s">
        <v>2438</v>
      </c>
      <c r="M7" s="271" t="s">
        <v>11</v>
      </c>
      <c r="N7" s="271" t="s">
        <v>20</v>
      </c>
      <c r="O7" s="377" t="s">
        <v>2370</v>
      </c>
      <c r="P7" s="269" t="b">
        <v>1</v>
      </c>
      <c r="R7" s="369">
        <v>46154.0</v>
      </c>
      <c r="S7" s="326" t="s">
        <v>2439</v>
      </c>
      <c r="T7" s="326" t="s">
        <v>2440</v>
      </c>
      <c r="U7" s="370" t="s">
        <v>22</v>
      </c>
      <c r="V7" s="370" t="s">
        <v>12</v>
      </c>
      <c r="W7" s="195"/>
      <c r="X7" s="371" t="b">
        <v>1</v>
      </c>
      <c r="Z7" s="270">
        <v>46153.0</v>
      </c>
      <c r="AA7" s="384" t="s">
        <v>2441</v>
      </c>
      <c r="AB7" s="109" t="s">
        <v>2442</v>
      </c>
      <c r="AC7" s="58" t="s">
        <v>30</v>
      </c>
      <c r="AD7" s="58" t="s">
        <v>2337</v>
      </c>
      <c r="AE7" s="109"/>
      <c r="AF7" s="269" t="b">
        <v>1</v>
      </c>
      <c r="AH7" s="379">
        <v>46163.0</v>
      </c>
      <c r="AI7" s="312" t="s">
        <v>2443</v>
      </c>
      <c r="AJ7" s="387" t="s">
        <v>2444</v>
      </c>
      <c r="AK7" s="58" t="s">
        <v>22</v>
      </c>
      <c r="AL7" s="58" t="s">
        <v>12</v>
      </c>
      <c r="AM7" s="61"/>
      <c r="AN7" s="269" t="b">
        <v>1</v>
      </c>
      <c r="AP7" s="270">
        <v>46162.0</v>
      </c>
      <c r="AQ7" s="109" t="s">
        <v>2445</v>
      </c>
      <c r="AR7" s="109" t="s">
        <v>2446</v>
      </c>
      <c r="AS7" s="58" t="s">
        <v>11</v>
      </c>
      <c r="AT7" s="58" t="s">
        <v>20</v>
      </c>
      <c r="AU7" s="109"/>
      <c r="AV7" s="269" t="b">
        <v>1</v>
      </c>
      <c r="AX7" s="379">
        <v>46168.0</v>
      </c>
      <c r="AY7" s="312" t="s">
        <v>2447</v>
      </c>
      <c r="AZ7" s="373" t="s">
        <v>2448</v>
      </c>
      <c r="BA7" s="58" t="s">
        <v>22</v>
      </c>
      <c r="BB7" s="58" t="s">
        <v>28</v>
      </c>
      <c r="BC7" s="61"/>
      <c r="BD7" s="269" t="b">
        <v>1</v>
      </c>
      <c r="BF7" s="270">
        <v>46169.0</v>
      </c>
      <c r="BG7" s="109" t="s">
        <v>2449</v>
      </c>
      <c r="BH7" s="109" t="s">
        <v>2450</v>
      </c>
      <c r="BI7" s="58" t="s">
        <v>23</v>
      </c>
      <c r="BJ7" s="58" t="s">
        <v>20</v>
      </c>
      <c r="BK7" s="109"/>
      <c r="BL7" s="269" t="b">
        <v>1</v>
      </c>
    </row>
    <row r="8" ht="22.5" customHeight="1">
      <c r="A8" s="368"/>
      <c r="B8" s="314">
        <v>46142.0</v>
      </c>
      <c r="C8" s="302" t="s">
        <v>2451</v>
      </c>
      <c r="D8" s="277" t="s">
        <v>2452</v>
      </c>
      <c r="E8" s="303" t="s">
        <v>22</v>
      </c>
      <c r="F8" s="303" t="s">
        <v>20</v>
      </c>
      <c r="G8" s="290"/>
      <c r="H8" s="281" t="b">
        <v>1</v>
      </c>
      <c r="J8" s="270">
        <v>46146.0</v>
      </c>
      <c r="K8" s="109" t="s">
        <v>2453</v>
      </c>
      <c r="L8" s="109" t="s">
        <v>2454</v>
      </c>
      <c r="M8" s="271" t="s">
        <v>11</v>
      </c>
      <c r="N8" s="271" t="s">
        <v>20</v>
      </c>
      <c r="O8" s="377" t="s">
        <v>2455</v>
      </c>
      <c r="P8" s="269" t="b">
        <v>1</v>
      </c>
      <c r="R8" s="314">
        <v>46141.0</v>
      </c>
      <c r="S8" s="302" t="s">
        <v>2456</v>
      </c>
      <c r="T8" s="388" t="s">
        <v>2457</v>
      </c>
      <c r="U8" s="303" t="s">
        <v>10</v>
      </c>
      <c r="V8" s="303" t="s">
        <v>12</v>
      </c>
      <c r="W8" s="302"/>
      <c r="X8" s="281" t="b">
        <v>1</v>
      </c>
      <c r="Z8" s="270">
        <v>46154.0</v>
      </c>
      <c r="AA8" s="109" t="s">
        <v>2458</v>
      </c>
      <c r="AB8" s="109" t="s">
        <v>2459</v>
      </c>
      <c r="AC8" s="58" t="s">
        <v>23</v>
      </c>
      <c r="AD8" s="58" t="s">
        <v>20</v>
      </c>
      <c r="AE8" s="61"/>
      <c r="AF8" s="269" t="b">
        <v>1</v>
      </c>
      <c r="AH8" s="379">
        <v>46163.0</v>
      </c>
      <c r="AI8" s="109" t="s">
        <v>2460</v>
      </c>
      <c r="AJ8" s="373" t="s">
        <v>2461</v>
      </c>
      <c r="AK8" s="58" t="s">
        <v>22</v>
      </c>
      <c r="AL8" s="58" t="s">
        <v>12</v>
      </c>
      <c r="AM8" s="61"/>
      <c r="AN8" s="269" t="b">
        <v>1</v>
      </c>
      <c r="AP8" s="270">
        <v>46162.0</v>
      </c>
      <c r="AQ8" s="109" t="s">
        <v>2462</v>
      </c>
      <c r="AR8" s="109" t="s">
        <v>2463</v>
      </c>
      <c r="AS8" s="58" t="s">
        <v>11</v>
      </c>
      <c r="AT8" s="58" t="s">
        <v>20</v>
      </c>
      <c r="AU8" s="61"/>
      <c r="AV8" s="269" t="b">
        <v>1</v>
      </c>
      <c r="AX8" s="379">
        <v>46168.0</v>
      </c>
      <c r="AY8" s="109" t="s">
        <v>2464</v>
      </c>
      <c r="AZ8" s="373" t="s">
        <v>2465</v>
      </c>
      <c r="BA8" s="58" t="s">
        <v>22</v>
      </c>
      <c r="BB8" s="58" t="s">
        <v>28</v>
      </c>
      <c r="BC8" s="61"/>
      <c r="BD8" s="269" t="b">
        <v>1</v>
      </c>
      <c r="BF8" s="270">
        <v>46169.0</v>
      </c>
      <c r="BG8" s="109" t="s">
        <v>2466</v>
      </c>
      <c r="BH8" s="109" t="s">
        <v>2467</v>
      </c>
      <c r="BI8" s="58" t="s">
        <v>27</v>
      </c>
      <c r="BJ8" s="58" t="s">
        <v>20</v>
      </c>
      <c r="BK8" s="61"/>
      <c r="BL8" s="269" t="b">
        <v>1</v>
      </c>
    </row>
    <row r="9" ht="22.5" customHeight="1">
      <c r="A9" s="368"/>
      <c r="B9" s="314">
        <v>46142.0</v>
      </c>
      <c r="C9" s="302" t="s">
        <v>2468</v>
      </c>
      <c r="D9" s="277" t="s">
        <v>2469</v>
      </c>
      <c r="E9" s="303" t="s">
        <v>22</v>
      </c>
      <c r="F9" s="303" t="s">
        <v>20</v>
      </c>
      <c r="G9" s="290"/>
      <c r="H9" s="281" t="b">
        <v>1</v>
      </c>
      <c r="J9" s="270">
        <v>46146.0</v>
      </c>
      <c r="K9" s="109" t="s">
        <v>2470</v>
      </c>
      <c r="L9" s="109" t="s">
        <v>2471</v>
      </c>
      <c r="M9" s="58" t="s">
        <v>11</v>
      </c>
      <c r="N9" s="58" t="s">
        <v>20</v>
      </c>
      <c r="O9" s="377" t="s">
        <v>2370</v>
      </c>
      <c r="P9" s="269" t="b">
        <v>1</v>
      </c>
      <c r="R9" s="389">
        <v>46155.0</v>
      </c>
      <c r="S9" s="390" t="s">
        <v>2472</v>
      </c>
      <c r="T9" s="294" t="s">
        <v>2473</v>
      </c>
      <c r="U9" s="391"/>
      <c r="V9" s="296" t="s">
        <v>2344</v>
      </c>
      <c r="W9" s="109" t="s">
        <v>2474</v>
      </c>
      <c r="X9" s="269"/>
      <c r="Z9" s="270">
        <v>46154.0</v>
      </c>
      <c r="AA9" s="109" t="s">
        <v>2475</v>
      </c>
      <c r="AB9" s="109" t="s">
        <v>2476</v>
      </c>
      <c r="AC9" s="58" t="s">
        <v>23</v>
      </c>
      <c r="AD9" s="58" t="s">
        <v>20</v>
      </c>
      <c r="AE9" s="61"/>
      <c r="AF9" s="269" t="b">
        <v>1</v>
      </c>
      <c r="AH9" s="379">
        <v>46163.0</v>
      </c>
      <c r="AI9" s="109" t="s">
        <v>2477</v>
      </c>
      <c r="AJ9" s="373" t="s">
        <v>2478</v>
      </c>
      <c r="AK9" s="58" t="s">
        <v>22</v>
      </c>
      <c r="AL9" s="58" t="s">
        <v>28</v>
      </c>
      <c r="AM9" s="61"/>
      <c r="AN9" s="269"/>
      <c r="AP9" s="270">
        <v>46162.0</v>
      </c>
      <c r="AQ9" s="109" t="s">
        <v>2479</v>
      </c>
      <c r="AR9" s="109" t="s">
        <v>2480</v>
      </c>
      <c r="AS9" s="58" t="s">
        <v>11</v>
      </c>
      <c r="AT9" s="58" t="s">
        <v>20</v>
      </c>
      <c r="AU9" s="61"/>
      <c r="AV9" s="269" t="b">
        <v>1</v>
      </c>
      <c r="AX9" s="379">
        <v>46168.0</v>
      </c>
      <c r="AY9" s="312" t="s">
        <v>2481</v>
      </c>
      <c r="AZ9" s="392" t="s">
        <v>2482</v>
      </c>
      <c r="BA9" s="58" t="s">
        <v>44</v>
      </c>
      <c r="BB9" s="58" t="s">
        <v>958</v>
      </c>
      <c r="BC9" s="61"/>
      <c r="BD9" s="269" t="b">
        <v>1</v>
      </c>
      <c r="BF9" s="270">
        <v>46169.0</v>
      </c>
      <c r="BG9" s="109" t="s">
        <v>421</v>
      </c>
      <c r="BH9" s="109" t="s">
        <v>422</v>
      </c>
      <c r="BI9" s="58" t="s">
        <v>11</v>
      </c>
      <c r="BJ9" s="58" t="s">
        <v>20</v>
      </c>
      <c r="BK9" s="61"/>
      <c r="BL9" s="269" t="b">
        <v>1</v>
      </c>
    </row>
    <row r="10" ht="22.5" customHeight="1">
      <c r="A10" s="368"/>
      <c r="B10" s="314">
        <v>46142.0</v>
      </c>
      <c r="C10" s="302" t="s">
        <v>2483</v>
      </c>
      <c r="D10" s="277" t="s">
        <v>2484</v>
      </c>
      <c r="E10" s="303" t="s">
        <v>22</v>
      </c>
      <c r="F10" s="303" t="s">
        <v>20</v>
      </c>
      <c r="G10" s="290"/>
      <c r="H10" s="281" t="b">
        <v>1</v>
      </c>
      <c r="J10" s="270">
        <v>46146.0</v>
      </c>
      <c r="K10" s="109" t="s">
        <v>2485</v>
      </c>
      <c r="L10" s="109" t="s">
        <v>2486</v>
      </c>
      <c r="M10" s="58" t="s">
        <v>11</v>
      </c>
      <c r="N10" s="58" t="s">
        <v>20</v>
      </c>
      <c r="O10" s="377" t="s">
        <v>2370</v>
      </c>
      <c r="P10" s="269" t="b">
        <v>1</v>
      </c>
      <c r="R10" s="393">
        <v>46155.0</v>
      </c>
      <c r="S10" s="394" t="s">
        <v>2487</v>
      </c>
      <c r="T10" s="394" t="s">
        <v>2488</v>
      </c>
      <c r="U10" s="395" t="s">
        <v>22</v>
      </c>
      <c r="V10" s="342" t="s">
        <v>2344</v>
      </c>
      <c r="W10" s="61"/>
      <c r="X10" s="269" t="b">
        <v>1</v>
      </c>
      <c r="Z10" s="270">
        <v>46154.0</v>
      </c>
      <c r="AA10" s="109" t="s">
        <v>2489</v>
      </c>
      <c r="AB10" s="109" t="s">
        <v>2490</v>
      </c>
      <c r="AC10" s="58" t="s">
        <v>23</v>
      </c>
      <c r="AD10" s="58" t="s">
        <v>20</v>
      </c>
      <c r="AE10" s="61"/>
      <c r="AF10" s="269" t="b">
        <v>1</v>
      </c>
      <c r="AH10" s="379">
        <v>46163.0</v>
      </c>
      <c r="AI10" s="312" t="s">
        <v>2491</v>
      </c>
      <c r="AJ10" s="373" t="s">
        <v>2492</v>
      </c>
      <c r="AK10" s="58" t="s">
        <v>22</v>
      </c>
      <c r="AL10" s="58" t="s">
        <v>958</v>
      </c>
      <c r="AM10" s="109" t="s">
        <v>2493</v>
      </c>
      <c r="AN10" s="269"/>
      <c r="AP10" s="380">
        <v>46162.0</v>
      </c>
      <c r="AQ10" s="294" t="s">
        <v>2494</v>
      </c>
      <c r="AR10" s="294" t="s">
        <v>2495</v>
      </c>
      <c r="AS10" s="396" t="s">
        <v>18</v>
      </c>
      <c r="AT10" s="295" t="s">
        <v>2338</v>
      </c>
      <c r="AU10" s="109" t="s">
        <v>982</v>
      </c>
      <c r="AV10" s="269"/>
      <c r="AX10" s="379">
        <v>46168.0</v>
      </c>
      <c r="AY10" s="312" t="s">
        <v>2496</v>
      </c>
      <c r="AZ10" s="397" t="s">
        <v>2497</v>
      </c>
      <c r="BA10" s="58" t="s">
        <v>22</v>
      </c>
      <c r="BB10" s="58" t="s">
        <v>28</v>
      </c>
      <c r="BC10" s="61"/>
      <c r="BD10" s="269" t="b">
        <v>1</v>
      </c>
      <c r="BF10" s="270">
        <v>46169.0</v>
      </c>
      <c r="BG10" s="109" t="s">
        <v>2498</v>
      </c>
      <c r="BH10" s="109" t="s">
        <v>2499</v>
      </c>
      <c r="BI10" s="58" t="s">
        <v>11</v>
      </c>
      <c r="BJ10" s="58" t="s">
        <v>20</v>
      </c>
      <c r="BK10" s="109" t="s">
        <v>2500</v>
      </c>
      <c r="BL10" s="298"/>
    </row>
    <row r="11" ht="22.5" customHeight="1">
      <c r="A11" s="368"/>
      <c r="B11" s="314">
        <v>46142.0</v>
      </c>
      <c r="C11" s="302" t="s">
        <v>2501</v>
      </c>
      <c r="D11" s="277" t="s">
        <v>2502</v>
      </c>
      <c r="E11" s="303" t="s">
        <v>22</v>
      </c>
      <c r="F11" s="303" t="s">
        <v>20</v>
      </c>
      <c r="G11" s="290"/>
      <c r="H11" s="281" t="b">
        <v>1</v>
      </c>
      <c r="J11" s="270">
        <v>46146.0</v>
      </c>
      <c r="K11" s="109" t="s">
        <v>2503</v>
      </c>
      <c r="L11" s="109" t="s">
        <v>2504</v>
      </c>
      <c r="M11" s="58" t="s">
        <v>11</v>
      </c>
      <c r="N11" s="58" t="s">
        <v>20</v>
      </c>
      <c r="O11" s="377" t="s">
        <v>2370</v>
      </c>
      <c r="P11" s="269" t="b">
        <v>1</v>
      </c>
      <c r="R11" s="270">
        <v>46156.0</v>
      </c>
      <c r="S11" s="109" t="s">
        <v>2505</v>
      </c>
      <c r="T11" s="109" t="s">
        <v>2506</v>
      </c>
      <c r="U11" s="58" t="s">
        <v>22</v>
      </c>
      <c r="V11" s="58" t="s">
        <v>12</v>
      </c>
      <c r="W11" s="61"/>
      <c r="X11" s="269" t="b">
        <v>1</v>
      </c>
      <c r="Z11" s="270">
        <v>46154.0</v>
      </c>
      <c r="AA11" s="109" t="s">
        <v>2507</v>
      </c>
      <c r="AB11" s="109" t="s">
        <v>2508</v>
      </c>
      <c r="AC11" s="58" t="s">
        <v>27</v>
      </c>
      <c r="AD11" s="58" t="s">
        <v>20</v>
      </c>
      <c r="AE11" s="61"/>
      <c r="AF11" s="269" t="b">
        <v>1</v>
      </c>
      <c r="AH11" s="379">
        <v>46163.0</v>
      </c>
      <c r="AI11" s="312" t="s">
        <v>2509</v>
      </c>
      <c r="AJ11" s="373" t="s">
        <v>2510</v>
      </c>
      <c r="AK11" s="58" t="s">
        <v>22</v>
      </c>
      <c r="AL11" s="58" t="s">
        <v>12</v>
      </c>
      <c r="AM11" s="61"/>
      <c r="AN11" s="269" t="b">
        <v>1</v>
      </c>
      <c r="AP11" s="382">
        <v>46162.0</v>
      </c>
      <c r="AQ11" s="273" t="s">
        <v>2511</v>
      </c>
      <c r="AR11" s="273" t="s">
        <v>2512</v>
      </c>
      <c r="AS11" s="398" t="s">
        <v>27</v>
      </c>
      <c r="AT11" s="399" t="s">
        <v>2338</v>
      </c>
      <c r="AU11" s="109" t="s">
        <v>2513</v>
      </c>
      <c r="AV11" s="269"/>
      <c r="AX11" s="270">
        <v>46168.0</v>
      </c>
      <c r="AY11" s="109" t="s">
        <v>2514</v>
      </c>
      <c r="AZ11" s="109" t="s">
        <v>2515</v>
      </c>
      <c r="BA11" s="344" t="s">
        <v>22</v>
      </c>
      <c r="BB11" s="344" t="s">
        <v>2344</v>
      </c>
      <c r="BC11" s="61"/>
      <c r="BD11" s="269" t="b">
        <v>1</v>
      </c>
      <c r="BF11" s="270">
        <v>46169.0</v>
      </c>
      <c r="BG11" s="109" t="s">
        <v>56</v>
      </c>
      <c r="BH11" s="109" t="s">
        <v>57</v>
      </c>
      <c r="BI11" s="58" t="s">
        <v>11</v>
      </c>
      <c r="BJ11" s="58" t="s">
        <v>20</v>
      </c>
      <c r="BK11" s="109" t="s">
        <v>2516</v>
      </c>
      <c r="BL11" s="298"/>
    </row>
    <row r="12" ht="22.5" customHeight="1">
      <c r="A12" s="368"/>
      <c r="B12" s="314">
        <v>46142.0</v>
      </c>
      <c r="C12" s="302" t="s">
        <v>2517</v>
      </c>
      <c r="D12" s="277" t="s">
        <v>2518</v>
      </c>
      <c r="E12" s="303" t="s">
        <v>22</v>
      </c>
      <c r="F12" s="303" t="s">
        <v>20</v>
      </c>
      <c r="G12" s="290"/>
      <c r="H12" s="281" t="b">
        <v>1</v>
      </c>
      <c r="J12" s="270">
        <v>46146.0</v>
      </c>
      <c r="K12" s="109" t="s">
        <v>2519</v>
      </c>
      <c r="L12" s="109" t="s">
        <v>2520</v>
      </c>
      <c r="M12" s="58" t="s">
        <v>11</v>
      </c>
      <c r="N12" s="58" t="s">
        <v>20</v>
      </c>
      <c r="O12" s="377" t="s">
        <v>2370</v>
      </c>
      <c r="P12" s="269" t="b">
        <v>1</v>
      </c>
      <c r="R12" s="270">
        <v>46156.0</v>
      </c>
      <c r="S12" s="109" t="s">
        <v>2521</v>
      </c>
      <c r="T12" s="109" t="s">
        <v>2522</v>
      </c>
      <c r="U12" s="58" t="s">
        <v>22</v>
      </c>
      <c r="V12" s="58" t="s">
        <v>12</v>
      </c>
      <c r="W12" s="109" t="s">
        <v>2523</v>
      </c>
      <c r="X12" s="269" t="b">
        <v>1</v>
      </c>
      <c r="Z12" s="270">
        <v>46154.0</v>
      </c>
      <c r="AA12" s="109" t="s">
        <v>2524</v>
      </c>
      <c r="AB12" s="109" t="s">
        <v>2525</v>
      </c>
      <c r="AC12" s="58" t="s">
        <v>27</v>
      </c>
      <c r="AD12" s="58" t="s">
        <v>20</v>
      </c>
      <c r="AE12" s="61"/>
      <c r="AF12" s="269" t="b">
        <v>1</v>
      </c>
      <c r="AH12" s="270">
        <v>46163.0</v>
      </c>
      <c r="AI12" s="312" t="s">
        <v>2526</v>
      </c>
      <c r="AJ12" s="373" t="s">
        <v>2527</v>
      </c>
      <c r="AK12" s="58" t="s">
        <v>22</v>
      </c>
      <c r="AL12" s="58" t="s">
        <v>958</v>
      </c>
      <c r="AM12" s="61"/>
      <c r="AN12" s="269" t="b">
        <v>1</v>
      </c>
      <c r="AP12" s="380">
        <v>46162.0</v>
      </c>
      <c r="AQ12" s="109" t="s">
        <v>2528</v>
      </c>
      <c r="AR12" s="109" t="s">
        <v>2529</v>
      </c>
      <c r="AS12" s="344" t="s">
        <v>18</v>
      </c>
      <c r="AT12" s="344" t="s">
        <v>2338</v>
      </c>
      <c r="AU12" s="109" t="s">
        <v>2513</v>
      </c>
      <c r="AV12" s="269"/>
      <c r="AX12" s="379">
        <v>46168.0</v>
      </c>
      <c r="AY12" s="109" t="s">
        <v>2530</v>
      </c>
      <c r="AZ12" s="109" t="s">
        <v>2531</v>
      </c>
      <c r="BA12" s="58" t="s">
        <v>22</v>
      </c>
      <c r="BB12" s="58" t="s">
        <v>2344</v>
      </c>
      <c r="BC12" s="109"/>
      <c r="BD12" s="269" t="b">
        <v>1</v>
      </c>
      <c r="BF12" s="270">
        <v>46169.0</v>
      </c>
      <c r="BG12" s="109" t="s">
        <v>69</v>
      </c>
      <c r="BH12" s="109" t="s">
        <v>70</v>
      </c>
      <c r="BI12" s="58" t="s">
        <v>11</v>
      </c>
      <c r="BJ12" s="58" t="s">
        <v>20</v>
      </c>
      <c r="BK12" s="61"/>
      <c r="BL12" s="269" t="b">
        <v>1</v>
      </c>
    </row>
    <row r="13" ht="22.5" customHeight="1">
      <c r="A13" s="368"/>
      <c r="B13" s="314">
        <v>46142.0</v>
      </c>
      <c r="C13" s="302" t="s">
        <v>2532</v>
      </c>
      <c r="D13" s="277" t="s">
        <v>2533</v>
      </c>
      <c r="E13" s="303" t="s">
        <v>22</v>
      </c>
      <c r="F13" s="303" t="s">
        <v>20</v>
      </c>
      <c r="G13" s="290"/>
      <c r="H13" s="281" t="b">
        <v>1</v>
      </c>
      <c r="J13" s="270"/>
      <c r="K13" s="109"/>
      <c r="L13" s="109"/>
      <c r="M13" s="58"/>
      <c r="N13" s="58"/>
      <c r="O13" s="400"/>
      <c r="P13" s="269"/>
      <c r="R13" s="270">
        <v>46156.0</v>
      </c>
      <c r="S13" s="109" t="s">
        <v>2534</v>
      </c>
      <c r="T13" s="109" t="s">
        <v>2535</v>
      </c>
      <c r="U13" s="58" t="s">
        <v>22</v>
      </c>
      <c r="V13" s="58" t="s">
        <v>12</v>
      </c>
      <c r="W13" s="61"/>
      <c r="X13" s="269" t="b">
        <v>1</v>
      </c>
      <c r="Z13" s="270">
        <v>46154.0</v>
      </c>
      <c r="AA13" s="109" t="s">
        <v>2536</v>
      </c>
      <c r="AB13" s="109" t="s">
        <v>2537</v>
      </c>
      <c r="AC13" s="58" t="s">
        <v>18</v>
      </c>
      <c r="AD13" s="58" t="s">
        <v>20</v>
      </c>
      <c r="AE13" s="109"/>
      <c r="AF13" s="269" t="b">
        <v>1</v>
      </c>
      <c r="AH13" s="270">
        <v>46164.0</v>
      </c>
      <c r="AI13" s="109" t="s">
        <v>2538</v>
      </c>
      <c r="AJ13" s="373" t="s">
        <v>2539</v>
      </c>
      <c r="AK13" s="58" t="s">
        <v>22</v>
      </c>
      <c r="AL13" s="58" t="s">
        <v>28</v>
      </c>
      <c r="AM13" s="61"/>
      <c r="AN13" s="269" t="b">
        <v>1</v>
      </c>
      <c r="AP13" s="382">
        <v>46162.0</v>
      </c>
      <c r="AQ13" s="273" t="s">
        <v>2540</v>
      </c>
      <c r="AR13" s="273" t="s">
        <v>2541</v>
      </c>
      <c r="AS13" s="398" t="s">
        <v>18</v>
      </c>
      <c r="AT13" s="383" t="s">
        <v>2338</v>
      </c>
      <c r="AU13" s="109" t="s">
        <v>2542</v>
      </c>
      <c r="AV13" s="269"/>
      <c r="AX13" s="379">
        <v>46168.0</v>
      </c>
      <c r="AY13" s="109" t="s">
        <v>2543</v>
      </c>
      <c r="AZ13" s="109" t="s">
        <v>2544</v>
      </c>
      <c r="BA13" s="58" t="s">
        <v>22</v>
      </c>
      <c r="BB13" s="58" t="s">
        <v>2344</v>
      </c>
      <c r="BC13" s="61"/>
      <c r="BD13" s="269" t="b">
        <v>1</v>
      </c>
      <c r="BF13" s="270">
        <v>46169.0</v>
      </c>
      <c r="BG13" s="109" t="s">
        <v>2545</v>
      </c>
      <c r="BH13" s="109" t="s">
        <v>2546</v>
      </c>
      <c r="BI13" s="58" t="s">
        <v>11</v>
      </c>
      <c r="BJ13" s="58" t="s">
        <v>20</v>
      </c>
      <c r="BK13" s="61"/>
      <c r="BL13" s="269" t="b">
        <v>1</v>
      </c>
    </row>
    <row r="14" ht="22.5" customHeight="1">
      <c r="A14" s="368"/>
      <c r="B14" s="314">
        <v>46142.0</v>
      </c>
      <c r="C14" s="302" t="s">
        <v>2547</v>
      </c>
      <c r="D14" s="277" t="s">
        <v>2548</v>
      </c>
      <c r="E14" s="303" t="s">
        <v>22</v>
      </c>
      <c r="F14" s="303" t="s">
        <v>20</v>
      </c>
      <c r="G14" s="290"/>
      <c r="H14" s="281" t="b">
        <v>1</v>
      </c>
      <c r="J14" s="270">
        <v>46146.0</v>
      </c>
      <c r="K14" s="109" t="s">
        <v>2549</v>
      </c>
      <c r="L14" s="109" t="s">
        <v>2550</v>
      </c>
      <c r="M14" s="58" t="s">
        <v>11</v>
      </c>
      <c r="N14" s="58" t="s">
        <v>14</v>
      </c>
      <c r="O14" s="109" t="s">
        <v>2551</v>
      </c>
      <c r="P14" s="269" t="b">
        <v>1</v>
      </c>
      <c r="R14" s="270">
        <v>46156.0</v>
      </c>
      <c r="S14" s="109" t="s">
        <v>2552</v>
      </c>
      <c r="T14" s="109" t="s">
        <v>2553</v>
      </c>
      <c r="U14" s="58" t="s">
        <v>22</v>
      </c>
      <c r="V14" s="58" t="s">
        <v>12</v>
      </c>
      <c r="W14" s="61"/>
      <c r="X14" s="269" t="b">
        <v>1</v>
      </c>
      <c r="Z14" s="270">
        <v>46154.0</v>
      </c>
      <c r="AA14" s="109" t="s">
        <v>2554</v>
      </c>
      <c r="AB14" s="317" t="s">
        <v>2555</v>
      </c>
      <c r="AC14" s="58"/>
      <c r="AD14" s="58" t="s">
        <v>20</v>
      </c>
      <c r="AE14" s="109" t="s">
        <v>2253</v>
      </c>
      <c r="AF14" s="269"/>
      <c r="AH14" s="270">
        <v>46164.0</v>
      </c>
      <c r="AI14" s="109" t="s">
        <v>2556</v>
      </c>
      <c r="AJ14" s="373" t="s">
        <v>2557</v>
      </c>
      <c r="AK14" s="58" t="s">
        <v>16</v>
      </c>
      <c r="AL14" s="58" t="s">
        <v>9</v>
      </c>
      <c r="AM14" s="61"/>
      <c r="AN14" s="269" t="b">
        <v>1</v>
      </c>
      <c r="AP14" s="270">
        <v>46163.0</v>
      </c>
      <c r="AQ14" s="109" t="s">
        <v>2558</v>
      </c>
      <c r="AR14" s="109" t="s">
        <v>2559</v>
      </c>
      <c r="AS14" s="58" t="s">
        <v>11</v>
      </c>
      <c r="AT14" s="58" t="s">
        <v>20</v>
      </c>
      <c r="AU14" s="61"/>
      <c r="AV14" s="269" t="b">
        <v>1</v>
      </c>
      <c r="AX14" s="379">
        <v>46168.0</v>
      </c>
      <c r="AY14" s="109" t="s">
        <v>2560</v>
      </c>
      <c r="AZ14" s="109" t="s">
        <v>2561</v>
      </c>
      <c r="BA14" s="58"/>
      <c r="BB14" s="58" t="s">
        <v>2344</v>
      </c>
      <c r="BC14" s="109" t="s">
        <v>2432</v>
      </c>
      <c r="BD14" s="269"/>
      <c r="BF14" s="401">
        <v>46169.0</v>
      </c>
      <c r="BG14" s="273" t="s">
        <v>2562</v>
      </c>
      <c r="BH14" s="273" t="s">
        <v>2563</v>
      </c>
      <c r="BI14" s="402" t="s">
        <v>27</v>
      </c>
      <c r="BJ14" s="274" t="s">
        <v>2337</v>
      </c>
      <c r="BK14" s="61"/>
      <c r="BL14" s="269" t="b">
        <v>1</v>
      </c>
    </row>
    <row r="15" ht="22.5" customHeight="1">
      <c r="A15" s="368"/>
      <c r="B15" s="314">
        <v>46142.0</v>
      </c>
      <c r="C15" s="302" t="s">
        <v>2564</v>
      </c>
      <c r="D15" s="277" t="s">
        <v>2565</v>
      </c>
      <c r="E15" s="303" t="s">
        <v>22</v>
      </c>
      <c r="F15" s="303" t="s">
        <v>20</v>
      </c>
      <c r="G15" s="290"/>
      <c r="H15" s="281" t="b">
        <v>1</v>
      </c>
      <c r="J15" s="270">
        <v>46148.0</v>
      </c>
      <c r="K15" s="109" t="s">
        <v>2566</v>
      </c>
      <c r="L15" s="109" t="s">
        <v>2567</v>
      </c>
      <c r="M15" s="58" t="s">
        <v>18</v>
      </c>
      <c r="N15" s="58" t="s">
        <v>17</v>
      </c>
      <c r="O15" s="61"/>
      <c r="P15" s="269"/>
      <c r="R15" s="270">
        <v>46156.0</v>
      </c>
      <c r="S15" s="109" t="s">
        <v>2568</v>
      </c>
      <c r="T15" s="109" t="s">
        <v>2569</v>
      </c>
      <c r="U15" s="58" t="s">
        <v>22</v>
      </c>
      <c r="V15" s="58" t="s">
        <v>12</v>
      </c>
      <c r="W15" s="109"/>
      <c r="X15" s="269" t="b">
        <v>1</v>
      </c>
      <c r="Z15" s="270">
        <v>46154.0</v>
      </c>
      <c r="AA15" s="109" t="s">
        <v>2570</v>
      </c>
      <c r="AB15" s="109" t="s">
        <v>2571</v>
      </c>
      <c r="AC15" s="58" t="s">
        <v>21</v>
      </c>
      <c r="AD15" s="58" t="s">
        <v>14</v>
      </c>
      <c r="AE15" s="109" t="s">
        <v>2572</v>
      </c>
      <c r="AF15" s="269"/>
      <c r="AH15" s="270">
        <v>46167.0</v>
      </c>
      <c r="AI15" s="109" t="s">
        <v>2573</v>
      </c>
      <c r="AJ15" s="373" t="s">
        <v>2574</v>
      </c>
      <c r="AK15" s="58" t="s">
        <v>22</v>
      </c>
      <c r="AL15" s="58" t="s">
        <v>12</v>
      </c>
      <c r="AM15" s="61"/>
      <c r="AN15" s="269" t="b">
        <v>1</v>
      </c>
      <c r="AP15" s="270">
        <v>46163.0</v>
      </c>
      <c r="AQ15" s="109" t="s">
        <v>2575</v>
      </c>
      <c r="AR15" s="109" t="s">
        <v>2576</v>
      </c>
      <c r="AS15" s="58" t="s">
        <v>11</v>
      </c>
      <c r="AT15" s="58" t="s">
        <v>20</v>
      </c>
      <c r="AU15" s="61"/>
      <c r="AV15" s="269" t="b">
        <v>1</v>
      </c>
      <c r="AX15" s="270">
        <v>46169.0</v>
      </c>
      <c r="AY15" s="312" t="s">
        <v>2577</v>
      </c>
      <c r="AZ15" s="392" t="s">
        <v>2578</v>
      </c>
      <c r="BA15" s="58" t="s">
        <v>24</v>
      </c>
      <c r="BB15" s="58" t="s">
        <v>958</v>
      </c>
      <c r="BC15" s="61"/>
      <c r="BD15" s="269" t="b">
        <v>1</v>
      </c>
      <c r="BF15" s="403">
        <v>46170.0</v>
      </c>
      <c r="BG15" s="294" t="s">
        <v>2579</v>
      </c>
      <c r="BH15" s="294" t="s">
        <v>2580</v>
      </c>
      <c r="BI15" s="295" t="s">
        <v>27</v>
      </c>
      <c r="BJ15" s="295" t="s">
        <v>2337</v>
      </c>
      <c r="BK15" s="61"/>
      <c r="BL15" s="269" t="b">
        <v>1</v>
      </c>
    </row>
    <row r="16" ht="22.5" customHeight="1">
      <c r="A16" s="368"/>
      <c r="B16" s="314">
        <v>46142.0</v>
      </c>
      <c r="C16" s="302" t="s">
        <v>2581</v>
      </c>
      <c r="D16" s="277" t="s">
        <v>2582</v>
      </c>
      <c r="E16" s="303" t="s">
        <v>22</v>
      </c>
      <c r="F16" s="303" t="s">
        <v>20</v>
      </c>
      <c r="G16" s="290"/>
      <c r="H16" s="281" t="b">
        <v>1</v>
      </c>
      <c r="J16" s="270">
        <v>46148.0</v>
      </c>
      <c r="K16" s="109" t="s">
        <v>2583</v>
      </c>
      <c r="L16" s="109" t="s">
        <v>2584</v>
      </c>
      <c r="M16" s="58" t="s">
        <v>18</v>
      </c>
      <c r="N16" s="58" t="s">
        <v>17</v>
      </c>
      <c r="O16" s="61"/>
      <c r="P16" s="269" t="b">
        <v>1</v>
      </c>
      <c r="R16" s="270">
        <v>46156.0</v>
      </c>
      <c r="S16" s="109" t="s">
        <v>2585</v>
      </c>
      <c r="T16" s="109" t="s">
        <v>2586</v>
      </c>
      <c r="U16" s="58" t="s">
        <v>22</v>
      </c>
      <c r="V16" s="58" t="s">
        <v>12</v>
      </c>
      <c r="W16" s="61"/>
      <c r="X16" s="269" t="b">
        <v>1</v>
      </c>
      <c r="Z16" s="270"/>
      <c r="AA16" s="312"/>
      <c r="AB16" s="109"/>
      <c r="AC16" s="58"/>
      <c r="AD16" s="344"/>
      <c r="AE16" s="109"/>
      <c r="AF16" s="269"/>
      <c r="AH16" s="270">
        <v>46167.0</v>
      </c>
      <c r="AI16" s="109" t="s">
        <v>2587</v>
      </c>
      <c r="AJ16" s="373" t="s">
        <v>2588</v>
      </c>
      <c r="AK16" s="58"/>
      <c r="AL16" s="58" t="s">
        <v>2344</v>
      </c>
      <c r="AM16" s="109" t="s">
        <v>2589</v>
      </c>
      <c r="AN16" s="269"/>
      <c r="AP16" s="270">
        <v>46163.0</v>
      </c>
      <c r="AQ16" s="109" t="s">
        <v>2590</v>
      </c>
      <c r="AR16" s="109" t="s">
        <v>2591</v>
      </c>
      <c r="AS16" s="58" t="s">
        <v>11</v>
      </c>
      <c r="AT16" s="58" t="s">
        <v>20</v>
      </c>
      <c r="AU16" s="109"/>
      <c r="AV16" s="269" t="b">
        <v>1</v>
      </c>
      <c r="AX16" s="270">
        <v>46169.0</v>
      </c>
      <c r="AY16" s="312" t="s">
        <v>2592</v>
      </c>
      <c r="AZ16" s="347" t="s">
        <v>2593</v>
      </c>
      <c r="BA16" s="58" t="s">
        <v>24</v>
      </c>
      <c r="BB16" s="58" t="s">
        <v>958</v>
      </c>
      <c r="BC16" s="61"/>
      <c r="BD16" s="269" t="b">
        <v>1</v>
      </c>
      <c r="BF16" s="401">
        <v>46170.0</v>
      </c>
      <c r="BG16" s="273" t="s">
        <v>2594</v>
      </c>
      <c r="BH16" s="273" t="s">
        <v>2595</v>
      </c>
      <c r="BI16" s="274" t="s">
        <v>15</v>
      </c>
      <c r="BJ16" s="274" t="s">
        <v>2337</v>
      </c>
      <c r="BK16" s="109"/>
      <c r="BL16" s="269" t="b">
        <v>1</v>
      </c>
    </row>
    <row r="17" ht="22.5" customHeight="1">
      <c r="A17" s="368"/>
      <c r="B17" s="314">
        <v>46142.0</v>
      </c>
      <c r="C17" s="302" t="s">
        <v>2596</v>
      </c>
      <c r="D17" s="277" t="s">
        <v>2597</v>
      </c>
      <c r="E17" s="303" t="s">
        <v>22</v>
      </c>
      <c r="F17" s="303" t="s">
        <v>20</v>
      </c>
      <c r="G17" s="290"/>
      <c r="H17" s="281" t="b">
        <v>1</v>
      </c>
      <c r="J17" s="270">
        <v>46149.0</v>
      </c>
      <c r="K17" s="109" t="s">
        <v>2598</v>
      </c>
      <c r="L17" s="109" t="s">
        <v>2599</v>
      </c>
      <c r="M17" s="58" t="s">
        <v>18</v>
      </c>
      <c r="N17" s="58" t="s">
        <v>17</v>
      </c>
      <c r="O17" s="61"/>
      <c r="P17" s="269" t="b">
        <v>1</v>
      </c>
      <c r="R17" s="270">
        <v>46156.0</v>
      </c>
      <c r="S17" s="109" t="s">
        <v>2600</v>
      </c>
      <c r="T17" s="109" t="s">
        <v>2601</v>
      </c>
      <c r="U17" s="58" t="s">
        <v>22</v>
      </c>
      <c r="V17" s="58" t="s">
        <v>12</v>
      </c>
      <c r="W17" s="61"/>
      <c r="X17" s="269" t="b">
        <v>1</v>
      </c>
      <c r="Z17" s="270">
        <v>46154.0</v>
      </c>
      <c r="AA17" s="109" t="s">
        <v>2602</v>
      </c>
      <c r="AB17" s="109" t="s">
        <v>2603</v>
      </c>
      <c r="AC17" s="58" t="s">
        <v>21</v>
      </c>
      <c r="AD17" s="58" t="s">
        <v>14</v>
      </c>
      <c r="AE17" s="61"/>
      <c r="AF17" s="269" t="b">
        <v>1</v>
      </c>
      <c r="AH17" s="270">
        <v>46167.0</v>
      </c>
      <c r="AI17" s="312" t="s">
        <v>2604</v>
      </c>
      <c r="AJ17" s="373" t="s">
        <v>2605</v>
      </c>
      <c r="AK17" s="58" t="s">
        <v>22</v>
      </c>
      <c r="AL17" s="58" t="s">
        <v>2344</v>
      </c>
      <c r="AM17" s="61"/>
      <c r="AN17" s="269" t="b">
        <v>1</v>
      </c>
      <c r="AP17" s="270">
        <v>46163.0</v>
      </c>
      <c r="AQ17" s="109" t="s">
        <v>2606</v>
      </c>
      <c r="AR17" s="109" t="s">
        <v>2607</v>
      </c>
      <c r="AS17" s="58" t="s">
        <v>11</v>
      </c>
      <c r="AT17" s="58" t="s">
        <v>20</v>
      </c>
      <c r="AU17" s="61"/>
      <c r="AV17" s="269" t="b">
        <v>1</v>
      </c>
      <c r="AX17" s="270">
        <v>46169.0</v>
      </c>
      <c r="AY17" s="312" t="s">
        <v>2608</v>
      </c>
      <c r="AZ17" s="392" t="s">
        <v>2609</v>
      </c>
      <c r="BA17" s="58" t="s">
        <v>24</v>
      </c>
      <c r="BB17" s="58" t="s">
        <v>958</v>
      </c>
      <c r="BC17" s="61"/>
      <c r="BD17" s="269" t="b">
        <v>1</v>
      </c>
      <c r="BF17" s="403">
        <v>46170.0</v>
      </c>
      <c r="BG17" s="294" t="s">
        <v>2610</v>
      </c>
      <c r="BH17" s="294" t="s">
        <v>2611</v>
      </c>
      <c r="BI17" s="295" t="s">
        <v>15</v>
      </c>
      <c r="BJ17" s="295" t="s">
        <v>2337</v>
      </c>
      <c r="BK17" s="61"/>
      <c r="BL17" s="269" t="b">
        <v>1</v>
      </c>
    </row>
    <row r="18" ht="22.5" customHeight="1">
      <c r="A18" s="368"/>
      <c r="B18" s="314">
        <v>46142.0</v>
      </c>
      <c r="C18" s="302" t="s">
        <v>2612</v>
      </c>
      <c r="D18" s="277" t="s">
        <v>2613</v>
      </c>
      <c r="E18" s="303" t="s">
        <v>22</v>
      </c>
      <c r="F18" s="303" t="s">
        <v>20</v>
      </c>
      <c r="G18" s="290"/>
      <c r="H18" s="281" t="b">
        <v>1</v>
      </c>
      <c r="J18" s="270">
        <v>46149.0</v>
      </c>
      <c r="K18" s="109" t="s">
        <v>2614</v>
      </c>
      <c r="L18" s="109" t="s">
        <v>2615</v>
      </c>
      <c r="M18" s="58" t="s">
        <v>18</v>
      </c>
      <c r="N18" s="58" t="s">
        <v>17</v>
      </c>
      <c r="O18" s="61"/>
      <c r="P18" s="269" t="b">
        <v>1</v>
      </c>
      <c r="R18" s="270">
        <v>46157.0</v>
      </c>
      <c r="S18" s="109" t="s">
        <v>2616</v>
      </c>
      <c r="T18" s="109" t="s">
        <v>2617</v>
      </c>
      <c r="U18" s="58" t="s">
        <v>22</v>
      </c>
      <c r="V18" s="58" t="s">
        <v>958</v>
      </c>
      <c r="W18" s="61"/>
      <c r="X18" s="269" t="b">
        <v>1</v>
      </c>
      <c r="Z18" s="270">
        <v>46154.0</v>
      </c>
      <c r="AA18" s="109" t="s">
        <v>2618</v>
      </c>
      <c r="AB18" s="109" t="s">
        <v>2619</v>
      </c>
      <c r="AC18" s="58" t="s">
        <v>23</v>
      </c>
      <c r="AD18" s="58" t="s">
        <v>14</v>
      </c>
      <c r="AE18" s="109"/>
      <c r="AF18" s="269" t="b">
        <v>1</v>
      </c>
      <c r="AH18" s="270">
        <v>46167.0</v>
      </c>
      <c r="AI18" s="312" t="s">
        <v>2620</v>
      </c>
      <c r="AJ18" s="373" t="s">
        <v>2621</v>
      </c>
      <c r="AK18" s="58" t="s">
        <v>22</v>
      </c>
      <c r="AL18" s="58" t="s">
        <v>12</v>
      </c>
      <c r="AM18" s="61"/>
      <c r="AN18" s="269" t="b">
        <v>1</v>
      </c>
      <c r="AP18" s="270">
        <v>46163.0</v>
      </c>
      <c r="AQ18" s="109" t="s">
        <v>2622</v>
      </c>
      <c r="AR18" s="109" t="s">
        <v>2623</v>
      </c>
      <c r="AS18" s="58" t="s">
        <v>11</v>
      </c>
      <c r="AT18" s="58" t="s">
        <v>20</v>
      </c>
      <c r="AU18" s="61"/>
      <c r="AV18" s="269" t="b">
        <v>1</v>
      </c>
      <c r="AX18" s="270">
        <v>46169.0</v>
      </c>
      <c r="AY18" s="312" t="s">
        <v>2624</v>
      </c>
      <c r="AZ18" s="392" t="s">
        <v>2625</v>
      </c>
      <c r="BA18" s="58" t="s">
        <v>22</v>
      </c>
      <c r="BB18" s="58" t="s">
        <v>958</v>
      </c>
      <c r="BC18" s="61"/>
      <c r="BD18" s="269" t="b">
        <v>1</v>
      </c>
      <c r="BF18" s="380">
        <v>46170.0</v>
      </c>
      <c r="BG18" s="294" t="s">
        <v>2626</v>
      </c>
      <c r="BH18" s="294" t="s">
        <v>2627</v>
      </c>
      <c r="BI18" s="295" t="s">
        <v>27</v>
      </c>
      <c r="BJ18" s="404" t="s">
        <v>2338</v>
      </c>
      <c r="BK18" s="61"/>
      <c r="BL18" s="269" t="b">
        <v>1</v>
      </c>
    </row>
    <row r="19" ht="22.5" customHeight="1">
      <c r="A19" s="368"/>
      <c r="B19" s="314">
        <v>46142.0</v>
      </c>
      <c r="C19" s="302" t="s">
        <v>2628</v>
      </c>
      <c r="D19" s="277" t="s">
        <v>2629</v>
      </c>
      <c r="E19" s="303" t="s">
        <v>22</v>
      </c>
      <c r="F19" s="303" t="s">
        <v>9</v>
      </c>
      <c r="G19" s="290"/>
      <c r="H19" s="281" t="b">
        <v>1</v>
      </c>
      <c r="J19" s="270">
        <v>46149.0</v>
      </c>
      <c r="K19" s="109" t="s">
        <v>2630</v>
      </c>
      <c r="L19" s="109" t="s">
        <v>2631</v>
      </c>
      <c r="M19" s="58" t="s">
        <v>18</v>
      </c>
      <c r="N19" s="58" t="s">
        <v>17</v>
      </c>
      <c r="O19" s="109"/>
      <c r="P19" s="269" t="b">
        <v>1</v>
      </c>
      <c r="R19" s="270">
        <v>46157.0</v>
      </c>
      <c r="S19" s="312" t="s">
        <v>2632</v>
      </c>
      <c r="T19" s="109" t="s">
        <v>2633</v>
      </c>
      <c r="U19" s="58" t="s">
        <v>22</v>
      </c>
      <c r="V19" s="58" t="s">
        <v>958</v>
      </c>
      <c r="W19" s="61"/>
      <c r="X19" s="269" t="b">
        <v>1</v>
      </c>
      <c r="Z19" s="270">
        <v>46154.0</v>
      </c>
      <c r="AA19" s="109" t="s">
        <v>2634</v>
      </c>
      <c r="AB19" s="109" t="s">
        <v>2635</v>
      </c>
      <c r="AC19" s="58" t="s">
        <v>18</v>
      </c>
      <c r="AD19" s="58" t="s">
        <v>2338</v>
      </c>
      <c r="AE19" s="61"/>
      <c r="AF19" s="269" t="b">
        <v>1</v>
      </c>
      <c r="AH19" s="270">
        <v>46167.0</v>
      </c>
      <c r="AI19" s="109" t="s">
        <v>2636</v>
      </c>
      <c r="AJ19" s="373" t="s">
        <v>2637</v>
      </c>
      <c r="AK19" s="58"/>
      <c r="AL19" s="58" t="s">
        <v>12</v>
      </c>
      <c r="AM19" s="109" t="s">
        <v>2638</v>
      </c>
      <c r="AN19" s="269"/>
      <c r="AP19" s="270">
        <v>46163.0</v>
      </c>
      <c r="AQ19" s="109" t="s">
        <v>2639</v>
      </c>
      <c r="AR19" s="109" t="s">
        <v>2640</v>
      </c>
      <c r="AS19" s="58" t="s">
        <v>11</v>
      </c>
      <c r="AT19" s="58" t="s">
        <v>20</v>
      </c>
      <c r="AU19" s="61"/>
      <c r="AV19" s="269" t="b">
        <v>1</v>
      </c>
      <c r="AX19" s="270">
        <v>46169.0</v>
      </c>
      <c r="AY19" s="312" t="s">
        <v>2641</v>
      </c>
      <c r="AZ19" s="392" t="s">
        <v>2642</v>
      </c>
      <c r="BA19" s="58" t="s">
        <v>22</v>
      </c>
      <c r="BB19" s="58" t="s">
        <v>958</v>
      </c>
      <c r="BC19" s="61"/>
      <c r="BD19" s="269" t="b">
        <v>1</v>
      </c>
      <c r="BF19" s="382">
        <v>46170.0</v>
      </c>
      <c r="BG19" s="273" t="s">
        <v>2643</v>
      </c>
      <c r="BH19" s="273" t="s">
        <v>2644</v>
      </c>
      <c r="BI19" s="383" t="s">
        <v>11</v>
      </c>
      <c r="BJ19" s="274" t="s">
        <v>2338</v>
      </c>
      <c r="BK19" s="61"/>
      <c r="BL19" s="269" t="b">
        <v>1</v>
      </c>
    </row>
    <row r="20" ht="22.5" customHeight="1">
      <c r="A20" s="368"/>
      <c r="B20" s="314">
        <v>46142.0</v>
      </c>
      <c r="C20" s="302" t="s">
        <v>2645</v>
      </c>
      <c r="D20" s="277" t="s">
        <v>2646</v>
      </c>
      <c r="E20" s="303" t="s">
        <v>22</v>
      </c>
      <c r="F20" s="303" t="s">
        <v>14</v>
      </c>
      <c r="G20" s="290"/>
      <c r="H20" s="281" t="b">
        <v>1</v>
      </c>
      <c r="J20" s="270">
        <v>46149.0</v>
      </c>
      <c r="K20" s="109" t="s">
        <v>2647</v>
      </c>
      <c r="L20" s="109" t="s">
        <v>2648</v>
      </c>
      <c r="M20" s="58" t="s">
        <v>18</v>
      </c>
      <c r="N20" s="58" t="s">
        <v>17</v>
      </c>
      <c r="O20" s="61"/>
      <c r="P20" s="269" t="b">
        <v>1</v>
      </c>
      <c r="R20" s="270">
        <v>46157.0</v>
      </c>
      <c r="S20" s="312" t="s">
        <v>2649</v>
      </c>
      <c r="T20" s="109" t="s">
        <v>2650</v>
      </c>
      <c r="U20" s="58" t="s">
        <v>22</v>
      </c>
      <c r="V20" s="58" t="s">
        <v>958</v>
      </c>
      <c r="W20" s="109" t="s">
        <v>2651</v>
      </c>
      <c r="X20" s="269" t="b">
        <v>1</v>
      </c>
      <c r="Z20" s="270">
        <v>46154.0</v>
      </c>
      <c r="AA20" s="109" t="s">
        <v>2652</v>
      </c>
      <c r="AB20" s="109" t="s">
        <v>2653</v>
      </c>
      <c r="AC20" s="58" t="s">
        <v>23</v>
      </c>
      <c r="AD20" s="58" t="s">
        <v>14</v>
      </c>
      <c r="AE20" s="61"/>
      <c r="AF20" s="269" t="b">
        <v>1</v>
      </c>
      <c r="AH20" s="270">
        <v>46167.0</v>
      </c>
      <c r="AI20" s="312" t="s">
        <v>2654</v>
      </c>
      <c r="AJ20" s="373" t="s">
        <v>2655</v>
      </c>
      <c r="AK20" s="58" t="s">
        <v>22</v>
      </c>
      <c r="AL20" s="58" t="s">
        <v>2344</v>
      </c>
      <c r="AM20" s="61"/>
      <c r="AN20" s="269" t="b">
        <v>1</v>
      </c>
      <c r="AP20" s="401">
        <v>46163.0</v>
      </c>
      <c r="AQ20" s="273" t="s">
        <v>2656</v>
      </c>
      <c r="AR20" s="273" t="s">
        <v>2657</v>
      </c>
      <c r="AS20" s="402" t="s">
        <v>18</v>
      </c>
      <c r="AT20" s="274" t="s">
        <v>2337</v>
      </c>
      <c r="AU20" s="230"/>
      <c r="AV20" s="269" t="b">
        <v>1</v>
      </c>
      <c r="AX20" s="270">
        <v>46169.0</v>
      </c>
      <c r="AY20" s="312" t="s">
        <v>2658</v>
      </c>
      <c r="AZ20" s="392" t="s">
        <v>2659</v>
      </c>
      <c r="BA20" s="58" t="s">
        <v>24</v>
      </c>
      <c r="BB20" s="58" t="s">
        <v>958</v>
      </c>
      <c r="BC20" s="61"/>
      <c r="BD20" s="269" t="b">
        <v>1</v>
      </c>
      <c r="BF20" s="380">
        <v>46170.0</v>
      </c>
      <c r="BG20" s="405" t="s">
        <v>2660</v>
      </c>
      <c r="BH20" s="405" t="s">
        <v>2661</v>
      </c>
      <c r="BI20" s="406" t="s">
        <v>11</v>
      </c>
      <c r="BJ20" s="406" t="s">
        <v>2338</v>
      </c>
      <c r="BK20" s="109" t="s">
        <v>2662</v>
      </c>
      <c r="BL20" s="298"/>
    </row>
    <row r="21" ht="22.5" customHeight="1">
      <c r="A21" s="368"/>
      <c r="B21" s="314">
        <v>46142.0</v>
      </c>
      <c r="C21" s="302" t="s">
        <v>2663</v>
      </c>
      <c r="D21" s="277" t="s">
        <v>2664</v>
      </c>
      <c r="E21" s="303" t="s">
        <v>22</v>
      </c>
      <c r="F21" s="303" t="s">
        <v>14</v>
      </c>
      <c r="G21" s="290"/>
      <c r="H21" s="281" t="b">
        <v>1</v>
      </c>
      <c r="J21" s="270">
        <v>46150.0</v>
      </c>
      <c r="K21" s="109" t="s">
        <v>2665</v>
      </c>
      <c r="L21" s="109" t="s">
        <v>2666</v>
      </c>
      <c r="M21" s="58" t="s">
        <v>18</v>
      </c>
      <c r="N21" s="58" t="s">
        <v>17</v>
      </c>
      <c r="O21" s="61"/>
      <c r="P21" s="269" t="b">
        <v>1</v>
      </c>
      <c r="R21" s="270">
        <v>46157.0</v>
      </c>
      <c r="S21" s="312" t="s">
        <v>2667</v>
      </c>
      <c r="T21" s="109" t="s">
        <v>2668</v>
      </c>
      <c r="U21" s="58" t="s">
        <v>22</v>
      </c>
      <c r="V21" s="58" t="s">
        <v>958</v>
      </c>
      <c r="W21" s="61"/>
      <c r="X21" s="269" t="b">
        <v>1</v>
      </c>
      <c r="Z21" s="270">
        <v>46155.0</v>
      </c>
      <c r="AA21" s="109" t="s">
        <v>2669</v>
      </c>
      <c r="AB21" s="407" t="s">
        <v>2670</v>
      </c>
      <c r="AC21" s="58" t="s">
        <v>18</v>
      </c>
      <c r="AD21" s="58" t="s">
        <v>2338</v>
      </c>
      <c r="AE21" s="109" t="s">
        <v>2671</v>
      </c>
      <c r="AF21" s="269" t="b">
        <v>1</v>
      </c>
      <c r="AH21" s="270">
        <v>46167.0</v>
      </c>
      <c r="AI21" s="312" t="s">
        <v>2672</v>
      </c>
      <c r="AJ21" s="373" t="s">
        <v>2673</v>
      </c>
      <c r="AK21" s="58" t="s">
        <v>22</v>
      </c>
      <c r="AL21" s="58" t="s">
        <v>20</v>
      </c>
      <c r="AM21" s="61"/>
      <c r="AN21" s="269" t="b">
        <v>1</v>
      </c>
      <c r="AP21" s="403">
        <v>46163.0</v>
      </c>
      <c r="AQ21" s="294" t="s">
        <v>2674</v>
      </c>
      <c r="AR21" s="294" t="s">
        <v>2675</v>
      </c>
      <c r="AS21" s="391" t="s">
        <v>27</v>
      </c>
      <c r="AT21" s="295" t="s">
        <v>2337</v>
      </c>
      <c r="AU21" s="221"/>
      <c r="AV21" s="269" t="b">
        <v>1</v>
      </c>
      <c r="AX21" s="270">
        <v>46169.0</v>
      </c>
      <c r="AY21" s="312" t="s">
        <v>2676</v>
      </c>
      <c r="AZ21" s="392" t="s">
        <v>2677</v>
      </c>
      <c r="BA21" s="58" t="s">
        <v>22</v>
      </c>
      <c r="BB21" s="58" t="s">
        <v>958</v>
      </c>
      <c r="BC21" s="61"/>
      <c r="BD21" s="269" t="b">
        <v>1</v>
      </c>
      <c r="BF21" s="382">
        <v>46170.0</v>
      </c>
      <c r="BG21" s="408" t="s">
        <v>2678</v>
      </c>
      <c r="BH21" s="408" t="s">
        <v>2679</v>
      </c>
      <c r="BI21" s="409" t="s">
        <v>25</v>
      </c>
      <c r="BJ21" s="409" t="s">
        <v>2338</v>
      </c>
      <c r="BK21" s="109" t="s">
        <v>2680</v>
      </c>
      <c r="BL21" s="298"/>
    </row>
    <row r="22" ht="22.5" customHeight="1">
      <c r="A22" s="368"/>
      <c r="B22" s="314">
        <v>46142.0</v>
      </c>
      <c r="C22" s="302" t="s">
        <v>2681</v>
      </c>
      <c r="D22" s="277" t="s">
        <v>2682</v>
      </c>
      <c r="E22" s="303" t="s">
        <v>22</v>
      </c>
      <c r="F22" s="303" t="s">
        <v>14</v>
      </c>
      <c r="G22" s="290"/>
      <c r="H22" s="281" t="b">
        <v>1</v>
      </c>
      <c r="J22" s="270">
        <v>46150.0</v>
      </c>
      <c r="K22" s="109" t="s">
        <v>2683</v>
      </c>
      <c r="L22" s="109" t="s">
        <v>2684</v>
      </c>
      <c r="M22" s="58" t="s">
        <v>18</v>
      </c>
      <c r="N22" s="58" t="s">
        <v>17</v>
      </c>
      <c r="O22" s="61"/>
      <c r="P22" s="269"/>
      <c r="R22" s="270">
        <v>46157.0</v>
      </c>
      <c r="S22" s="312" t="s">
        <v>2685</v>
      </c>
      <c r="T22" s="109" t="s">
        <v>2686</v>
      </c>
      <c r="U22" s="58" t="s">
        <v>22</v>
      </c>
      <c r="V22" s="58" t="s">
        <v>958</v>
      </c>
      <c r="W22" s="109"/>
      <c r="X22" s="269" t="b">
        <v>1</v>
      </c>
      <c r="Z22" s="270">
        <v>46155.0</v>
      </c>
      <c r="AA22" s="109" t="s">
        <v>2687</v>
      </c>
      <c r="AB22" s="109" t="s">
        <v>2688</v>
      </c>
      <c r="AC22" s="58" t="s">
        <v>11</v>
      </c>
      <c r="AD22" s="58" t="s">
        <v>28</v>
      </c>
      <c r="AE22" s="109" t="s">
        <v>2689</v>
      </c>
      <c r="AF22" s="269"/>
      <c r="AH22" s="270">
        <v>46167.0</v>
      </c>
      <c r="AI22" s="109" t="s">
        <v>2690</v>
      </c>
      <c r="AJ22" s="373" t="s">
        <v>2691</v>
      </c>
      <c r="AK22" s="58" t="s">
        <v>22</v>
      </c>
      <c r="AL22" s="58" t="s">
        <v>20</v>
      </c>
      <c r="AM22" s="61"/>
      <c r="AN22" s="269" t="b">
        <v>1</v>
      </c>
      <c r="AP22" s="401">
        <v>46163.0</v>
      </c>
      <c r="AQ22" s="273" t="s">
        <v>2692</v>
      </c>
      <c r="AR22" s="273" t="s">
        <v>2693</v>
      </c>
      <c r="AS22" s="402" t="s">
        <v>27</v>
      </c>
      <c r="AT22" s="274" t="s">
        <v>2337</v>
      </c>
      <c r="AU22" s="230"/>
      <c r="AV22" s="269" t="b">
        <v>1</v>
      </c>
      <c r="AX22" s="270">
        <v>46169.0</v>
      </c>
      <c r="AY22" s="312" t="s">
        <v>2694</v>
      </c>
      <c r="AZ22" s="410" t="s">
        <v>2695</v>
      </c>
      <c r="BA22" s="58" t="s">
        <v>22</v>
      </c>
      <c r="BB22" s="58" t="s">
        <v>28</v>
      </c>
      <c r="BC22" s="61"/>
      <c r="BD22" s="269" t="b">
        <v>1</v>
      </c>
      <c r="BF22" s="401">
        <v>46170.0</v>
      </c>
      <c r="BG22" s="273" t="s">
        <v>2696</v>
      </c>
      <c r="BH22" s="273" t="s">
        <v>2697</v>
      </c>
      <c r="BI22" s="274" t="s">
        <v>18</v>
      </c>
      <c r="BJ22" s="274" t="s">
        <v>2337</v>
      </c>
      <c r="BK22" s="61"/>
      <c r="BL22" s="298"/>
    </row>
    <row r="23" ht="22.5" customHeight="1">
      <c r="A23" s="368"/>
      <c r="B23" s="314">
        <v>46142.0</v>
      </c>
      <c r="C23" s="302" t="s">
        <v>2698</v>
      </c>
      <c r="D23" s="277" t="s">
        <v>2699</v>
      </c>
      <c r="E23" s="303" t="s">
        <v>22</v>
      </c>
      <c r="F23" s="303" t="s">
        <v>14</v>
      </c>
      <c r="G23" s="290"/>
      <c r="H23" s="281" t="b">
        <v>1</v>
      </c>
      <c r="J23" s="270">
        <v>46147.0</v>
      </c>
      <c r="K23" s="109" t="s">
        <v>2700</v>
      </c>
      <c r="L23" s="109" t="s">
        <v>2701</v>
      </c>
      <c r="M23" s="58" t="s">
        <v>11</v>
      </c>
      <c r="N23" s="58" t="s">
        <v>20</v>
      </c>
      <c r="O23" s="377" t="s">
        <v>2370</v>
      </c>
      <c r="P23" s="269" t="b">
        <v>1</v>
      </c>
      <c r="R23" s="270">
        <v>46157.0</v>
      </c>
      <c r="S23" s="312" t="s">
        <v>2702</v>
      </c>
      <c r="T23" s="109" t="s">
        <v>2703</v>
      </c>
      <c r="U23" s="58" t="s">
        <v>22</v>
      </c>
      <c r="V23" s="58" t="s">
        <v>958</v>
      </c>
      <c r="W23" s="61"/>
      <c r="X23" s="269" t="b">
        <v>1</v>
      </c>
      <c r="Z23" s="270">
        <v>46155.0</v>
      </c>
      <c r="AA23" s="109" t="s">
        <v>2704</v>
      </c>
      <c r="AB23" s="109" t="s">
        <v>2705</v>
      </c>
      <c r="AC23" s="58" t="s">
        <v>27</v>
      </c>
      <c r="AD23" s="58" t="s">
        <v>14</v>
      </c>
      <c r="AE23" s="61"/>
      <c r="AF23" s="269" t="b">
        <v>1</v>
      </c>
      <c r="AH23" s="270">
        <v>46167.0</v>
      </c>
      <c r="AI23" s="109" t="s">
        <v>2706</v>
      </c>
      <c r="AJ23" s="373" t="s">
        <v>2707</v>
      </c>
      <c r="AK23" s="58" t="s">
        <v>22</v>
      </c>
      <c r="AL23" s="58" t="s">
        <v>20</v>
      </c>
      <c r="AM23" s="61"/>
      <c r="AN23" s="269" t="b">
        <v>1</v>
      </c>
      <c r="AP23" s="403">
        <v>46163.0</v>
      </c>
      <c r="AQ23" s="294" t="s">
        <v>2708</v>
      </c>
      <c r="AR23" s="294" t="s">
        <v>2709</v>
      </c>
      <c r="AS23" s="391" t="s">
        <v>27</v>
      </c>
      <c r="AT23" s="295" t="s">
        <v>2337</v>
      </c>
      <c r="AU23" s="221"/>
      <c r="AV23" s="269" t="b">
        <v>1</v>
      </c>
      <c r="AX23" s="270">
        <v>46169.0</v>
      </c>
      <c r="AY23" s="109" t="s">
        <v>2710</v>
      </c>
      <c r="AZ23" s="373" t="s">
        <v>2711</v>
      </c>
      <c r="BA23" s="58" t="s">
        <v>22</v>
      </c>
      <c r="BB23" s="58" t="s">
        <v>28</v>
      </c>
      <c r="BC23" s="61"/>
      <c r="BD23" s="269" t="b">
        <v>1</v>
      </c>
      <c r="BF23" s="270">
        <v>46170.0</v>
      </c>
      <c r="BG23" s="109" t="s">
        <v>2712</v>
      </c>
      <c r="BH23" s="109" t="s">
        <v>2713</v>
      </c>
      <c r="BI23" s="58" t="s">
        <v>27</v>
      </c>
      <c r="BJ23" s="58" t="s">
        <v>20</v>
      </c>
      <c r="BK23" s="61"/>
      <c r="BL23" s="269" t="b">
        <v>1</v>
      </c>
    </row>
    <row r="24" ht="22.5" customHeight="1">
      <c r="A24" s="368"/>
      <c r="B24" s="314">
        <v>46132.0</v>
      </c>
      <c r="C24" s="302" t="s">
        <v>2714</v>
      </c>
      <c r="D24" s="277" t="s">
        <v>2715</v>
      </c>
      <c r="E24" s="303" t="s">
        <v>22</v>
      </c>
      <c r="F24" s="303" t="s">
        <v>9</v>
      </c>
      <c r="G24" s="290"/>
      <c r="H24" s="281" t="b">
        <v>1</v>
      </c>
      <c r="J24" s="270">
        <v>46147.0</v>
      </c>
      <c r="K24" s="109" t="s">
        <v>2716</v>
      </c>
      <c r="L24" s="109" t="s">
        <v>2717</v>
      </c>
      <c r="M24" s="58" t="s">
        <v>11</v>
      </c>
      <c r="N24" s="58" t="s">
        <v>20</v>
      </c>
      <c r="O24" s="61"/>
      <c r="P24" s="269" t="b">
        <v>1</v>
      </c>
      <c r="R24" s="270">
        <v>46160.0</v>
      </c>
      <c r="S24" s="312" t="s">
        <v>2718</v>
      </c>
      <c r="T24" s="109" t="s">
        <v>2719</v>
      </c>
      <c r="U24" s="58" t="s">
        <v>10</v>
      </c>
      <c r="V24" s="58" t="s">
        <v>9</v>
      </c>
      <c r="W24" s="61"/>
      <c r="X24" s="269" t="b">
        <v>1</v>
      </c>
      <c r="Z24" s="270">
        <v>46155.0</v>
      </c>
      <c r="AA24" s="109" t="s">
        <v>2720</v>
      </c>
      <c r="AB24" s="109" t="s">
        <v>2721</v>
      </c>
      <c r="AC24" s="58" t="s">
        <v>18</v>
      </c>
      <c r="AD24" s="58" t="s">
        <v>14</v>
      </c>
      <c r="AE24" s="61"/>
      <c r="AF24" s="269" t="b">
        <v>1</v>
      </c>
      <c r="AH24" s="270">
        <v>46167.0</v>
      </c>
      <c r="AI24" s="47" t="s">
        <v>2722</v>
      </c>
      <c r="AJ24" s="373" t="s">
        <v>2723</v>
      </c>
      <c r="AK24" s="58" t="s">
        <v>22</v>
      </c>
      <c r="AL24" s="58" t="s">
        <v>20</v>
      </c>
      <c r="AM24" s="61"/>
      <c r="AN24" s="269" t="b">
        <v>1</v>
      </c>
      <c r="AP24" s="401">
        <v>46163.0</v>
      </c>
      <c r="AQ24" s="273" t="s">
        <v>2724</v>
      </c>
      <c r="AR24" s="273" t="s">
        <v>2725</v>
      </c>
      <c r="AS24" s="402" t="s">
        <v>27</v>
      </c>
      <c r="AT24" s="274" t="s">
        <v>2337</v>
      </c>
      <c r="AU24" s="230"/>
      <c r="AV24" s="269" t="b">
        <v>1</v>
      </c>
      <c r="AX24" s="270">
        <v>46170.0</v>
      </c>
      <c r="AY24" s="109" t="s">
        <v>2726</v>
      </c>
      <c r="AZ24" s="373" t="s">
        <v>2727</v>
      </c>
      <c r="BA24" s="322" t="s">
        <v>22</v>
      </c>
      <c r="BB24" s="58" t="s">
        <v>9</v>
      </c>
      <c r="BC24" s="61"/>
      <c r="BD24" s="269" t="b">
        <v>1</v>
      </c>
      <c r="BF24" s="270">
        <v>46170.0</v>
      </c>
      <c r="BG24" s="109" t="s">
        <v>2728</v>
      </c>
      <c r="BH24" s="109" t="s">
        <v>2729</v>
      </c>
      <c r="BI24" s="58" t="s">
        <v>11</v>
      </c>
      <c r="BJ24" s="58" t="s">
        <v>20</v>
      </c>
      <c r="BK24" s="61"/>
      <c r="BL24" s="269" t="b">
        <v>1</v>
      </c>
    </row>
    <row r="25" ht="22.5" customHeight="1">
      <c r="A25" s="368"/>
      <c r="B25" s="314">
        <v>46132.0</v>
      </c>
      <c r="C25" s="302" t="s">
        <v>2730</v>
      </c>
      <c r="D25" s="277" t="s">
        <v>2731</v>
      </c>
      <c r="E25" s="303" t="s">
        <v>22</v>
      </c>
      <c r="F25" s="303" t="s">
        <v>958</v>
      </c>
      <c r="G25" s="302"/>
      <c r="H25" s="281" t="b">
        <v>1</v>
      </c>
      <c r="J25" s="270">
        <v>46147.0</v>
      </c>
      <c r="K25" s="109" t="s">
        <v>2732</v>
      </c>
      <c r="L25" s="109" t="s">
        <v>2733</v>
      </c>
      <c r="M25" s="58" t="s">
        <v>27</v>
      </c>
      <c r="N25" s="58" t="s">
        <v>20</v>
      </c>
      <c r="O25" s="377" t="s">
        <v>2370</v>
      </c>
      <c r="P25" s="269" t="b">
        <v>1</v>
      </c>
      <c r="R25" s="270">
        <v>46160.0</v>
      </c>
      <c r="S25" s="109" t="s">
        <v>2734</v>
      </c>
      <c r="T25" s="109" t="s">
        <v>2735</v>
      </c>
      <c r="U25" s="58" t="s">
        <v>22</v>
      </c>
      <c r="V25" s="58" t="s">
        <v>9</v>
      </c>
      <c r="W25" s="61"/>
      <c r="X25" s="269" t="b">
        <v>1</v>
      </c>
      <c r="Z25" s="270">
        <v>46155.0</v>
      </c>
      <c r="AA25" s="109" t="s">
        <v>2736</v>
      </c>
      <c r="AB25" s="109" t="s">
        <v>2737</v>
      </c>
      <c r="AC25" s="58" t="s">
        <v>23</v>
      </c>
      <c r="AD25" s="58" t="s">
        <v>2337</v>
      </c>
      <c r="AE25" s="61"/>
      <c r="AF25" s="269" t="b">
        <v>1</v>
      </c>
      <c r="AH25" s="270">
        <v>46167.0</v>
      </c>
      <c r="AI25" s="109" t="s">
        <v>2738</v>
      </c>
      <c r="AJ25" s="373" t="s">
        <v>2739</v>
      </c>
      <c r="AK25" s="58" t="s">
        <v>22</v>
      </c>
      <c r="AL25" s="58" t="s">
        <v>20</v>
      </c>
      <c r="AM25" s="61"/>
      <c r="AN25" s="269" t="b">
        <v>1</v>
      </c>
      <c r="AP25" s="380">
        <v>46163.0</v>
      </c>
      <c r="AQ25" s="294" t="s">
        <v>2740</v>
      </c>
      <c r="AR25" s="294" t="s">
        <v>2741</v>
      </c>
      <c r="AS25" s="411" t="s">
        <v>18</v>
      </c>
      <c r="AT25" s="295" t="s">
        <v>2338</v>
      </c>
      <c r="AU25" s="61"/>
      <c r="AV25" s="269" t="b">
        <v>1</v>
      </c>
      <c r="AX25" s="270">
        <v>46170.0</v>
      </c>
      <c r="AY25" s="312" t="s">
        <v>2742</v>
      </c>
      <c r="AZ25" s="373" t="s">
        <v>2743</v>
      </c>
      <c r="BA25" s="58" t="s">
        <v>16</v>
      </c>
      <c r="BB25" s="322" t="s">
        <v>958</v>
      </c>
      <c r="BC25" s="61"/>
      <c r="BD25" s="269" t="b">
        <v>1</v>
      </c>
      <c r="BF25" s="270">
        <v>46170.0</v>
      </c>
      <c r="BG25" s="109" t="s">
        <v>2744</v>
      </c>
      <c r="BH25" s="109" t="s">
        <v>2745</v>
      </c>
      <c r="BI25" s="58" t="s">
        <v>11</v>
      </c>
      <c r="BJ25" s="58" t="s">
        <v>20</v>
      </c>
      <c r="BK25" s="61"/>
      <c r="BL25" s="269" t="b">
        <v>1</v>
      </c>
    </row>
    <row r="26" ht="22.5" customHeight="1">
      <c r="A26" s="368"/>
      <c r="B26" s="314">
        <v>46132.0</v>
      </c>
      <c r="C26" s="302" t="s">
        <v>2746</v>
      </c>
      <c r="D26" s="277" t="s">
        <v>2747</v>
      </c>
      <c r="E26" s="303" t="s">
        <v>22</v>
      </c>
      <c r="F26" s="303" t="s">
        <v>958</v>
      </c>
      <c r="G26" s="290"/>
      <c r="H26" s="281" t="b">
        <v>1</v>
      </c>
      <c r="J26" s="270">
        <v>46147.0</v>
      </c>
      <c r="K26" s="109" t="s">
        <v>2748</v>
      </c>
      <c r="L26" s="109" t="s">
        <v>2749</v>
      </c>
      <c r="M26" s="58" t="s">
        <v>27</v>
      </c>
      <c r="N26" s="58" t="s">
        <v>20</v>
      </c>
      <c r="O26" s="61"/>
      <c r="P26" s="269" t="b">
        <v>1</v>
      </c>
      <c r="R26" s="270">
        <v>46160.0</v>
      </c>
      <c r="S26" s="109" t="s">
        <v>2750</v>
      </c>
      <c r="T26" s="109" t="s">
        <v>2751</v>
      </c>
      <c r="U26" s="58" t="s">
        <v>22</v>
      </c>
      <c r="V26" s="58" t="s">
        <v>9</v>
      </c>
      <c r="W26" s="61"/>
      <c r="X26" s="269" t="b">
        <v>1</v>
      </c>
      <c r="Z26" s="270">
        <v>46155.0</v>
      </c>
      <c r="AA26" s="109" t="s">
        <v>2752</v>
      </c>
      <c r="AB26" s="109" t="s">
        <v>2753</v>
      </c>
      <c r="AC26" s="58" t="s">
        <v>23</v>
      </c>
      <c r="AD26" s="58" t="s">
        <v>2337</v>
      </c>
      <c r="AE26" s="61"/>
      <c r="AF26" s="269" t="b">
        <v>1</v>
      </c>
      <c r="AH26" s="270">
        <v>46167.0</v>
      </c>
      <c r="AI26" s="109" t="s">
        <v>2754</v>
      </c>
      <c r="AJ26" s="373" t="s">
        <v>2755</v>
      </c>
      <c r="AK26" s="58" t="s">
        <v>22</v>
      </c>
      <c r="AL26" s="58" t="s">
        <v>20</v>
      </c>
      <c r="AM26" s="61"/>
      <c r="AN26" s="269" t="b">
        <v>1</v>
      </c>
      <c r="AP26" s="382">
        <v>46163.0</v>
      </c>
      <c r="AQ26" s="273" t="s">
        <v>2756</v>
      </c>
      <c r="AR26" s="273" t="s">
        <v>2757</v>
      </c>
      <c r="AS26" s="395" t="s">
        <v>18</v>
      </c>
      <c r="AT26" s="409" t="s">
        <v>2338</v>
      </c>
      <c r="AU26" s="61"/>
      <c r="AV26" s="269" t="b">
        <v>1</v>
      </c>
      <c r="AX26" s="270">
        <v>46170.0</v>
      </c>
      <c r="AY26" s="312" t="s">
        <v>2758</v>
      </c>
      <c r="AZ26" s="373" t="s">
        <v>2759</v>
      </c>
      <c r="BA26" s="58" t="s">
        <v>16</v>
      </c>
      <c r="BB26" s="58" t="s">
        <v>958</v>
      </c>
      <c r="BC26" s="61"/>
      <c r="BD26" s="269" t="b">
        <v>1</v>
      </c>
      <c r="BF26" s="270">
        <v>46170.0</v>
      </c>
      <c r="BG26" s="109" t="s">
        <v>2760</v>
      </c>
      <c r="BH26" s="109" t="s">
        <v>2761</v>
      </c>
      <c r="BI26" s="58" t="s">
        <v>27</v>
      </c>
      <c r="BJ26" s="58" t="s">
        <v>20</v>
      </c>
      <c r="BK26" s="61"/>
      <c r="BL26" s="269" t="b">
        <v>1</v>
      </c>
    </row>
    <row r="27" ht="22.5" customHeight="1">
      <c r="A27" s="368"/>
      <c r="B27" s="314">
        <v>46132.0</v>
      </c>
      <c r="C27" s="302" t="s">
        <v>2762</v>
      </c>
      <c r="D27" s="277" t="s">
        <v>2763</v>
      </c>
      <c r="E27" s="303" t="s">
        <v>22</v>
      </c>
      <c r="F27" s="303" t="s">
        <v>958</v>
      </c>
      <c r="G27" s="290"/>
      <c r="H27" s="281" t="b">
        <v>1</v>
      </c>
      <c r="J27" s="270">
        <v>46147.0</v>
      </c>
      <c r="K27" s="109" t="s">
        <v>2764</v>
      </c>
      <c r="L27" s="109" t="s">
        <v>2765</v>
      </c>
      <c r="M27" s="58" t="s">
        <v>27</v>
      </c>
      <c r="N27" s="58" t="s">
        <v>20</v>
      </c>
      <c r="O27" s="61"/>
      <c r="P27" s="269" t="b">
        <v>1</v>
      </c>
      <c r="R27" s="270">
        <v>46160.0</v>
      </c>
      <c r="S27" s="109" t="s">
        <v>2766</v>
      </c>
      <c r="T27" s="109" t="s">
        <v>2767</v>
      </c>
      <c r="U27" s="58" t="s">
        <v>22</v>
      </c>
      <c r="V27" s="58" t="s">
        <v>9</v>
      </c>
      <c r="W27" s="61"/>
      <c r="X27" s="269" t="b">
        <v>1</v>
      </c>
      <c r="Z27" s="270">
        <v>46155.0</v>
      </c>
      <c r="AA27" s="109" t="s">
        <v>2768</v>
      </c>
      <c r="AB27" s="109" t="s">
        <v>2769</v>
      </c>
      <c r="AC27" s="58" t="s">
        <v>18</v>
      </c>
      <c r="AD27" s="58" t="s">
        <v>17</v>
      </c>
      <c r="AE27" s="109" t="s">
        <v>2770</v>
      </c>
      <c r="AF27" s="269" t="b">
        <v>1</v>
      </c>
      <c r="AH27" s="270">
        <v>46167.0</v>
      </c>
      <c r="AI27" s="109" t="s">
        <v>2771</v>
      </c>
      <c r="AJ27" s="373" t="s">
        <v>2772</v>
      </c>
      <c r="AK27" s="58" t="s">
        <v>22</v>
      </c>
      <c r="AL27" s="58" t="s">
        <v>20</v>
      </c>
      <c r="AM27" s="61"/>
      <c r="AN27" s="269" t="b">
        <v>1</v>
      </c>
      <c r="AP27" s="380">
        <v>46163.0</v>
      </c>
      <c r="AQ27" s="294" t="s">
        <v>2773</v>
      </c>
      <c r="AR27" s="294" t="s">
        <v>2774</v>
      </c>
      <c r="AS27" s="411" t="s">
        <v>18</v>
      </c>
      <c r="AT27" s="381" t="s">
        <v>2338</v>
      </c>
      <c r="AU27" s="61"/>
      <c r="AV27" s="269" t="b">
        <v>1</v>
      </c>
      <c r="AX27" s="270">
        <v>46170.0</v>
      </c>
      <c r="AY27" s="312" t="s">
        <v>2775</v>
      </c>
      <c r="AZ27" s="347" t="s">
        <v>2776</v>
      </c>
      <c r="BA27" s="58" t="s">
        <v>19</v>
      </c>
      <c r="BB27" s="58" t="s">
        <v>958</v>
      </c>
      <c r="BC27" s="61"/>
      <c r="BD27" s="269" t="b">
        <v>1</v>
      </c>
      <c r="BF27" s="270">
        <v>46170.0</v>
      </c>
      <c r="BG27" s="109" t="s">
        <v>2777</v>
      </c>
      <c r="BH27" s="109" t="s">
        <v>2778</v>
      </c>
      <c r="BI27" s="58" t="s">
        <v>30</v>
      </c>
      <c r="BJ27" s="58" t="s">
        <v>20</v>
      </c>
      <c r="BK27" s="61"/>
      <c r="BL27" s="269" t="b">
        <v>1</v>
      </c>
    </row>
    <row r="28" ht="22.5" customHeight="1">
      <c r="A28" s="368"/>
      <c r="B28" s="314">
        <v>46132.0</v>
      </c>
      <c r="C28" s="302" t="s">
        <v>2779</v>
      </c>
      <c r="D28" s="277" t="s">
        <v>2780</v>
      </c>
      <c r="E28" s="303" t="s">
        <v>22</v>
      </c>
      <c r="F28" s="303" t="s">
        <v>958</v>
      </c>
      <c r="G28" s="290"/>
      <c r="H28" s="281" t="b">
        <v>1</v>
      </c>
      <c r="J28" s="270">
        <v>46147.0</v>
      </c>
      <c r="K28" s="109" t="s">
        <v>2781</v>
      </c>
      <c r="L28" s="109" t="s">
        <v>2782</v>
      </c>
      <c r="M28" s="58" t="s">
        <v>27</v>
      </c>
      <c r="N28" s="58" t="s">
        <v>20</v>
      </c>
      <c r="O28" s="61"/>
      <c r="P28" s="269" t="b">
        <v>1</v>
      </c>
      <c r="R28" s="270">
        <v>46160.0</v>
      </c>
      <c r="S28" s="109" t="s">
        <v>2783</v>
      </c>
      <c r="T28" s="109" t="s">
        <v>2784</v>
      </c>
      <c r="U28" s="322" t="s">
        <v>10</v>
      </c>
      <c r="V28" s="58" t="s">
        <v>9</v>
      </c>
      <c r="W28" s="109"/>
      <c r="X28" s="269" t="b">
        <v>1</v>
      </c>
      <c r="Z28" s="270">
        <v>46155.0</v>
      </c>
      <c r="AA28" s="109" t="s">
        <v>2785</v>
      </c>
      <c r="AB28" s="109" t="s">
        <v>2786</v>
      </c>
      <c r="AC28" s="58" t="s">
        <v>18</v>
      </c>
      <c r="AD28" s="58" t="s">
        <v>2337</v>
      </c>
      <c r="AE28" s="61"/>
      <c r="AF28" s="269" t="b">
        <v>1</v>
      </c>
      <c r="AH28" s="270">
        <v>46167.0</v>
      </c>
      <c r="AI28" s="109" t="s">
        <v>2787</v>
      </c>
      <c r="AJ28" s="373" t="s">
        <v>2788</v>
      </c>
      <c r="AK28" s="322" t="s">
        <v>22</v>
      </c>
      <c r="AL28" s="58" t="s">
        <v>20</v>
      </c>
      <c r="AM28" s="61"/>
      <c r="AN28" s="269" t="b">
        <v>1</v>
      </c>
      <c r="AP28" s="403">
        <v>46164.0</v>
      </c>
      <c r="AQ28" s="294" t="s">
        <v>2789</v>
      </c>
      <c r="AR28" s="294" t="s">
        <v>2790</v>
      </c>
      <c r="AS28" s="391" t="s">
        <v>27</v>
      </c>
      <c r="AT28" s="295" t="s">
        <v>2337</v>
      </c>
      <c r="AU28" s="221"/>
      <c r="AV28" s="269" t="b">
        <v>1</v>
      </c>
      <c r="AX28" s="270">
        <v>46170.0</v>
      </c>
      <c r="AY28" s="294" t="s">
        <v>2791</v>
      </c>
      <c r="AZ28" s="412" t="s">
        <v>2792</v>
      </c>
      <c r="BA28" s="58" t="s">
        <v>22</v>
      </c>
      <c r="BB28" s="58" t="s">
        <v>12</v>
      </c>
      <c r="BC28" s="61"/>
      <c r="BD28" s="269" t="b">
        <v>1</v>
      </c>
      <c r="BF28" s="270">
        <v>46170.0</v>
      </c>
      <c r="BG28" s="109" t="s">
        <v>2793</v>
      </c>
      <c r="BH28" s="109" t="s">
        <v>2794</v>
      </c>
      <c r="BI28" s="58" t="s">
        <v>30</v>
      </c>
      <c r="BJ28" s="58" t="s">
        <v>20</v>
      </c>
      <c r="BK28" s="61"/>
      <c r="BL28" s="269" t="b">
        <v>1</v>
      </c>
    </row>
    <row r="29" ht="22.5" customHeight="1">
      <c r="A29" s="368"/>
      <c r="B29" s="314">
        <v>46132.0</v>
      </c>
      <c r="C29" s="302" t="s">
        <v>2795</v>
      </c>
      <c r="D29" s="277" t="s">
        <v>2796</v>
      </c>
      <c r="E29" s="303" t="s">
        <v>22</v>
      </c>
      <c r="F29" s="303" t="s">
        <v>958</v>
      </c>
      <c r="G29" s="290"/>
      <c r="H29" s="281" t="b">
        <v>1</v>
      </c>
      <c r="J29" s="270">
        <v>46147.0</v>
      </c>
      <c r="K29" s="109" t="s">
        <v>2797</v>
      </c>
      <c r="L29" s="109" t="s">
        <v>2798</v>
      </c>
      <c r="M29" s="58" t="s">
        <v>30</v>
      </c>
      <c r="N29" s="58" t="s">
        <v>20</v>
      </c>
      <c r="O29" s="61"/>
      <c r="P29" s="269" t="b">
        <v>1</v>
      </c>
      <c r="R29" s="270">
        <v>46160.0</v>
      </c>
      <c r="S29" s="323" t="s">
        <v>2799</v>
      </c>
      <c r="T29" s="109" t="s">
        <v>2800</v>
      </c>
      <c r="U29" s="58" t="s">
        <v>16</v>
      </c>
      <c r="V29" s="322" t="s">
        <v>9</v>
      </c>
      <c r="W29" s="61"/>
      <c r="X29" s="269" t="b">
        <v>1</v>
      </c>
      <c r="Z29" s="270">
        <v>46155.0</v>
      </c>
      <c r="AA29" s="109" t="s">
        <v>2801</v>
      </c>
      <c r="AB29" s="109" t="s">
        <v>2802</v>
      </c>
      <c r="AC29" s="58" t="s">
        <v>27</v>
      </c>
      <c r="AD29" s="58" t="s">
        <v>17</v>
      </c>
      <c r="AE29" s="61"/>
      <c r="AF29" s="269" t="b">
        <v>1</v>
      </c>
      <c r="AH29" s="270">
        <v>46167.0</v>
      </c>
      <c r="AI29" s="109" t="s">
        <v>2803</v>
      </c>
      <c r="AJ29" s="373" t="s">
        <v>2804</v>
      </c>
      <c r="AK29" s="413"/>
      <c r="AL29" s="344" t="s">
        <v>2344</v>
      </c>
      <c r="AM29" s="109" t="s">
        <v>2805</v>
      </c>
      <c r="AN29" s="269"/>
      <c r="AP29" s="401">
        <v>46164.0</v>
      </c>
      <c r="AQ29" s="273" t="s">
        <v>2806</v>
      </c>
      <c r="AR29" s="273" t="s">
        <v>2807</v>
      </c>
      <c r="AS29" s="402" t="s">
        <v>27</v>
      </c>
      <c r="AT29" s="274" t="s">
        <v>2337</v>
      </c>
      <c r="AU29" s="230"/>
      <c r="AV29" s="269" t="b">
        <v>1</v>
      </c>
      <c r="AX29" s="270">
        <v>46170.0</v>
      </c>
      <c r="AY29" s="273" t="s">
        <v>2808</v>
      </c>
      <c r="AZ29" s="414" t="s">
        <v>2809</v>
      </c>
      <c r="BA29" s="58" t="s">
        <v>22</v>
      </c>
      <c r="BB29" s="58" t="s">
        <v>12</v>
      </c>
      <c r="BC29" s="61"/>
      <c r="BD29" s="269" t="b">
        <v>1</v>
      </c>
      <c r="BF29" s="270">
        <v>46170.0</v>
      </c>
      <c r="BG29" s="109" t="s">
        <v>2810</v>
      </c>
      <c r="BH29" s="109" t="s">
        <v>2811</v>
      </c>
      <c r="BI29" s="58" t="s">
        <v>11</v>
      </c>
      <c r="BJ29" s="58" t="s">
        <v>20</v>
      </c>
      <c r="BK29" s="61"/>
      <c r="BL29" s="269" t="b">
        <v>1</v>
      </c>
    </row>
    <row r="30" ht="22.5" customHeight="1">
      <c r="A30" s="368"/>
      <c r="B30" s="314">
        <v>46132.0</v>
      </c>
      <c r="C30" s="302" t="s">
        <v>2812</v>
      </c>
      <c r="D30" s="277" t="s">
        <v>2813</v>
      </c>
      <c r="E30" s="303" t="s">
        <v>22</v>
      </c>
      <c r="F30" s="303" t="s">
        <v>958</v>
      </c>
      <c r="G30" s="290"/>
      <c r="H30" s="281" t="b">
        <v>1</v>
      </c>
      <c r="J30" s="270">
        <v>46147.0</v>
      </c>
      <c r="K30" s="109" t="s">
        <v>2814</v>
      </c>
      <c r="L30" s="109" t="s">
        <v>2815</v>
      </c>
      <c r="M30" s="58" t="s">
        <v>30</v>
      </c>
      <c r="N30" s="58" t="s">
        <v>20</v>
      </c>
      <c r="O30" s="61"/>
      <c r="P30" s="269" t="b">
        <v>1</v>
      </c>
      <c r="R30" s="270">
        <v>46160.0</v>
      </c>
      <c r="S30" s="312" t="s">
        <v>2816</v>
      </c>
      <c r="T30" s="326" t="s">
        <v>2817</v>
      </c>
      <c r="U30" s="58" t="s">
        <v>22</v>
      </c>
      <c r="V30" s="58" t="s">
        <v>958</v>
      </c>
      <c r="W30" s="61"/>
      <c r="X30" s="269" t="b">
        <v>1</v>
      </c>
      <c r="Z30" s="270">
        <v>46155.0</v>
      </c>
      <c r="AA30" s="109" t="s">
        <v>2818</v>
      </c>
      <c r="AB30" s="109" t="s">
        <v>2819</v>
      </c>
      <c r="AC30" s="58" t="s">
        <v>18</v>
      </c>
      <c r="AD30" s="58" t="s">
        <v>2337</v>
      </c>
      <c r="AE30" s="61"/>
      <c r="AF30" s="269" t="b">
        <v>1</v>
      </c>
      <c r="AH30" s="270">
        <v>46167.0</v>
      </c>
      <c r="AI30" s="109" t="s">
        <v>2820</v>
      </c>
      <c r="AJ30" s="373" t="s">
        <v>2821</v>
      </c>
      <c r="AK30" s="413"/>
      <c r="AL30" s="344" t="s">
        <v>2344</v>
      </c>
      <c r="AM30" s="109" t="s">
        <v>2822</v>
      </c>
      <c r="AN30" s="298"/>
      <c r="AP30" s="403">
        <v>46164.0</v>
      </c>
      <c r="AQ30" s="294" t="s">
        <v>2823</v>
      </c>
      <c r="AR30" s="294" t="s">
        <v>2824</v>
      </c>
      <c r="AS30" s="391" t="s">
        <v>27</v>
      </c>
      <c r="AT30" s="295" t="s">
        <v>2337</v>
      </c>
      <c r="AU30" s="221"/>
      <c r="AV30" s="269" t="b">
        <v>1</v>
      </c>
      <c r="AX30" s="270">
        <v>46170.0</v>
      </c>
      <c r="AY30" s="294" t="s">
        <v>2825</v>
      </c>
      <c r="AZ30" s="412" t="s">
        <v>2826</v>
      </c>
      <c r="BA30" s="58" t="s">
        <v>22</v>
      </c>
      <c r="BB30" s="58" t="s">
        <v>12</v>
      </c>
      <c r="BC30" s="61"/>
      <c r="BD30" s="269" t="b">
        <v>1</v>
      </c>
      <c r="BF30" s="270">
        <v>46170.0</v>
      </c>
      <c r="BG30" s="109" t="s">
        <v>2827</v>
      </c>
      <c r="BH30" s="109" t="s">
        <v>2828</v>
      </c>
      <c r="BI30" s="58" t="s">
        <v>27</v>
      </c>
      <c r="BJ30" s="58" t="s">
        <v>20</v>
      </c>
      <c r="BK30" s="61"/>
      <c r="BL30" s="269" t="b">
        <v>1</v>
      </c>
    </row>
    <row r="31" ht="22.5" customHeight="1">
      <c r="A31" s="368"/>
      <c r="B31" s="314">
        <v>46132.0</v>
      </c>
      <c r="C31" s="302" t="s">
        <v>2829</v>
      </c>
      <c r="D31" s="277" t="s">
        <v>2830</v>
      </c>
      <c r="E31" s="303" t="s">
        <v>22</v>
      </c>
      <c r="F31" s="303" t="s">
        <v>958</v>
      </c>
      <c r="G31" s="302" t="s">
        <v>2831</v>
      </c>
      <c r="H31" s="281" t="b">
        <v>1</v>
      </c>
      <c r="J31" s="270">
        <v>46147.0</v>
      </c>
      <c r="K31" s="109" t="s">
        <v>2832</v>
      </c>
      <c r="L31" s="109" t="s">
        <v>2833</v>
      </c>
      <c r="M31" s="58" t="s">
        <v>11</v>
      </c>
      <c r="N31" s="58" t="s">
        <v>20</v>
      </c>
      <c r="O31" s="61"/>
      <c r="P31" s="269" t="b">
        <v>1</v>
      </c>
      <c r="R31" s="270">
        <v>46160.0</v>
      </c>
      <c r="S31" s="312" t="s">
        <v>2834</v>
      </c>
      <c r="T31" s="109" t="s">
        <v>2835</v>
      </c>
      <c r="U31" s="58" t="s">
        <v>22</v>
      </c>
      <c r="V31" s="58" t="s">
        <v>9</v>
      </c>
      <c r="W31" s="61"/>
      <c r="X31" s="269" t="b">
        <v>1</v>
      </c>
      <c r="Z31" s="270">
        <v>46155.0</v>
      </c>
      <c r="AA31" s="109" t="s">
        <v>2836</v>
      </c>
      <c r="AB31" s="109" t="s">
        <v>2837</v>
      </c>
      <c r="AC31" s="58" t="s">
        <v>18</v>
      </c>
      <c r="AD31" s="58" t="s">
        <v>2337</v>
      </c>
      <c r="AE31" s="61"/>
      <c r="AF31" s="269" t="b">
        <v>1</v>
      </c>
      <c r="AH31" s="270">
        <v>46167.0</v>
      </c>
      <c r="AI31" s="312" t="s">
        <v>2838</v>
      </c>
      <c r="AJ31" s="373" t="s">
        <v>2839</v>
      </c>
      <c r="AK31" s="58" t="s">
        <v>13</v>
      </c>
      <c r="AL31" s="58" t="s">
        <v>9</v>
      </c>
      <c r="AM31" s="61"/>
      <c r="AN31" s="269" t="b">
        <v>1</v>
      </c>
      <c r="AP31" s="401">
        <v>46164.0</v>
      </c>
      <c r="AQ31" s="273" t="s">
        <v>2840</v>
      </c>
      <c r="AR31" s="273" t="s">
        <v>2841</v>
      </c>
      <c r="AS31" s="274" t="s">
        <v>27</v>
      </c>
      <c r="AT31" s="274" t="s">
        <v>2337</v>
      </c>
      <c r="AU31" s="415" t="s">
        <v>2842</v>
      </c>
      <c r="AV31" s="269"/>
      <c r="AX31" s="270">
        <v>46170.0</v>
      </c>
      <c r="AY31" s="273" t="s">
        <v>2843</v>
      </c>
      <c r="AZ31" s="414" t="s">
        <v>2844</v>
      </c>
      <c r="BA31" s="58" t="s">
        <v>22</v>
      </c>
      <c r="BB31" s="58" t="s">
        <v>12</v>
      </c>
      <c r="BC31" s="61"/>
      <c r="BD31" s="269" t="b">
        <v>1</v>
      </c>
      <c r="BF31" s="270">
        <v>46171.0</v>
      </c>
      <c r="BG31" s="109" t="s">
        <v>2845</v>
      </c>
      <c r="BH31" s="109" t="s">
        <v>2846</v>
      </c>
      <c r="BI31" s="58" t="s">
        <v>11</v>
      </c>
      <c r="BJ31" s="58" t="s">
        <v>20</v>
      </c>
      <c r="BK31" s="109"/>
      <c r="BL31" s="269" t="b">
        <v>1</v>
      </c>
    </row>
    <row r="32" ht="22.5" customHeight="1">
      <c r="A32" s="368"/>
      <c r="B32" s="314">
        <v>46132.0</v>
      </c>
      <c r="C32" s="302" t="s">
        <v>2847</v>
      </c>
      <c r="D32" s="277" t="s">
        <v>2848</v>
      </c>
      <c r="E32" s="303" t="s">
        <v>22</v>
      </c>
      <c r="F32" s="303" t="s">
        <v>958</v>
      </c>
      <c r="G32" s="290"/>
      <c r="H32" s="281" t="b">
        <v>1</v>
      </c>
      <c r="J32" s="270">
        <v>46147.0</v>
      </c>
      <c r="K32" s="109" t="s">
        <v>2849</v>
      </c>
      <c r="L32" s="109" t="s">
        <v>2850</v>
      </c>
      <c r="M32" s="58" t="s">
        <v>11</v>
      </c>
      <c r="N32" s="58" t="s">
        <v>20</v>
      </c>
      <c r="O32" s="61"/>
      <c r="P32" s="269" t="b">
        <v>1</v>
      </c>
      <c r="R32" s="270">
        <v>46160.0</v>
      </c>
      <c r="S32" s="312" t="s">
        <v>2851</v>
      </c>
      <c r="T32" s="392" t="s">
        <v>2852</v>
      </c>
      <c r="U32" s="58" t="s">
        <v>22</v>
      </c>
      <c r="V32" s="58" t="s">
        <v>958</v>
      </c>
      <c r="W32" s="61"/>
      <c r="X32" s="269" t="b">
        <v>1</v>
      </c>
      <c r="Z32" s="270">
        <v>46155.0</v>
      </c>
      <c r="AA32" s="109" t="s">
        <v>2853</v>
      </c>
      <c r="AB32" s="109" t="s">
        <v>2854</v>
      </c>
      <c r="AC32" s="58" t="s">
        <v>18</v>
      </c>
      <c r="AD32" s="58" t="s">
        <v>2337</v>
      </c>
      <c r="AE32" s="61"/>
      <c r="AF32" s="269" t="b">
        <v>1</v>
      </c>
      <c r="AH32" s="403">
        <v>46167.0</v>
      </c>
      <c r="AI32" s="294" t="s">
        <v>2855</v>
      </c>
      <c r="AJ32" s="294" t="s">
        <v>2856</v>
      </c>
      <c r="AK32" s="391" t="s">
        <v>22</v>
      </c>
      <c r="AL32" s="295" t="s">
        <v>2337</v>
      </c>
      <c r="AM32" s="61"/>
      <c r="AN32" s="269" t="b">
        <v>1</v>
      </c>
      <c r="AP32" s="380">
        <v>46164.0</v>
      </c>
      <c r="AQ32" s="294" t="s">
        <v>2857</v>
      </c>
      <c r="AR32" s="294" t="s">
        <v>2858</v>
      </c>
      <c r="AS32" s="411" t="s">
        <v>27</v>
      </c>
      <c r="AT32" s="295" t="s">
        <v>2338</v>
      </c>
      <c r="AU32" s="416"/>
      <c r="AV32" s="269" t="b">
        <v>1</v>
      </c>
      <c r="AX32" s="270">
        <v>46170.0</v>
      </c>
      <c r="AY32" s="294" t="s">
        <v>2859</v>
      </c>
      <c r="AZ32" s="412" t="s">
        <v>2860</v>
      </c>
      <c r="BA32" s="58" t="s">
        <v>22</v>
      </c>
      <c r="BB32" s="58" t="s">
        <v>12</v>
      </c>
      <c r="BC32" s="61"/>
      <c r="BD32" s="269" t="b">
        <v>1</v>
      </c>
      <c r="BF32" s="270">
        <v>46171.0</v>
      </c>
      <c r="BG32" s="109" t="s">
        <v>2861</v>
      </c>
      <c r="BH32" s="109" t="s">
        <v>2862</v>
      </c>
      <c r="BI32" s="58" t="s">
        <v>11</v>
      </c>
      <c r="BJ32" s="58" t="s">
        <v>20</v>
      </c>
      <c r="BK32" s="61"/>
      <c r="BL32" s="269" t="b">
        <v>1</v>
      </c>
    </row>
    <row r="33" ht="22.5" customHeight="1">
      <c r="A33" s="368"/>
      <c r="B33" s="314">
        <v>46136.0</v>
      </c>
      <c r="C33" s="302" t="s">
        <v>2863</v>
      </c>
      <c r="D33" s="277" t="s">
        <v>2864</v>
      </c>
      <c r="E33" s="303" t="s">
        <v>13</v>
      </c>
      <c r="F33" s="303" t="s">
        <v>20</v>
      </c>
      <c r="G33" s="290"/>
      <c r="H33" s="281" t="b">
        <v>1</v>
      </c>
      <c r="J33" s="270">
        <v>46148.0</v>
      </c>
      <c r="K33" s="109" t="s">
        <v>2865</v>
      </c>
      <c r="L33" s="109" t="s">
        <v>2866</v>
      </c>
      <c r="M33" s="58" t="s">
        <v>25</v>
      </c>
      <c r="N33" s="58" t="s">
        <v>20</v>
      </c>
      <c r="O33" s="61"/>
      <c r="P33" s="269" t="b">
        <v>1</v>
      </c>
      <c r="R33" s="270">
        <v>46160.0</v>
      </c>
      <c r="S33" s="312" t="s">
        <v>2867</v>
      </c>
      <c r="T33" s="347" t="s">
        <v>2868</v>
      </c>
      <c r="U33" s="58" t="s">
        <v>22</v>
      </c>
      <c r="V33" s="58" t="s">
        <v>958</v>
      </c>
      <c r="W33" s="61"/>
      <c r="X33" s="269" t="b">
        <v>1</v>
      </c>
      <c r="Z33" s="417">
        <v>46155.0</v>
      </c>
      <c r="AA33" s="215" t="s">
        <v>2869</v>
      </c>
      <c r="AB33" s="418" t="s">
        <v>2870</v>
      </c>
      <c r="AC33" s="419" t="s">
        <v>11</v>
      </c>
      <c r="AD33" s="420" t="s">
        <v>20</v>
      </c>
      <c r="AE33" s="61"/>
      <c r="AF33" s="269" t="b">
        <v>1</v>
      </c>
      <c r="AH33" s="401">
        <v>46167.0</v>
      </c>
      <c r="AI33" s="273" t="s">
        <v>2871</v>
      </c>
      <c r="AJ33" s="273" t="s">
        <v>2872</v>
      </c>
      <c r="AK33" s="402" t="s">
        <v>22</v>
      </c>
      <c r="AL33" s="274" t="s">
        <v>2337</v>
      </c>
      <c r="AM33" s="61"/>
      <c r="AN33" s="269" t="b">
        <v>1</v>
      </c>
      <c r="AP33" s="382">
        <v>46164.0</v>
      </c>
      <c r="AQ33" s="273" t="s">
        <v>2873</v>
      </c>
      <c r="AR33" s="273" t="s">
        <v>2874</v>
      </c>
      <c r="AS33" s="395" t="s">
        <v>27</v>
      </c>
      <c r="AT33" s="274" t="s">
        <v>2338</v>
      </c>
      <c r="AU33" s="421" t="s">
        <v>2875</v>
      </c>
      <c r="AV33" s="269"/>
      <c r="AX33" s="270">
        <v>46170.0</v>
      </c>
      <c r="AY33" s="273" t="s">
        <v>2876</v>
      </c>
      <c r="AZ33" s="414" t="s">
        <v>2877</v>
      </c>
      <c r="BA33" s="58" t="s">
        <v>22</v>
      </c>
      <c r="BB33" s="58" t="s">
        <v>12</v>
      </c>
      <c r="BC33" s="61"/>
      <c r="BD33" s="269" t="b">
        <v>1</v>
      </c>
      <c r="BF33" s="270">
        <v>46171.0</v>
      </c>
      <c r="BG33" s="109" t="s">
        <v>2878</v>
      </c>
      <c r="BH33" s="109" t="s">
        <v>2879</v>
      </c>
      <c r="BI33" s="58" t="s">
        <v>11</v>
      </c>
      <c r="BJ33" s="58" t="s">
        <v>20</v>
      </c>
      <c r="BK33" s="61"/>
      <c r="BL33" s="269" t="b">
        <v>1</v>
      </c>
    </row>
    <row r="34" ht="22.5" customHeight="1">
      <c r="A34" s="368"/>
      <c r="B34" s="314">
        <v>46136.0</v>
      </c>
      <c r="C34" s="302" t="s">
        <v>2880</v>
      </c>
      <c r="D34" s="277" t="s">
        <v>2881</v>
      </c>
      <c r="E34" s="303" t="s">
        <v>13</v>
      </c>
      <c r="F34" s="303" t="s">
        <v>20</v>
      </c>
      <c r="G34" s="302" t="s">
        <v>2882</v>
      </c>
      <c r="H34" s="281" t="b">
        <v>1</v>
      </c>
      <c r="J34" s="270">
        <v>46148.0</v>
      </c>
      <c r="K34" s="109" t="s">
        <v>2883</v>
      </c>
      <c r="L34" s="109" t="s">
        <v>2884</v>
      </c>
      <c r="M34" s="58" t="s">
        <v>21</v>
      </c>
      <c r="N34" s="58" t="s">
        <v>20</v>
      </c>
      <c r="O34" s="61"/>
      <c r="P34" s="269" t="b">
        <v>1</v>
      </c>
      <c r="R34" s="270">
        <v>46160.0</v>
      </c>
      <c r="S34" s="312" t="s">
        <v>2885</v>
      </c>
      <c r="T34" s="422" t="s">
        <v>2886</v>
      </c>
      <c r="U34" s="58" t="s">
        <v>22</v>
      </c>
      <c r="V34" s="58" t="s">
        <v>9</v>
      </c>
      <c r="W34" s="61"/>
      <c r="X34" s="269" t="b">
        <v>1</v>
      </c>
      <c r="Z34" s="423">
        <v>46155.0</v>
      </c>
      <c r="AA34" s="215" t="s">
        <v>2887</v>
      </c>
      <c r="AB34" s="215" t="s">
        <v>2888</v>
      </c>
      <c r="AC34" s="293" t="s">
        <v>27</v>
      </c>
      <c r="AD34" s="275" t="s">
        <v>20</v>
      </c>
      <c r="AE34" s="61"/>
      <c r="AF34" s="269" t="b">
        <v>1</v>
      </c>
      <c r="AH34" s="403">
        <v>46167.0</v>
      </c>
      <c r="AI34" s="294" t="s">
        <v>2889</v>
      </c>
      <c r="AJ34" s="294" t="s">
        <v>2890</v>
      </c>
      <c r="AK34" s="295" t="s">
        <v>22</v>
      </c>
      <c r="AL34" s="295" t="s">
        <v>2337</v>
      </c>
      <c r="AM34" s="109"/>
      <c r="AN34" s="269" t="b">
        <v>1</v>
      </c>
      <c r="AP34" s="380">
        <v>46164.0</v>
      </c>
      <c r="AQ34" s="294" t="s">
        <v>2891</v>
      </c>
      <c r="AR34" s="294" t="s">
        <v>2892</v>
      </c>
      <c r="AS34" s="411" t="s">
        <v>27</v>
      </c>
      <c r="AT34" s="295" t="s">
        <v>2338</v>
      </c>
      <c r="AU34" s="424" t="s">
        <v>2893</v>
      </c>
      <c r="AV34" s="269"/>
      <c r="AX34" s="270">
        <v>46170.0</v>
      </c>
      <c r="AY34" s="294" t="s">
        <v>2894</v>
      </c>
      <c r="AZ34" s="412" t="s">
        <v>2895</v>
      </c>
      <c r="BA34" s="58" t="s">
        <v>22</v>
      </c>
      <c r="BB34" s="58" t="s">
        <v>12</v>
      </c>
      <c r="BC34" s="61"/>
      <c r="BD34" s="269" t="b">
        <v>1</v>
      </c>
      <c r="BF34" s="270">
        <v>46171.0</v>
      </c>
      <c r="BG34" s="109" t="s">
        <v>2896</v>
      </c>
      <c r="BH34" s="109" t="s">
        <v>2897</v>
      </c>
      <c r="BI34" s="58" t="s">
        <v>27</v>
      </c>
      <c r="BJ34" s="58" t="s">
        <v>20</v>
      </c>
      <c r="BK34" s="61"/>
      <c r="BL34" s="269" t="b">
        <v>1</v>
      </c>
    </row>
    <row r="35" ht="22.5" customHeight="1">
      <c r="A35" s="368"/>
      <c r="B35" s="314">
        <v>46136.0</v>
      </c>
      <c r="C35" s="302" t="s">
        <v>2898</v>
      </c>
      <c r="D35" s="277" t="s">
        <v>2899</v>
      </c>
      <c r="E35" s="303" t="s">
        <v>10</v>
      </c>
      <c r="F35" s="303" t="s">
        <v>20</v>
      </c>
      <c r="G35" s="290"/>
      <c r="H35" s="281" t="b">
        <v>1</v>
      </c>
      <c r="J35" s="270">
        <v>46148.0</v>
      </c>
      <c r="K35" s="109" t="s">
        <v>2900</v>
      </c>
      <c r="L35" s="109" t="s">
        <v>2901</v>
      </c>
      <c r="M35" s="58" t="s">
        <v>23</v>
      </c>
      <c r="N35" s="58" t="s">
        <v>20</v>
      </c>
      <c r="O35" s="61"/>
      <c r="P35" s="269" t="b">
        <v>1</v>
      </c>
      <c r="R35" s="270">
        <v>46160.0</v>
      </c>
      <c r="S35" s="109" t="s">
        <v>2902</v>
      </c>
      <c r="T35" s="109" t="s">
        <v>2903</v>
      </c>
      <c r="U35" s="58" t="s">
        <v>22</v>
      </c>
      <c r="V35" s="58" t="s">
        <v>12</v>
      </c>
      <c r="W35" s="61"/>
      <c r="X35" s="269" t="b">
        <v>1</v>
      </c>
      <c r="Z35" s="270">
        <v>46155.0</v>
      </c>
      <c r="AA35" s="109" t="s">
        <v>2904</v>
      </c>
      <c r="AB35" s="109" t="s">
        <v>2905</v>
      </c>
      <c r="AC35" s="58" t="s">
        <v>27</v>
      </c>
      <c r="AD35" s="58" t="s">
        <v>20</v>
      </c>
      <c r="AE35" s="61"/>
      <c r="AF35" s="269" t="b">
        <v>1</v>
      </c>
      <c r="AH35" s="382">
        <v>46167.0</v>
      </c>
      <c r="AI35" s="273" t="s">
        <v>2906</v>
      </c>
      <c r="AJ35" s="273" t="s">
        <v>2907</v>
      </c>
      <c r="AK35" s="395" t="s">
        <v>22</v>
      </c>
      <c r="AL35" s="274" t="s">
        <v>2338</v>
      </c>
      <c r="AM35" s="61"/>
      <c r="AN35" s="269" t="b">
        <v>1</v>
      </c>
      <c r="AP35" s="270">
        <v>46164.0</v>
      </c>
      <c r="AQ35" s="109" t="s">
        <v>2908</v>
      </c>
      <c r="AR35" s="109" t="s">
        <v>2909</v>
      </c>
      <c r="AS35" s="58" t="s">
        <v>11</v>
      </c>
      <c r="AT35" s="58" t="s">
        <v>20</v>
      </c>
      <c r="AU35" s="61"/>
      <c r="AV35" s="269" t="b">
        <v>1</v>
      </c>
      <c r="AX35" s="270">
        <v>46170.0</v>
      </c>
      <c r="AY35" s="273" t="s">
        <v>2910</v>
      </c>
      <c r="AZ35" s="414" t="s">
        <v>2911</v>
      </c>
      <c r="BA35" s="58" t="s">
        <v>22</v>
      </c>
      <c r="BB35" s="58" t="s">
        <v>12</v>
      </c>
      <c r="BC35" s="61"/>
      <c r="BD35" s="269" t="b">
        <v>1</v>
      </c>
      <c r="BF35" s="270">
        <v>46171.0</v>
      </c>
      <c r="BG35" s="109" t="s">
        <v>2912</v>
      </c>
      <c r="BH35" s="109" t="s">
        <v>2913</v>
      </c>
      <c r="BI35" s="58" t="s">
        <v>30</v>
      </c>
      <c r="BJ35" s="58" t="s">
        <v>20</v>
      </c>
      <c r="BK35" s="61"/>
      <c r="BL35" s="269" t="b">
        <v>1</v>
      </c>
    </row>
    <row r="36" ht="22.5" customHeight="1">
      <c r="A36" s="368"/>
      <c r="B36" s="314">
        <v>46136.0</v>
      </c>
      <c r="C36" s="302" t="s">
        <v>2914</v>
      </c>
      <c r="D36" s="277" t="s">
        <v>2915</v>
      </c>
      <c r="E36" s="303" t="s">
        <v>22</v>
      </c>
      <c r="F36" s="303" t="s">
        <v>20</v>
      </c>
      <c r="G36" s="290"/>
      <c r="H36" s="281" t="b">
        <v>1</v>
      </c>
      <c r="J36" s="270">
        <v>46148.0</v>
      </c>
      <c r="K36" s="109" t="s">
        <v>2916</v>
      </c>
      <c r="L36" s="109" t="s">
        <v>2917</v>
      </c>
      <c r="M36" s="58" t="s">
        <v>23</v>
      </c>
      <c r="N36" s="58" t="s">
        <v>20</v>
      </c>
      <c r="O36" s="61"/>
      <c r="P36" s="269" t="b">
        <v>1</v>
      </c>
      <c r="R36" s="270">
        <v>46160.0</v>
      </c>
      <c r="S36" s="109" t="s">
        <v>2918</v>
      </c>
      <c r="T36" s="109" t="s">
        <v>2919</v>
      </c>
      <c r="U36" s="58" t="s">
        <v>22</v>
      </c>
      <c r="V36" s="58" t="s">
        <v>12</v>
      </c>
      <c r="W36" s="61"/>
      <c r="X36" s="269" t="b">
        <v>1</v>
      </c>
      <c r="Z36" s="270">
        <v>46155.0</v>
      </c>
      <c r="AA36" s="109" t="s">
        <v>2920</v>
      </c>
      <c r="AB36" s="109" t="s">
        <v>2921</v>
      </c>
      <c r="AC36" s="58" t="s">
        <v>23</v>
      </c>
      <c r="AD36" s="58" t="s">
        <v>20</v>
      </c>
      <c r="AE36" s="61"/>
      <c r="AF36" s="269" t="b">
        <v>1</v>
      </c>
      <c r="AH36" s="380">
        <v>46167.0</v>
      </c>
      <c r="AI36" s="294" t="s">
        <v>2922</v>
      </c>
      <c r="AJ36" s="294" t="s">
        <v>2923</v>
      </c>
      <c r="AK36" s="411" t="s">
        <v>22</v>
      </c>
      <c r="AL36" s="295" t="s">
        <v>2338</v>
      </c>
      <c r="AM36" s="109" t="s">
        <v>2924</v>
      </c>
      <c r="AN36" s="269" t="b">
        <v>1</v>
      </c>
      <c r="AP36" s="270">
        <v>46164.0</v>
      </c>
      <c r="AQ36" s="109" t="s">
        <v>2925</v>
      </c>
      <c r="AR36" s="109" t="s">
        <v>2926</v>
      </c>
      <c r="AS36" s="58" t="s">
        <v>11</v>
      </c>
      <c r="AT36" s="58" t="s">
        <v>20</v>
      </c>
      <c r="AU36" s="61"/>
      <c r="AV36" s="269" t="b">
        <v>1</v>
      </c>
      <c r="AX36" s="270">
        <v>46170.0</v>
      </c>
      <c r="AY36" s="294" t="s">
        <v>2927</v>
      </c>
      <c r="AZ36" s="412" t="s">
        <v>2928</v>
      </c>
      <c r="BA36" s="58" t="s">
        <v>22</v>
      </c>
      <c r="BB36" s="58" t="s">
        <v>12</v>
      </c>
      <c r="BC36" s="61"/>
      <c r="BD36" s="269" t="b">
        <v>1</v>
      </c>
      <c r="BF36" s="270">
        <v>46171.0</v>
      </c>
      <c r="BG36" s="109" t="s">
        <v>2929</v>
      </c>
      <c r="BH36" s="109" t="s">
        <v>2930</v>
      </c>
      <c r="BI36" s="58" t="s">
        <v>30</v>
      </c>
      <c r="BJ36" s="58" t="s">
        <v>20</v>
      </c>
      <c r="BK36" s="61"/>
      <c r="BL36" s="269" t="b">
        <v>1</v>
      </c>
    </row>
    <row r="37" ht="22.5" customHeight="1">
      <c r="A37" s="368"/>
      <c r="B37" s="314">
        <v>46136.0</v>
      </c>
      <c r="C37" s="302" t="s">
        <v>2931</v>
      </c>
      <c r="D37" s="277" t="s">
        <v>2932</v>
      </c>
      <c r="E37" s="303" t="s">
        <v>22</v>
      </c>
      <c r="F37" s="303" t="s">
        <v>20</v>
      </c>
      <c r="G37" s="290"/>
      <c r="H37" s="281" t="b">
        <v>1</v>
      </c>
      <c r="J37" s="270">
        <v>46148.0</v>
      </c>
      <c r="K37" s="109" t="s">
        <v>2933</v>
      </c>
      <c r="L37" s="109" t="s">
        <v>2934</v>
      </c>
      <c r="M37" s="58" t="s">
        <v>27</v>
      </c>
      <c r="N37" s="58" t="s">
        <v>20</v>
      </c>
      <c r="O37" s="61"/>
      <c r="P37" s="269" t="b">
        <v>1</v>
      </c>
      <c r="R37" s="270">
        <v>46160.0</v>
      </c>
      <c r="S37" s="109" t="s">
        <v>2935</v>
      </c>
      <c r="T37" s="109" t="s">
        <v>2936</v>
      </c>
      <c r="U37" s="58" t="s">
        <v>16</v>
      </c>
      <c r="V37" s="58" t="s">
        <v>2342</v>
      </c>
      <c r="W37" s="61"/>
      <c r="X37" s="269" t="b">
        <v>1</v>
      </c>
      <c r="Z37" s="270">
        <v>46155.0</v>
      </c>
      <c r="AA37" s="109" t="s">
        <v>2937</v>
      </c>
      <c r="AB37" s="109" t="s">
        <v>2938</v>
      </c>
      <c r="AC37" s="58" t="s">
        <v>23</v>
      </c>
      <c r="AD37" s="58" t="s">
        <v>20</v>
      </c>
      <c r="AE37" s="61"/>
      <c r="AF37" s="269" t="b">
        <v>1</v>
      </c>
      <c r="AH37" s="270">
        <v>46168.0</v>
      </c>
      <c r="AI37" s="109" t="s">
        <v>2939</v>
      </c>
      <c r="AJ37" s="373" t="s">
        <v>2940</v>
      </c>
      <c r="AK37" s="58" t="s">
        <v>22</v>
      </c>
      <c r="AL37" s="58" t="s">
        <v>12</v>
      </c>
      <c r="AM37" s="61"/>
      <c r="AN37" s="269" t="b">
        <v>1</v>
      </c>
      <c r="AP37" s="270">
        <v>46164.0</v>
      </c>
      <c r="AQ37" s="109" t="s">
        <v>2941</v>
      </c>
      <c r="AR37" s="109" t="s">
        <v>2942</v>
      </c>
      <c r="AS37" s="58" t="s">
        <v>11</v>
      </c>
      <c r="AT37" s="58" t="s">
        <v>20</v>
      </c>
      <c r="AU37" s="61"/>
      <c r="AV37" s="269" t="b">
        <v>1</v>
      </c>
      <c r="AX37" s="270">
        <v>46170.0</v>
      </c>
      <c r="AY37" s="273" t="s">
        <v>2943</v>
      </c>
      <c r="AZ37" s="414" t="s">
        <v>2944</v>
      </c>
      <c r="BA37" s="58" t="s">
        <v>22</v>
      </c>
      <c r="BB37" s="58" t="s">
        <v>12</v>
      </c>
      <c r="BC37" s="61"/>
      <c r="BD37" s="269" t="b">
        <v>1</v>
      </c>
      <c r="BF37" s="270">
        <v>46171.0</v>
      </c>
      <c r="BG37" s="109" t="s">
        <v>2945</v>
      </c>
      <c r="BH37" s="109" t="s">
        <v>2946</v>
      </c>
      <c r="BI37" s="58" t="s">
        <v>30</v>
      </c>
      <c r="BJ37" s="58" t="s">
        <v>20</v>
      </c>
      <c r="BK37" s="61"/>
      <c r="BL37" s="269" t="b">
        <v>1</v>
      </c>
    </row>
    <row r="38" ht="22.5" customHeight="1">
      <c r="A38" s="368"/>
      <c r="B38" s="314">
        <v>46136.0</v>
      </c>
      <c r="C38" s="302" t="s">
        <v>2947</v>
      </c>
      <c r="D38" s="277" t="s">
        <v>2948</v>
      </c>
      <c r="E38" s="303" t="s">
        <v>22</v>
      </c>
      <c r="F38" s="303" t="s">
        <v>20</v>
      </c>
      <c r="G38" s="302" t="s">
        <v>2949</v>
      </c>
      <c r="H38" s="281" t="b">
        <v>1</v>
      </c>
      <c r="J38" s="270">
        <v>46148.0</v>
      </c>
      <c r="K38" s="109" t="s">
        <v>2950</v>
      </c>
      <c r="L38" s="109" t="s">
        <v>2951</v>
      </c>
      <c r="M38" s="58" t="s">
        <v>27</v>
      </c>
      <c r="N38" s="58" t="s">
        <v>20</v>
      </c>
      <c r="O38" s="61"/>
      <c r="P38" s="269" t="b">
        <v>1</v>
      </c>
      <c r="R38" s="270">
        <v>46160.0</v>
      </c>
      <c r="S38" s="109" t="s">
        <v>2952</v>
      </c>
      <c r="T38" s="109" t="s">
        <v>2953</v>
      </c>
      <c r="U38" s="58" t="s">
        <v>22</v>
      </c>
      <c r="V38" s="58" t="s">
        <v>2342</v>
      </c>
      <c r="W38" s="61"/>
      <c r="X38" s="269" t="b">
        <v>1</v>
      </c>
      <c r="Z38" s="270">
        <v>46155.0</v>
      </c>
      <c r="AA38" s="109" t="s">
        <v>2954</v>
      </c>
      <c r="AB38" s="109" t="s">
        <v>2955</v>
      </c>
      <c r="AC38" s="58" t="s">
        <v>23</v>
      </c>
      <c r="AD38" s="58" t="s">
        <v>20</v>
      </c>
      <c r="AE38" s="61"/>
      <c r="AF38" s="269" t="b">
        <v>1</v>
      </c>
      <c r="AH38" s="270">
        <v>46168.0</v>
      </c>
      <c r="AI38" s="109" t="s">
        <v>2956</v>
      </c>
      <c r="AJ38" s="373" t="s">
        <v>2957</v>
      </c>
      <c r="AK38" s="58" t="s">
        <v>22</v>
      </c>
      <c r="AL38" s="58" t="s">
        <v>12</v>
      </c>
      <c r="AM38" s="61"/>
      <c r="AN38" s="269" t="b">
        <v>1</v>
      </c>
      <c r="AP38" s="270">
        <v>46164.0</v>
      </c>
      <c r="AQ38" s="109" t="s">
        <v>2958</v>
      </c>
      <c r="AR38" s="109" t="s">
        <v>2959</v>
      </c>
      <c r="AS38" s="58" t="s">
        <v>11</v>
      </c>
      <c r="AT38" s="58" t="s">
        <v>20</v>
      </c>
      <c r="AU38" s="61"/>
      <c r="AV38" s="269" t="b">
        <v>1</v>
      </c>
      <c r="AX38" s="270">
        <v>46170.0</v>
      </c>
      <c r="AY38" s="294" t="s">
        <v>2960</v>
      </c>
      <c r="AZ38" s="412" t="s">
        <v>2961</v>
      </c>
      <c r="BA38" s="58" t="s">
        <v>22</v>
      </c>
      <c r="BB38" s="58" t="s">
        <v>12</v>
      </c>
      <c r="BC38" s="61"/>
      <c r="BD38" s="269" t="b">
        <v>1</v>
      </c>
      <c r="BF38" s="270">
        <v>46171.0</v>
      </c>
      <c r="BG38" s="109" t="s">
        <v>2962</v>
      </c>
      <c r="BH38" s="109" t="s">
        <v>2963</v>
      </c>
      <c r="BI38" s="58" t="s">
        <v>30</v>
      </c>
      <c r="BJ38" s="58" t="s">
        <v>20</v>
      </c>
      <c r="BK38" s="61"/>
      <c r="BL38" s="298"/>
    </row>
    <row r="39" ht="22.5" customHeight="1">
      <c r="A39" s="368"/>
      <c r="B39" s="314">
        <v>46136.0</v>
      </c>
      <c r="C39" s="302" t="s">
        <v>2964</v>
      </c>
      <c r="D39" s="277" t="s">
        <v>2965</v>
      </c>
      <c r="E39" s="303" t="s">
        <v>22</v>
      </c>
      <c r="F39" s="303" t="s">
        <v>20</v>
      </c>
      <c r="G39" s="290"/>
      <c r="H39" s="281" t="b">
        <v>1</v>
      </c>
      <c r="J39" s="270">
        <v>46148.0</v>
      </c>
      <c r="K39" s="109" t="s">
        <v>2966</v>
      </c>
      <c r="L39" s="109" t="s">
        <v>2967</v>
      </c>
      <c r="M39" s="58" t="s">
        <v>27</v>
      </c>
      <c r="N39" s="58" t="s">
        <v>20</v>
      </c>
      <c r="O39" s="61"/>
      <c r="P39" s="269" t="b">
        <v>1</v>
      </c>
      <c r="R39" s="270">
        <v>46160.0</v>
      </c>
      <c r="S39" s="109" t="s">
        <v>2968</v>
      </c>
      <c r="T39" s="109" t="s">
        <v>2969</v>
      </c>
      <c r="U39" s="58" t="s">
        <v>22</v>
      </c>
      <c r="V39" s="58" t="s">
        <v>12</v>
      </c>
      <c r="W39" s="61"/>
      <c r="X39" s="269" t="b">
        <v>1</v>
      </c>
      <c r="Z39" s="270">
        <v>46155.0</v>
      </c>
      <c r="AA39" s="109" t="s">
        <v>2970</v>
      </c>
      <c r="AB39" s="109" t="s">
        <v>2971</v>
      </c>
      <c r="AC39" s="58" t="s">
        <v>23</v>
      </c>
      <c r="AD39" s="58" t="s">
        <v>20</v>
      </c>
      <c r="AE39" s="61"/>
      <c r="AF39" s="269" t="b">
        <v>1</v>
      </c>
      <c r="AH39" s="270">
        <v>46168.0</v>
      </c>
      <c r="AI39" s="109" t="s">
        <v>2972</v>
      </c>
      <c r="AJ39" s="373" t="s">
        <v>2973</v>
      </c>
      <c r="AK39" s="58" t="s">
        <v>22</v>
      </c>
      <c r="AL39" s="58" t="s">
        <v>12</v>
      </c>
      <c r="AM39" s="61"/>
      <c r="AN39" s="269" t="b">
        <v>1</v>
      </c>
      <c r="AP39" s="270">
        <v>46164.0</v>
      </c>
      <c r="AQ39" s="109" t="s">
        <v>2974</v>
      </c>
      <c r="AR39" s="109" t="s">
        <v>2975</v>
      </c>
      <c r="AS39" s="58" t="s">
        <v>11</v>
      </c>
      <c r="AT39" s="58" t="s">
        <v>20</v>
      </c>
      <c r="AU39" s="61"/>
      <c r="AV39" s="269" t="b">
        <v>1</v>
      </c>
      <c r="AX39" s="270">
        <v>46170.0</v>
      </c>
      <c r="AY39" s="273" t="s">
        <v>2976</v>
      </c>
      <c r="AZ39" s="414" t="s">
        <v>2977</v>
      </c>
      <c r="BA39" s="58" t="s">
        <v>22</v>
      </c>
      <c r="BB39" s="58" t="s">
        <v>12</v>
      </c>
      <c r="BC39" s="61"/>
      <c r="BD39" s="269" t="b">
        <v>1</v>
      </c>
      <c r="BF39" s="380">
        <v>46171.0</v>
      </c>
      <c r="BG39" s="294" t="s">
        <v>2978</v>
      </c>
      <c r="BH39" s="294" t="s">
        <v>2979</v>
      </c>
      <c r="BI39" s="381" t="s">
        <v>30</v>
      </c>
      <c r="BJ39" s="404" t="s">
        <v>2338</v>
      </c>
      <c r="BK39" s="61"/>
      <c r="BL39" s="298"/>
    </row>
    <row r="40" ht="22.5" customHeight="1">
      <c r="A40" s="368"/>
      <c r="B40" s="314">
        <v>46136.0</v>
      </c>
      <c r="C40" s="302" t="s">
        <v>2980</v>
      </c>
      <c r="D40" s="277" t="s">
        <v>2981</v>
      </c>
      <c r="E40" s="303" t="s">
        <v>22</v>
      </c>
      <c r="F40" s="303" t="s">
        <v>20</v>
      </c>
      <c r="G40" s="290"/>
      <c r="H40" s="281" t="b">
        <v>1</v>
      </c>
      <c r="J40" s="270">
        <v>46148.0</v>
      </c>
      <c r="K40" s="109" t="s">
        <v>2982</v>
      </c>
      <c r="L40" s="109" t="s">
        <v>2983</v>
      </c>
      <c r="M40" s="58" t="s">
        <v>27</v>
      </c>
      <c r="N40" s="58" t="s">
        <v>20</v>
      </c>
      <c r="O40" s="61"/>
      <c r="P40" s="269" t="b">
        <v>1</v>
      </c>
      <c r="R40" s="270">
        <v>46160.0</v>
      </c>
      <c r="S40" s="109" t="s">
        <v>2984</v>
      </c>
      <c r="T40" s="109" t="s">
        <v>2985</v>
      </c>
      <c r="U40" s="58" t="s">
        <v>22</v>
      </c>
      <c r="V40" s="58" t="s">
        <v>2343</v>
      </c>
      <c r="W40" s="61"/>
      <c r="X40" s="269" t="b">
        <v>1</v>
      </c>
      <c r="Z40" s="270">
        <v>46155.0</v>
      </c>
      <c r="AA40" s="109" t="s">
        <v>2986</v>
      </c>
      <c r="AB40" s="109" t="s">
        <v>2987</v>
      </c>
      <c r="AC40" s="58" t="s">
        <v>11</v>
      </c>
      <c r="AD40" s="58" t="s">
        <v>20</v>
      </c>
      <c r="AE40" s="109" t="s">
        <v>2988</v>
      </c>
      <c r="AF40" s="269" t="b">
        <v>1</v>
      </c>
      <c r="AH40" s="270">
        <v>46168.0</v>
      </c>
      <c r="AI40" s="109" t="s">
        <v>2989</v>
      </c>
      <c r="AJ40" s="373" t="s">
        <v>2990</v>
      </c>
      <c r="AK40" s="58" t="s">
        <v>22</v>
      </c>
      <c r="AL40" s="58" t="s">
        <v>12</v>
      </c>
      <c r="AM40" s="61"/>
      <c r="AN40" s="269" t="b">
        <v>1</v>
      </c>
      <c r="AP40" s="270">
        <v>46164.0</v>
      </c>
      <c r="AQ40" s="109" t="s">
        <v>2991</v>
      </c>
      <c r="AR40" s="109" t="s">
        <v>2992</v>
      </c>
      <c r="AS40" s="58" t="s">
        <v>27</v>
      </c>
      <c r="AT40" s="58" t="s">
        <v>20</v>
      </c>
      <c r="AU40" s="61"/>
      <c r="AV40" s="269" t="b">
        <v>1</v>
      </c>
      <c r="AX40" s="270">
        <v>46170.0</v>
      </c>
      <c r="AY40" s="294" t="s">
        <v>2993</v>
      </c>
      <c r="AZ40" s="412" t="s">
        <v>2994</v>
      </c>
      <c r="BA40" s="58" t="s">
        <v>22</v>
      </c>
      <c r="BB40" s="58" t="s">
        <v>12</v>
      </c>
      <c r="BC40" s="61"/>
      <c r="BD40" s="269" t="b">
        <v>1</v>
      </c>
      <c r="BF40" s="382">
        <v>46171.0</v>
      </c>
      <c r="BG40" s="273" t="s">
        <v>2995</v>
      </c>
      <c r="BH40" s="273" t="s">
        <v>2996</v>
      </c>
      <c r="BI40" s="383" t="s">
        <v>25</v>
      </c>
      <c r="BJ40" s="274" t="s">
        <v>2338</v>
      </c>
      <c r="BK40" s="61"/>
      <c r="BL40" s="298"/>
    </row>
    <row r="41" ht="22.5" customHeight="1">
      <c r="A41" s="368"/>
      <c r="B41" s="314">
        <v>46136.0</v>
      </c>
      <c r="C41" s="302" t="s">
        <v>2997</v>
      </c>
      <c r="D41" s="277" t="s">
        <v>2998</v>
      </c>
      <c r="E41" s="303" t="s">
        <v>22</v>
      </c>
      <c r="F41" s="303" t="s">
        <v>20</v>
      </c>
      <c r="G41" s="302" t="s">
        <v>2949</v>
      </c>
      <c r="H41" s="281" t="b">
        <v>1</v>
      </c>
      <c r="J41" s="270">
        <v>46149.0</v>
      </c>
      <c r="K41" s="109" t="s">
        <v>2999</v>
      </c>
      <c r="L41" s="109" t="s">
        <v>3000</v>
      </c>
      <c r="M41" s="58" t="s">
        <v>27</v>
      </c>
      <c r="N41" s="58" t="s">
        <v>20</v>
      </c>
      <c r="O41" s="61"/>
      <c r="P41" s="269" t="b">
        <v>1</v>
      </c>
      <c r="R41" s="270">
        <v>46160.0</v>
      </c>
      <c r="S41" s="109" t="s">
        <v>3001</v>
      </c>
      <c r="T41" s="109" t="s">
        <v>3002</v>
      </c>
      <c r="U41" s="58" t="s">
        <v>22</v>
      </c>
      <c r="V41" s="58" t="s">
        <v>12</v>
      </c>
      <c r="W41" s="61"/>
      <c r="X41" s="269" t="b">
        <v>1</v>
      </c>
      <c r="Z41" s="270">
        <v>46156.0</v>
      </c>
      <c r="AA41" s="109" t="s">
        <v>3003</v>
      </c>
      <c r="AB41" s="109" t="s">
        <v>3004</v>
      </c>
      <c r="AC41" s="58" t="s">
        <v>27</v>
      </c>
      <c r="AD41" s="58" t="s">
        <v>2337</v>
      </c>
      <c r="AE41" s="61"/>
      <c r="AF41" s="269" t="b">
        <v>1</v>
      </c>
      <c r="AH41" s="270">
        <v>46168.0</v>
      </c>
      <c r="AI41" s="109" t="s">
        <v>3005</v>
      </c>
      <c r="AJ41" s="373" t="s">
        <v>3006</v>
      </c>
      <c r="AK41" s="58" t="s">
        <v>16</v>
      </c>
      <c r="AL41" s="58" t="s">
        <v>20</v>
      </c>
      <c r="AM41" s="61"/>
      <c r="AN41" s="269" t="b">
        <v>1</v>
      </c>
      <c r="AP41" s="270">
        <v>46164.0</v>
      </c>
      <c r="AQ41" s="109" t="s">
        <v>3007</v>
      </c>
      <c r="AR41" s="109" t="s">
        <v>3008</v>
      </c>
      <c r="AS41" s="58" t="s">
        <v>27</v>
      </c>
      <c r="AT41" s="58" t="s">
        <v>20</v>
      </c>
      <c r="AU41" s="61"/>
      <c r="AV41" s="269" t="b">
        <v>1</v>
      </c>
      <c r="AX41" s="270">
        <v>46170.0</v>
      </c>
      <c r="AY41" s="273" t="s">
        <v>3009</v>
      </c>
      <c r="AZ41" s="414" t="s">
        <v>3010</v>
      </c>
      <c r="BA41" s="58" t="s">
        <v>22</v>
      </c>
      <c r="BB41" s="58" t="s">
        <v>12</v>
      </c>
      <c r="BC41" s="61"/>
      <c r="BD41" s="269" t="b">
        <v>1</v>
      </c>
      <c r="BF41" s="380">
        <v>46171.0</v>
      </c>
      <c r="BG41" s="294" t="s">
        <v>3011</v>
      </c>
      <c r="BH41" s="294" t="s">
        <v>3012</v>
      </c>
      <c r="BI41" s="381" t="s">
        <v>27</v>
      </c>
      <c r="BJ41" s="406" t="s">
        <v>2338</v>
      </c>
      <c r="BK41" s="61"/>
      <c r="BL41" s="298"/>
    </row>
    <row r="42" ht="22.5" customHeight="1">
      <c r="A42" s="368"/>
      <c r="B42" s="314">
        <v>46136.0</v>
      </c>
      <c r="C42" s="302" t="s">
        <v>3013</v>
      </c>
      <c r="D42" s="277" t="s">
        <v>3014</v>
      </c>
      <c r="E42" s="303" t="s">
        <v>10</v>
      </c>
      <c r="F42" s="303" t="s">
        <v>20</v>
      </c>
      <c r="G42" s="290"/>
      <c r="H42" s="281" t="b">
        <v>1</v>
      </c>
      <c r="J42" s="270">
        <v>46149.0</v>
      </c>
      <c r="K42" s="109" t="s">
        <v>3015</v>
      </c>
      <c r="L42" s="109" t="s">
        <v>3016</v>
      </c>
      <c r="M42" s="58" t="s">
        <v>27</v>
      </c>
      <c r="N42" s="58" t="s">
        <v>20</v>
      </c>
      <c r="O42" s="61"/>
      <c r="P42" s="269" t="b">
        <v>1</v>
      </c>
      <c r="R42" s="270">
        <v>46160.0</v>
      </c>
      <c r="S42" s="312" t="s">
        <v>3017</v>
      </c>
      <c r="T42" s="109" t="s">
        <v>3018</v>
      </c>
      <c r="U42" s="58"/>
      <c r="V42" s="58" t="s">
        <v>2344</v>
      </c>
      <c r="W42" s="109" t="s">
        <v>3019</v>
      </c>
      <c r="X42" s="298"/>
      <c r="Z42" s="270">
        <v>46156.0</v>
      </c>
      <c r="AA42" s="109" t="s">
        <v>3020</v>
      </c>
      <c r="AB42" s="109" t="s">
        <v>3021</v>
      </c>
      <c r="AC42" s="58" t="s">
        <v>18</v>
      </c>
      <c r="AD42" s="58" t="s">
        <v>17</v>
      </c>
      <c r="AE42" s="61"/>
      <c r="AF42" s="269" t="b">
        <v>1</v>
      </c>
      <c r="AH42" s="270">
        <v>46168.0</v>
      </c>
      <c r="AI42" s="109" t="s">
        <v>3022</v>
      </c>
      <c r="AJ42" s="373" t="s">
        <v>3023</v>
      </c>
      <c r="AK42" s="58" t="s">
        <v>16</v>
      </c>
      <c r="AL42" s="58" t="s">
        <v>20</v>
      </c>
      <c r="AM42" s="61"/>
      <c r="AN42" s="269" t="b">
        <v>1</v>
      </c>
      <c r="AP42" s="270">
        <v>46164.0</v>
      </c>
      <c r="AQ42" s="109" t="s">
        <v>3024</v>
      </c>
      <c r="AR42" s="109" t="s">
        <v>3025</v>
      </c>
      <c r="AS42" s="58" t="s">
        <v>27</v>
      </c>
      <c r="AT42" s="58" t="s">
        <v>20</v>
      </c>
      <c r="AU42" s="61"/>
      <c r="AV42" s="269" t="b">
        <v>1</v>
      </c>
      <c r="AX42" s="270">
        <v>46170.0</v>
      </c>
      <c r="AY42" s="294" t="s">
        <v>3026</v>
      </c>
      <c r="AZ42" s="412" t="s">
        <v>3027</v>
      </c>
      <c r="BA42" s="58" t="s">
        <v>22</v>
      </c>
      <c r="BB42" s="58" t="s">
        <v>12</v>
      </c>
      <c r="BC42" s="61"/>
      <c r="BD42" s="269" t="b">
        <v>1</v>
      </c>
      <c r="BF42" s="382">
        <v>46171.0</v>
      </c>
      <c r="BG42" s="273" t="s">
        <v>3028</v>
      </c>
      <c r="BH42" s="273" t="s">
        <v>3029</v>
      </c>
      <c r="BI42" s="383" t="s">
        <v>30</v>
      </c>
      <c r="BJ42" s="409" t="s">
        <v>2338</v>
      </c>
      <c r="BK42" s="61"/>
      <c r="BL42" s="298"/>
    </row>
    <row r="43" ht="22.5" customHeight="1">
      <c r="A43" s="368"/>
      <c r="B43" s="314">
        <v>46136.0</v>
      </c>
      <c r="C43" s="302" t="s">
        <v>3030</v>
      </c>
      <c r="D43" s="277" t="s">
        <v>3031</v>
      </c>
      <c r="E43" s="303" t="s">
        <v>22</v>
      </c>
      <c r="F43" s="303" t="s">
        <v>17</v>
      </c>
      <c r="G43" s="302" t="s">
        <v>2455</v>
      </c>
      <c r="H43" s="281" t="b">
        <v>1</v>
      </c>
      <c r="J43" s="270">
        <v>46149.0</v>
      </c>
      <c r="K43" s="109" t="s">
        <v>3032</v>
      </c>
      <c r="L43" s="109" t="s">
        <v>3033</v>
      </c>
      <c r="M43" s="58" t="s">
        <v>27</v>
      </c>
      <c r="N43" s="58" t="s">
        <v>20</v>
      </c>
      <c r="O43" s="61"/>
      <c r="P43" s="269" t="b">
        <v>1</v>
      </c>
      <c r="R43" s="270">
        <v>46160.0</v>
      </c>
      <c r="S43" s="312" t="s">
        <v>3034</v>
      </c>
      <c r="T43" s="109" t="s">
        <v>3035</v>
      </c>
      <c r="U43" s="58" t="s">
        <v>22</v>
      </c>
      <c r="V43" s="58" t="s">
        <v>2344</v>
      </c>
      <c r="W43" s="61"/>
      <c r="X43" s="269" t="b">
        <v>1</v>
      </c>
      <c r="Z43" s="270">
        <v>46156.0</v>
      </c>
      <c r="AA43" s="109" t="s">
        <v>3036</v>
      </c>
      <c r="AB43" s="109" t="s">
        <v>3037</v>
      </c>
      <c r="AC43" s="58" t="s">
        <v>11</v>
      </c>
      <c r="AD43" s="58" t="s">
        <v>2337</v>
      </c>
      <c r="AE43" s="61"/>
      <c r="AF43" s="269" t="b">
        <v>1</v>
      </c>
      <c r="AH43" s="270">
        <v>46168.0</v>
      </c>
      <c r="AI43" s="109" t="s">
        <v>3038</v>
      </c>
      <c r="AJ43" s="373" t="s">
        <v>3039</v>
      </c>
      <c r="AK43" s="58" t="s">
        <v>10</v>
      </c>
      <c r="AL43" s="58" t="s">
        <v>20</v>
      </c>
      <c r="AM43" s="61"/>
      <c r="AN43" s="269" t="b">
        <v>1</v>
      </c>
      <c r="AP43" s="270">
        <v>46164.0</v>
      </c>
      <c r="AQ43" s="109" t="s">
        <v>3040</v>
      </c>
      <c r="AR43" s="109" t="s">
        <v>3041</v>
      </c>
      <c r="AS43" s="58" t="s">
        <v>27</v>
      </c>
      <c r="AT43" s="58" t="s">
        <v>20</v>
      </c>
      <c r="AU43" s="61"/>
      <c r="AV43" s="269" t="b">
        <v>1</v>
      </c>
      <c r="AX43" s="270">
        <v>46170.0</v>
      </c>
      <c r="AY43" s="273" t="s">
        <v>3042</v>
      </c>
      <c r="AZ43" s="414" t="s">
        <v>3043</v>
      </c>
      <c r="BA43" s="58" t="s">
        <v>22</v>
      </c>
      <c r="BB43" s="58" t="s">
        <v>12</v>
      </c>
      <c r="BC43" s="61"/>
      <c r="BD43" s="269" t="b">
        <v>1</v>
      </c>
      <c r="BF43" s="403">
        <v>46171.0</v>
      </c>
      <c r="BG43" s="294" t="s">
        <v>3044</v>
      </c>
      <c r="BH43" s="294" t="s">
        <v>3045</v>
      </c>
      <c r="BI43" s="295" t="s">
        <v>18</v>
      </c>
      <c r="BJ43" s="295" t="s">
        <v>2337</v>
      </c>
      <c r="BK43" s="61"/>
      <c r="BL43" s="298"/>
    </row>
    <row r="44" ht="22.5" customHeight="1">
      <c r="A44" s="368"/>
      <c r="B44" s="314">
        <v>46136.0</v>
      </c>
      <c r="C44" s="302" t="s">
        <v>3046</v>
      </c>
      <c r="D44" s="277" t="s">
        <v>3047</v>
      </c>
      <c r="E44" s="303" t="s">
        <v>22</v>
      </c>
      <c r="F44" s="303" t="s">
        <v>14</v>
      </c>
      <c r="G44" s="290"/>
      <c r="H44" s="281" t="b">
        <v>1</v>
      </c>
      <c r="J44" s="270">
        <v>46149.0</v>
      </c>
      <c r="K44" s="109" t="s">
        <v>3048</v>
      </c>
      <c r="L44" s="109" t="s">
        <v>3049</v>
      </c>
      <c r="M44" s="58" t="s">
        <v>27</v>
      </c>
      <c r="N44" s="58" t="s">
        <v>20</v>
      </c>
      <c r="O44" s="61"/>
      <c r="P44" s="269" t="b">
        <v>1</v>
      </c>
      <c r="R44" s="270">
        <v>46161.0</v>
      </c>
      <c r="S44" s="312" t="s">
        <v>3050</v>
      </c>
      <c r="T44" s="109" t="s">
        <v>3051</v>
      </c>
      <c r="U44" s="58" t="s">
        <v>22</v>
      </c>
      <c r="V44" s="58" t="s">
        <v>12</v>
      </c>
      <c r="W44" s="61"/>
      <c r="X44" s="269" t="b">
        <v>1</v>
      </c>
      <c r="Z44" s="270">
        <v>46156.0</v>
      </c>
      <c r="AA44" s="109" t="s">
        <v>3052</v>
      </c>
      <c r="AB44" s="109" t="s">
        <v>3053</v>
      </c>
      <c r="AC44" s="58" t="s">
        <v>30</v>
      </c>
      <c r="AD44" s="58" t="s">
        <v>28</v>
      </c>
      <c r="AE44" s="109" t="s">
        <v>3054</v>
      </c>
      <c r="AF44" s="269"/>
      <c r="AH44" s="270">
        <v>46168.0</v>
      </c>
      <c r="AI44" s="109" t="s">
        <v>3055</v>
      </c>
      <c r="AJ44" s="373" t="s">
        <v>3056</v>
      </c>
      <c r="AK44" s="58" t="s">
        <v>16</v>
      </c>
      <c r="AL44" s="58" t="s">
        <v>20</v>
      </c>
      <c r="AM44" s="61"/>
      <c r="AN44" s="269" t="b">
        <v>1</v>
      </c>
      <c r="AP44" s="270">
        <v>46164.0</v>
      </c>
      <c r="AQ44" s="109" t="s">
        <v>3057</v>
      </c>
      <c r="AR44" s="109" t="s">
        <v>3058</v>
      </c>
      <c r="AS44" s="58" t="s">
        <v>27</v>
      </c>
      <c r="AT44" s="58" t="s">
        <v>20</v>
      </c>
      <c r="AU44" s="61"/>
      <c r="AV44" s="269" t="b">
        <v>1</v>
      </c>
      <c r="AX44" s="270">
        <v>46170.0</v>
      </c>
      <c r="AY44" s="312" t="s">
        <v>3059</v>
      </c>
      <c r="AZ44" s="373" t="s">
        <v>3060</v>
      </c>
      <c r="BA44" s="58" t="s">
        <v>22</v>
      </c>
      <c r="BB44" s="58" t="s">
        <v>958</v>
      </c>
      <c r="BC44" s="61"/>
      <c r="BD44" s="269" t="b">
        <v>1</v>
      </c>
      <c r="BF44" s="401">
        <v>46171.0</v>
      </c>
      <c r="BG44" s="273" t="s">
        <v>3061</v>
      </c>
      <c r="BH44" s="273" t="s">
        <v>3062</v>
      </c>
      <c r="BI44" s="274" t="s">
        <v>23</v>
      </c>
      <c r="BJ44" s="274" t="s">
        <v>2337</v>
      </c>
      <c r="BK44" s="61"/>
      <c r="BL44" s="298"/>
    </row>
    <row r="45" ht="22.5" customHeight="1">
      <c r="A45" s="368"/>
      <c r="B45" s="314">
        <v>46136.0</v>
      </c>
      <c r="C45" s="302" t="s">
        <v>3063</v>
      </c>
      <c r="D45" s="277" t="s">
        <v>3064</v>
      </c>
      <c r="E45" s="303" t="s">
        <v>22</v>
      </c>
      <c r="F45" s="303" t="s">
        <v>14</v>
      </c>
      <c r="G45" s="290"/>
      <c r="H45" s="281" t="b">
        <v>1</v>
      </c>
      <c r="J45" s="270">
        <v>46149.0</v>
      </c>
      <c r="K45" s="109" t="s">
        <v>3065</v>
      </c>
      <c r="L45" s="109" t="s">
        <v>3066</v>
      </c>
      <c r="M45" s="58" t="s">
        <v>27</v>
      </c>
      <c r="N45" s="58" t="s">
        <v>20</v>
      </c>
      <c r="O45" s="61"/>
      <c r="P45" s="269" t="b">
        <v>1</v>
      </c>
      <c r="R45" s="270">
        <v>46161.0</v>
      </c>
      <c r="S45" s="109" t="s">
        <v>3067</v>
      </c>
      <c r="T45" s="109" t="s">
        <v>3068</v>
      </c>
      <c r="U45" s="58" t="s">
        <v>22</v>
      </c>
      <c r="V45" s="58" t="s">
        <v>12</v>
      </c>
      <c r="W45" s="61"/>
      <c r="X45" s="269" t="b">
        <v>1</v>
      </c>
      <c r="Z45" s="270">
        <v>46156.0</v>
      </c>
      <c r="AA45" s="109" t="s">
        <v>3069</v>
      </c>
      <c r="AB45" s="109" t="s">
        <v>3070</v>
      </c>
      <c r="AC45" s="58" t="s">
        <v>18</v>
      </c>
      <c r="AD45" s="58" t="s">
        <v>2338</v>
      </c>
      <c r="AE45" s="109" t="s">
        <v>3071</v>
      </c>
      <c r="AF45" s="269"/>
      <c r="AH45" s="270">
        <v>46168.0</v>
      </c>
      <c r="AI45" s="109" t="s">
        <v>3072</v>
      </c>
      <c r="AJ45" s="373" t="s">
        <v>3073</v>
      </c>
      <c r="AK45" s="58" t="s">
        <v>16</v>
      </c>
      <c r="AL45" s="58" t="s">
        <v>20</v>
      </c>
      <c r="AM45" s="61"/>
      <c r="AN45" s="269" t="b">
        <v>1</v>
      </c>
      <c r="AP45" s="270">
        <v>46164.0</v>
      </c>
      <c r="AQ45" s="109" t="s">
        <v>3074</v>
      </c>
      <c r="AR45" s="109" t="s">
        <v>3075</v>
      </c>
      <c r="AS45" s="58" t="s">
        <v>30</v>
      </c>
      <c r="AT45" s="58" t="s">
        <v>20</v>
      </c>
      <c r="AU45" s="61"/>
      <c r="AV45" s="269" t="b">
        <v>1</v>
      </c>
      <c r="AX45" s="270">
        <v>46170.0</v>
      </c>
      <c r="AY45" s="312" t="s">
        <v>3076</v>
      </c>
      <c r="AZ45" s="373" t="s">
        <v>3077</v>
      </c>
      <c r="BA45" s="58" t="s">
        <v>13</v>
      </c>
      <c r="BB45" s="58" t="s">
        <v>2349</v>
      </c>
      <c r="BC45" s="61"/>
      <c r="BD45" s="269" t="b">
        <v>1</v>
      </c>
      <c r="BF45" s="403">
        <v>46171.0</v>
      </c>
      <c r="BG45" s="294" t="s">
        <v>3078</v>
      </c>
      <c r="BH45" s="294" t="s">
        <v>3079</v>
      </c>
      <c r="BI45" s="295" t="s">
        <v>21</v>
      </c>
      <c r="BJ45" s="295" t="s">
        <v>2337</v>
      </c>
      <c r="BK45" s="61"/>
      <c r="BL45" s="298"/>
    </row>
    <row r="46" ht="22.5" customHeight="1">
      <c r="A46" s="368"/>
      <c r="B46" s="314">
        <v>46136.0</v>
      </c>
      <c r="C46" s="302" t="s">
        <v>3080</v>
      </c>
      <c r="D46" s="277" t="s">
        <v>3081</v>
      </c>
      <c r="E46" s="303" t="s">
        <v>22</v>
      </c>
      <c r="F46" s="303" t="s">
        <v>14</v>
      </c>
      <c r="G46" s="302" t="s">
        <v>2455</v>
      </c>
      <c r="H46" s="281" t="b">
        <v>1</v>
      </c>
      <c r="J46" s="270">
        <v>46149.0</v>
      </c>
      <c r="K46" s="109" t="s">
        <v>3082</v>
      </c>
      <c r="L46" s="109" t="s">
        <v>3083</v>
      </c>
      <c r="M46" s="58" t="s">
        <v>27</v>
      </c>
      <c r="N46" s="58" t="s">
        <v>20</v>
      </c>
      <c r="O46" s="61"/>
      <c r="P46" s="269" t="b">
        <v>1</v>
      </c>
      <c r="R46" s="270">
        <v>46161.0</v>
      </c>
      <c r="S46" s="109" t="s">
        <v>3084</v>
      </c>
      <c r="T46" s="109" t="s">
        <v>3085</v>
      </c>
      <c r="U46" s="58" t="s">
        <v>22</v>
      </c>
      <c r="V46" s="58" t="s">
        <v>2343</v>
      </c>
      <c r="W46" s="61"/>
      <c r="X46" s="269" t="b">
        <v>1</v>
      </c>
      <c r="Z46" s="270">
        <v>46156.0</v>
      </c>
      <c r="AA46" s="109" t="s">
        <v>3086</v>
      </c>
      <c r="AB46" s="109" t="s">
        <v>3087</v>
      </c>
      <c r="AC46" s="58" t="s">
        <v>27</v>
      </c>
      <c r="AD46" s="58" t="s">
        <v>2337</v>
      </c>
      <c r="AE46" s="61"/>
      <c r="AF46" s="269" t="b">
        <v>1</v>
      </c>
      <c r="AH46" s="270">
        <v>46168.0</v>
      </c>
      <c r="AI46" s="109" t="s">
        <v>3088</v>
      </c>
      <c r="AJ46" s="373" t="s">
        <v>3089</v>
      </c>
      <c r="AK46" s="58" t="s">
        <v>32</v>
      </c>
      <c r="AL46" s="58" t="s">
        <v>20</v>
      </c>
      <c r="AM46" s="61"/>
      <c r="AN46" s="269" t="b">
        <v>1</v>
      </c>
      <c r="AP46" s="270">
        <v>46164.0</v>
      </c>
      <c r="AQ46" s="109" t="s">
        <v>3090</v>
      </c>
      <c r="AR46" s="109" t="s">
        <v>3091</v>
      </c>
      <c r="AS46" s="58" t="s">
        <v>30</v>
      </c>
      <c r="AT46" s="58" t="s">
        <v>20</v>
      </c>
      <c r="AU46" s="61"/>
      <c r="AV46" s="269" t="b">
        <v>1</v>
      </c>
      <c r="AX46" s="270">
        <v>46170.0</v>
      </c>
      <c r="AY46" s="312" t="s">
        <v>3092</v>
      </c>
      <c r="AZ46" s="373" t="s">
        <v>3093</v>
      </c>
      <c r="BA46" s="344" t="s">
        <v>22</v>
      </c>
      <c r="BB46" s="344" t="s">
        <v>2344</v>
      </c>
      <c r="BC46" s="61"/>
      <c r="BD46" s="269" t="b">
        <v>1</v>
      </c>
      <c r="BF46" s="401">
        <v>46171.0</v>
      </c>
      <c r="BG46" s="273" t="s">
        <v>3094</v>
      </c>
      <c r="BH46" s="273" t="s">
        <v>3095</v>
      </c>
      <c r="BI46" s="274" t="s">
        <v>25</v>
      </c>
      <c r="BJ46" s="274" t="s">
        <v>2337</v>
      </c>
      <c r="BK46" s="61"/>
      <c r="BL46" s="298"/>
    </row>
    <row r="47" ht="22.5" customHeight="1">
      <c r="A47" s="368"/>
      <c r="B47" s="314">
        <v>46136.0</v>
      </c>
      <c r="C47" s="302" t="s">
        <v>3096</v>
      </c>
      <c r="D47" s="277" t="s">
        <v>3097</v>
      </c>
      <c r="E47" s="303" t="s">
        <v>22</v>
      </c>
      <c r="F47" s="303" t="s">
        <v>14</v>
      </c>
      <c r="G47" s="290"/>
      <c r="H47" s="281" t="b">
        <v>1</v>
      </c>
      <c r="J47" s="270">
        <v>46149.0</v>
      </c>
      <c r="K47" s="109" t="s">
        <v>3098</v>
      </c>
      <c r="L47" s="109" t="s">
        <v>3099</v>
      </c>
      <c r="M47" s="58" t="s">
        <v>27</v>
      </c>
      <c r="N47" s="58" t="s">
        <v>20</v>
      </c>
      <c r="O47" s="61"/>
      <c r="P47" s="269" t="b">
        <v>1</v>
      </c>
      <c r="R47" s="270">
        <v>46161.0</v>
      </c>
      <c r="S47" s="109" t="s">
        <v>3100</v>
      </c>
      <c r="T47" s="109" t="s">
        <v>3101</v>
      </c>
      <c r="U47" s="58" t="s">
        <v>22</v>
      </c>
      <c r="V47" s="58" t="s">
        <v>12</v>
      </c>
      <c r="W47" s="61"/>
      <c r="X47" s="269" t="b">
        <v>1</v>
      </c>
      <c r="Z47" s="270">
        <v>46156.0</v>
      </c>
      <c r="AA47" s="109" t="s">
        <v>3102</v>
      </c>
      <c r="AB47" s="109" t="s">
        <v>3103</v>
      </c>
      <c r="AC47" s="58" t="s">
        <v>23</v>
      </c>
      <c r="AD47" s="58" t="s">
        <v>17</v>
      </c>
      <c r="AE47" s="61"/>
      <c r="AF47" s="269" t="b">
        <v>1</v>
      </c>
      <c r="AH47" s="270">
        <v>46168.0</v>
      </c>
      <c r="AI47" s="109" t="s">
        <v>3104</v>
      </c>
      <c r="AJ47" s="373" t="s">
        <v>3105</v>
      </c>
      <c r="AK47" s="58" t="s">
        <v>22</v>
      </c>
      <c r="AL47" s="58" t="s">
        <v>20</v>
      </c>
      <c r="AM47" s="61"/>
      <c r="AN47" s="269" t="b">
        <v>1</v>
      </c>
      <c r="AP47" s="270">
        <v>46164.0</v>
      </c>
      <c r="AQ47" s="109" t="s">
        <v>3106</v>
      </c>
      <c r="AR47" s="109" t="s">
        <v>3107</v>
      </c>
      <c r="AS47" s="58" t="s">
        <v>27</v>
      </c>
      <c r="AT47" s="58" t="s">
        <v>20</v>
      </c>
      <c r="AU47" s="61"/>
      <c r="AV47" s="269" t="b">
        <v>1</v>
      </c>
      <c r="AX47" s="270">
        <v>46170.0</v>
      </c>
      <c r="AY47" s="312" t="s">
        <v>3108</v>
      </c>
      <c r="AZ47" s="373" t="s">
        <v>3109</v>
      </c>
      <c r="BA47" s="344" t="s">
        <v>22</v>
      </c>
      <c r="BB47" s="344" t="s">
        <v>2344</v>
      </c>
      <c r="BC47" s="61"/>
      <c r="BD47" s="269" t="b">
        <v>1</v>
      </c>
      <c r="BF47" s="403">
        <v>46171.0</v>
      </c>
      <c r="BG47" s="294" t="s">
        <v>3110</v>
      </c>
      <c r="BH47" s="294" t="s">
        <v>3111</v>
      </c>
      <c r="BI47" s="295" t="s">
        <v>21</v>
      </c>
      <c r="BJ47" s="295" t="s">
        <v>2337</v>
      </c>
      <c r="BK47" s="61"/>
      <c r="BL47" s="298"/>
    </row>
    <row r="48" ht="22.5" customHeight="1">
      <c r="A48" s="368"/>
      <c r="B48" s="314">
        <v>46136.0</v>
      </c>
      <c r="C48" s="302" t="s">
        <v>3112</v>
      </c>
      <c r="D48" s="277" t="s">
        <v>3113</v>
      </c>
      <c r="E48" s="303" t="s">
        <v>22</v>
      </c>
      <c r="F48" s="303" t="s">
        <v>14</v>
      </c>
      <c r="G48" s="290"/>
      <c r="H48" s="281" t="b">
        <v>1</v>
      </c>
      <c r="J48" s="270">
        <v>46149.0</v>
      </c>
      <c r="K48" s="109" t="s">
        <v>3114</v>
      </c>
      <c r="L48" s="109" t="s">
        <v>3115</v>
      </c>
      <c r="M48" s="58" t="s">
        <v>27</v>
      </c>
      <c r="N48" s="58" t="s">
        <v>20</v>
      </c>
      <c r="O48" s="61"/>
      <c r="P48" s="269" t="b">
        <v>1</v>
      </c>
      <c r="R48" s="270">
        <v>46161.0</v>
      </c>
      <c r="S48" s="312" t="s">
        <v>3116</v>
      </c>
      <c r="T48" s="347" t="s">
        <v>3117</v>
      </c>
      <c r="U48" s="58"/>
      <c r="V48" s="58" t="s">
        <v>958</v>
      </c>
      <c r="W48" s="109" t="s">
        <v>3118</v>
      </c>
      <c r="X48" s="269" t="b">
        <v>0</v>
      </c>
      <c r="Z48" s="270">
        <v>46156.0</v>
      </c>
      <c r="AA48" s="109" t="s">
        <v>3119</v>
      </c>
      <c r="AB48" s="109" t="s">
        <v>3120</v>
      </c>
      <c r="AC48" s="58" t="s">
        <v>18</v>
      </c>
      <c r="AD48" s="58" t="s">
        <v>2337</v>
      </c>
      <c r="AE48" s="61"/>
      <c r="AF48" s="269" t="b">
        <v>1</v>
      </c>
      <c r="AH48" s="270">
        <v>46168.0</v>
      </c>
      <c r="AI48" s="109" t="s">
        <v>863</v>
      </c>
      <c r="AJ48" s="373" t="s">
        <v>864</v>
      </c>
      <c r="AK48" s="58" t="s">
        <v>22</v>
      </c>
      <c r="AL48" s="58" t="s">
        <v>20</v>
      </c>
      <c r="AM48" s="61"/>
      <c r="AN48" s="269" t="b">
        <v>1</v>
      </c>
      <c r="AP48" s="270">
        <v>46164.0</v>
      </c>
      <c r="AQ48" s="109" t="s">
        <v>3121</v>
      </c>
      <c r="AR48" s="109" t="s">
        <v>3122</v>
      </c>
      <c r="AS48" s="58" t="s">
        <v>27</v>
      </c>
      <c r="AT48" s="58" t="s">
        <v>20</v>
      </c>
      <c r="AU48" s="61"/>
      <c r="AV48" s="269" t="b">
        <v>1</v>
      </c>
      <c r="AX48" s="270">
        <v>46170.0</v>
      </c>
      <c r="AY48" s="312" t="s">
        <v>3123</v>
      </c>
      <c r="AZ48" s="373" t="s">
        <v>3124</v>
      </c>
      <c r="BA48" s="344" t="s">
        <v>22</v>
      </c>
      <c r="BB48" s="344" t="s">
        <v>2344</v>
      </c>
      <c r="BC48" s="61"/>
      <c r="BD48" s="269" t="b">
        <v>1</v>
      </c>
      <c r="BF48" s="401">
        <v>46171.0</v>
      </c>
      <c r="BG48" s="273" t="s">
        <v>3125</v>
      </c>
      <c r="BH48" s="273" t="s">
        <v>3126</v>
      </c>
      <c r="BI48" s="274" t="s">
        <v>21</v>
      </c>
      <c r="BJ48" s="274" t="s">
        <v>2337</v>
      </c>
      <c r="BK48" s="61"/>
      <c r="BL48" s="298"/>
    </row>
    <row r="49" ht="22.5" customHeight="1">
      <c r="A49" s="368"/>
      <c r="B49" s="314">
        <v>46136.0</v>
      </c>
      <c r="C49" s="302" t="s">
        <v>3127</v>
      </c>
      <c r="D49" s="277" t="s">
        <v>3128</v>
      </c>
      <c r="E49" s="303" t="s">
        <v>22</v>
      </c>
      <c r="F49" s="303" t="s">
        <v>14</v>
      </c>
      <c r="G49" s="425" t="s">
        <v>3129</v>
      </c>
      <c r="H49" s="281" t="b">
        <v>1</v>
      </c>
      <c r="J49" s="270">
        <v>46149.0</v>
      </c>
      <c r="K49" s="109" t="s">
        <v>3130</v>
      </c>
      <c r="L49" s="109" t="s">
        <v>3131</v>
      </c>
      <c r="M49" s="58" t="s">
        <v>27</v>
      </c>
      <c r="N49" s="58" t="s">
        <v>9</v>
      </c>
      <c r="O49" s="61"/>
      <c r="P49" s="269" t="b">
        <v>1</v>
      </c>
      <c r="R49" s="270">
        <v>46161.0</v>
      </c>
      <c r="S49" s="312" t="s">
        <v>3132</v>
      </c>
      <c r="T49" s="392" t="s">
        <v>3133</v>
      </c>
      <c r="U49" s="58" t="s">
        <v>22</v>
      </c>
      <c r="V49" s="58" t="s">
        <v>958</v>
      </c>
      <c r="W49" s="61"/>
      <c r="X49" s="269" t="b">
        <v>1</v>
      </c>
      <c r="Z49" s="270">
        <v>46156.0</v>
      </c>
      <c r="AA49" s="109" t="s">
        <v>3134</v>
      </c>
      <c r="AB49" s="109" t="s">
        <v>3135</v>
      </c>
      <c r="AC49" s="58" t="s">
        <v>11</v>
      </c>
      <c r="AD49" s="58" t="s">
        <v>20</v>
      </c>
      <c r="AE49" s="61"/>
      <c r="AF49" s="269" t="b">
        <v>1</v>
      </c>
      <c r="AH49" s="270">
        <v>46168.0</v>
      </c>
      <c r="AI49" s="109" t="s">
        <v>2358</v>
      </c>
      <c r="AJ49" s="373" t="s">
        <v>3136</v>
      </c>
      <c r="AK49" s="58" t="s">
        <v>22</v>
      </c>
      <c r="AL49" s="58" t="s">
        <v>2347</v>
      </c>
      <c r="AM49" s="109" t="s">
        <v>2638</v>
      </c>
      <c r="AN49" s="269"/>
      <c r="AP49" s="270">
        <v>46167.0</v>
      </c>
      <c r="AQ49" s="109" t="s">
        <v>3137</v>
      </c>
      <c r="AR49" s="109" t="s">
        <v>3138</v>
      </c>
      <c r="AS49" s="58" t="s">
        <v>27</v>
      </c>
      <c r="AT49" s="58" t="s">
        <v>28</v>
      </c>
      <c r="AU49" s="61"/>
      <c r="AV49" s="269" t="b">
        <v>1</v>
      </c>
      <c r="AX49" s="270">
        <v>46170.0</v>
      </c>
      <c r="AY49" s="312" t="s">
        <v>3139</v>
      </c>
      <c r="AZ49" s="373" t="s">
        <v>3140</v>
      </c>
      <c r="BA49" s="344" t="s">
        <v>22</v>
      </c>
      <c r="BB49" s="344" t="s">
        <v>2344</v>
      </c>
      <c r="BC49" s="61"/>
      <c r="BD49" s="269" t="b">
        <v>1</v>
      </c>
      <c r="BF49" s="270"/>
      <c r="BG49" s="109"/>
      <c r="BH49" s="109"/>
      <c r="BI49" s="344"/>
      <c r="BJ49" s="344"/>
      <c r="BK49" s="61"/>
      <c r="BL49" s="298"/>
    </row>
    <row r="50" ht="22.5" customHeight="1">
      <c r="A50" s="368"/>
      <c r="B50" s="314">
        <v>46136.0</v>
      </c>
      <c r="C50" s="302" t="s">
        <v>3141</v>
      </c>
      <c r="D50" s="277" t="s">
        <v>3142</v>
      </c>
      <c r="E50" s="303" t="s">
        <v>22</v>
      </c>
      <c r="F50" s="303" t="s">
        <v>14</v>
      </c>
      <c r="G50" s="290"/>
      <c r="H50" s="281" t="b">
        <v>1</v>
      </c>
      <c r="J50" s="270">
        <v>46149.0</v>
      </c>
      <c r="K50" s="109" t="s">
        <v>3143</v>
      </c>
      <c r="L50" s="109" t="s">
        <v>3144</v>
      </c>
      <c r="M50" s="58" t="s">
        <v>18</v>
      </c>
      <c r="N50" s="58" t="s">
        <v>9</v>
      </c>
      <c r="O50" s="61"/>
      <c r="P50" s="269" t="b">
        <v>1</v>
      </c>
      <c r="R50" s="270">
        <v>46161.0</v>
      </c>
      <c r="S50" s="312" t="s">
        <v>3145</v>
      </c>
      <c r="T50" s="392" t="s">
        <v>3146</v>
      </c>
      <c r="U50" s="58" t="s">
        <v>22</v>
      </c>
      <c r="V50" s="58" t="s">
        <v>958</v>
      </c>
      <c r="W50" s="61"/>
      <c r="X50" s="269" t="b">
        <v>1</v>
      </c>
      <c r="Z50" s="270">
        <v>46156.0</v>
      </c>
      <c r="AA50" s="109" t="s">
        <v>3147</v>
      </c>
      <c r="AB50" s="109" t="s">
        <v>3148</v>
      </c>
      <c r="AC50" s="58" t="s">
        <v>11</v>
      </c>
      <c r="AD50" s="58" t="s">
        <v>20</v>
      </c>
      <c r="AE50" s="61"/>
      <c r="AF50" s="269" t="b">
        <v>1</v>
      </c>
      <c r="AH50" s="426">
        <v>46168.0</v>
      </c>
      <c r="AI50" s="273" t="s">
        <v>3149</v>
      </c>
      <c r="AJ50" s="273" t="s">
        <v>3150</v>
      </c>
      <c r="AK50" s="402" t="s">
        <v>22</v>
      </c>
      <c r="AL50" s="274" t="s">
        <v>2337</v>
      </c>
      <c r="AM50" s="61"/>
      <c r="AN50" s="269" t="b">
        <v>1</v>
      </c>
      <c r="AP50" s="380">
        <v>46167.0</v>
      </c>
      <c r="AQ50" s="294" t="s">
        <v>3151</v>
      </c>
      <c r="AR50" s="418" t="s">
        <v>3152</v>
      </c>
      <c r="AS50" s="411" t="s">
        <v>30</v>
      </c>
      <c r="AT50" s="295" t="s">
        <v>2338</v>
      </c>
      <c r="AU50" s="61"/>
      <c r="AV50" s="269" t="b">
        <v>1</v>
      </c>
      <c r="AX50" s="270">
        <v>46171.0</v>
      </c>
      <c r="AY50" s="312" t="s">
        <v>3153</v>
      </c>
      <c r="AZ50" s="373" t="s">
        <v>3154</v>
      </c>
      <c r="BA50" s="58" t="s">
        <v>22</v>
      </c>
      <c r="BB50" s="58" t="s">
        <v>958</v>
      </c>
      <c r="BC50" s="109" t="s">
        <v>3155</v>
      </c>
      <c r="BD50" s="269" t="b">
        <v>1</v>
      </c>
      <c r="BF50" s="270"/>
      <c r="BG50" s="109"/>
      <c r="BH50" s="109"/>
      <c r="BI50" s="344"/>
      <c r="BJ50" s="344"/>
      <c r="BK50" s="61"/>
      <c r="BL50" s="298"/>
    </row>
    <row r="51" ht="22.5" customHeight="1">
      <c r="A51" s="368"/>
      <c r="B51" s="314">
        <v>46139.0</v>
      </c>
      <c r="C51" s="302" t="s">
        <v>3156</v>
      </c>
      <c r="D51" s="277" t="s">
        <v>3157</v>
      </c>
      <c r="E51" s="303" t="s">
        <v>10</v>
      </c>
      <c r="F51" s="303" t="s">
        <v>12</v>
      </c>
      <c r="G51" s="290"/>
      <c r="H51" s="281" t="b">
        <v>1</v>
      </c>
      <c r="J51" s="270">
        <v>46149.0</v>
      </c>
      <c r="K51" s="109" t="s">
        <v>3158</v>
      </c>
      <c r="L51" s="109" t="s">
        <v>3159</v>
      </c>
      <c r="M51" s="58" t="s">
        <v>18</v>
      </c>
      <c r="N51" s="58" t="s">
        <v>9</v>
      </c>
      <c r="O51" s="61"/>
      <c r="P51" s="269" t="b">
        <v>1</v>
      </c>
      <c r="R51" s="270">
        <v>46161.0</v>
      </c>
      <c r="S51" s="109" t="s">
        <v>3160</v>
      </c>
      <c r="T51" s="397" t="s">
        <v>3161</v>
      </c>
      <c r="U51" s="58" t="s">
        <v>22</v>
      </c>
      <c r="V51" s="58" t="s">
        <v>12</v>
      </c>
      <c r="W51" s="109" t="s">
        <v>3162</v>
      </c>
      <c r="X51" s="269" t="b">
        <v>1</v>
      </c>
      <c r="Z51" s="270">
        <v>46156.0</v>
      </c>
      <c r="AA51" s="109" t="s">
        <v>3163</v>
      </c>
      <c r="AB51" s="109" t="s">
        <v>3164</v>
      </c>
      <c r="AC51" s="58" t="s">
        <v>11</v>
      </c>
      <c r="AD51" s="58" t="s">
        <v>20</v>
      </c>
      <c r="AE51" s="61"/>
      <c r="AF51" s="269" t="b">
        <v>1</v>
      </c>
      <c r="AH51" s="427">
        <v>46168.0</v>
      </c>
      <c r="AI51" s="294" t="s">
        <v>3165</v>
      </c>
      <c r="AJ51" s="294" t="s">
        <v>3166</v>
      </c>
      <c r="AK51" s="391" t="s">
        <v>22</v>
      </c>
      <c r="AL51" s="295" t="s">
        <v>2337</v>
      </c>
      <c r="AM51" s="61"/>
      <c r="AN51" s="269" t="b">
        <v>1</v>
      </c>
      <c r="AP51" s="194"/>
      <c r="AQ51" s="61"/>
      <c r="AR51" s="61"/>
      <c r="AS51" s="81"/>
      <c r="AT51" s="81"/>
      <c r="AU51" s="61"/>
      <c r="AV51" s="269"/>
      <c r="AX51" s="270">
        <v>46171.0</v>
      </c>
      <c r="AY51" s="312" t="s">
        <v>3167</v>
      </c>
      <c r="AZ51" s="373" t="s">
        <v>3168</v>
      </c>
      <c r="BA51" s="58" t="s">
        <v>13</v>
      </c>
      <c r="BB51" s="58" t="s">
        <v>2347</v>
      </c>
      <c r="BC51" s="109" t="s">
        <v>3169</v>
      </c>
      <c r="BD51" s="298"/>
      <c r="BF51" s="270"/>
      <c r="BG51" s="109"/>
      <c r="BH51" s="109"/>
      <c r="BI51" s="344"/>
      <c r="BJ51" s="344"/>
      <c r="BK51" s="61"/>
      <c r="BL51" s="298"/>
    </row>
    <row r="52" ht="22.5" customHeight="1">
      <c r="A52" s="368"/>
      <c r="B52" s="314">
        <v>46139.0</v>
      </c>
      <c r="C52" s="302" t="s">
        <v>3170</v>
      </c>
      <c r="D52" s="277" t="s">
        <v>3171</v>
      </c>
      <c r="E52" s="303" t="s">
        <v>10</v>
      </c>
      <c r="F52" s="303" t="s">
        <v>12</v>
      </c>
      <c r="G52" s="290"/>
      <c r="H52" s="281" t="b">
        <v>1</v>
      </c>
      <c r="J52" s="270">
        <v>46149.0</v>
      </c>
      <c r="K52" s="109" t="s">
        <v>3172</v>
      </c>
      <c r="L52" s="109" t="s">
        <v>3173</v>
      </c>
      <c r="M52" s="58" t="s">
        <v>23</v>
      </c>
      <c r="N52" s="58" t="s">
        <v>9</v>
      </c>
      <c r="O52" s="61"/>
      <c r="P52" s="269" t="b">
        <v>1</v>
      </c>
      <c r="R52" s="270">
        <v>46161.0</v>
      </c>
      <c r="S52" s="312" t="s">
        <v>3174</v>
      </c>
      <c r="T52" s="392" t="s">
        <v>3175</v>
      </c>
      <c r="U52" s="58"/>
      <c r="V52" s="58" t="s">
        <v>958</v>
      </c>
      <c r="W52" s="109" t="s">
        <v>3176</v>
      </c>
      <c r="X52" s="298"/>
      <c r="Z52" s="270">
        <v>46156.0</v>
      </c>
      <c r="AA52" s="109" t="s">
        <v>3177</v>
      </c>
      <c r="AB52" s="109" t="s">
        <v>3178</v>
      </c>
      <c r="AC52" s="58" t="s">
        <v>11</v>
      </c>
      <c r="AD52" s="58" t="s">
        <v>20</v>
      </c>
      <c r="AE52" s="61"/>
      <c r="AF52" s="269" t="b">
        <v>1</v>
      </c>
      <c r="AH52" s="426">
        <v>46168.0</v>
      </c>
      <c r="AI52" s="273" t="s">
        <v>3179</v>
      </c>
      <c r="AJ52" s="273" t="s">
        <v>3180</v>
      </c>
      <c r="AK52" s="402" t="s">
        <v>22</v>
      </c>
      <c r="AL52" s="274" t="s">
        <v>2337</v>
      </c>
      <c r="AM52" s="61"/>
      <c r="AN52" s="269" t="b">
        <v>1</v>
      </c>
      <c r="AP52" s="194"/>
      <c r="AQ52" s="61"/>
      <c r="AR52" s="61"/>
      <c r="AS52" s="81"/>
      <c r="AT52" s="81"/>
      <c r="AU52" s="61"/>
      <c r="AV52" s="269"/>
      <c r="AX52" s="270">
        <v>46171.0</v>
      </c>
      <c r="AY52" s="109" t="s">
        <v>3181</v>
      </c>
      <c r="AZ52" s="373" t="s">
        <v>3182</v>
      </c>
      <c r="BA52" s="58" t="s">
        <v>44</v>
      </c>
      <c r="BB52" s="58" t="s">
        <v>9</v>
      </c>
      <c r="BC52" s="61"/>
      <c r="BD52" s="269" t="b">
        <v>1</v>
      </c>
      <c r="BF52" s="270"/>
      <c r="BG52" s="109"/>
      <c r="BH52" s="109"/>
      <c r="BI52" s="344"/>
      <c r="BJ52" s="344"/>
      <c r="BK52" s="61"/>
      <c r="BL52" s="298"/>
    </row>
    <row r="53" ht="22.5" customHeight="1">
      <c r="A53" s="368"/>
      <c r="B53" s="314">
        <v>46139.0</v>
      </c>
      <c r="C53" s="302" t="s">
        <v>3183</v>
      </c>
      <c r="D53" s="277" t="s">
        <v>3184</v>
      </c>
      <c r="E53" s="303" t="s">
        <v>13</v>
      </c>
      <c r="F53" s="303" t="s">
        <v>12</v>
      </c>
      <c r="G53" s="302" t="s">
        <v>3185</v>
      </c>
      <c r="H53" s="315"/>
      <c r="J53" s="270">
        <v>46149.0</v>
      </c>
      <c r="K53" s="109" t="s">
        <v>3186</v>
      </c>
      <c r="L53" s="109" t="s">
        <v>3187</v>
      </c>
      <c r="M53" s="58" t="s">
        <v>23</v>
      </c>
      <c r="N53" s="58" t="s">
        <v>9</v>
      </c>
      <c r="O53" s="61"/>
      <c r="P53" s="269" t="b">
        <v>1</v>
      </c>
      <c r="R53" s="270">
        <v>46161.0</v>
      </c>
      <c r="S53" s="384" t="s">
        <v>3188</v>
      </c>
      <c r="T53" s="109" t="s">
        <v>3189</v>
      </c>
      <c r="U53" s="58" t="s">
        <v>10</v>
      </c>
      <c r="V53" s="58" t="s">
        <v>9</v>
      </c>
      <c r="W53" s="61"/>
      <c r="X53" s="269" t="b">
        <v>1</v>
      </c>
      <c r="Z53" s="270">
        <v>46156.0</v>
      </c>
      <c r="AA53" s="109" t="s">
        <v>3190</v>
      </c>
      <c r="AB53" s="109" t="s">
        <v>3191</v>
      </c>
      <c r="AC53" s="58" t="s">
        <v>18</v>
      </c>
      <c r="AD53" s="58" t="s">
        <v>20</v>
      </c>
      <c r="AE53" s="61"/>
      <c r="AF53" s="269" t="b">
        <v>1</v>
      </c>
      <c r="AH53" s="427">
        <v>46168.0</v>
      </c>
      <c r="AI53" s="294" t="s">
        <v>3192</v>
      </c>
      <c r="AJ53" s="294" t="s">
        <v>3193</v>
      </c>
      <c r="AK53" s="391" t="s">
        <v>22</v>
      </c>
      <c r="AL53" s="295" t="s">
        <v>2337</v>
      </c>
      <c r="AM53" s="61"/>
      <c r="AN53" s="269" t="b">
        <v>1</v>
      </c>
      <c r="AP53" s="270"/>
      <c r="AQ53" s="109"/>
      <c r="AR53" s="109"/>
      <c r="AS53" s="58"/>
      <c r="AT53" s="344"/>
      <c r="AU53" s="61"/>
      <c r="AV53" s="269"/>
      <c r="AX53" s="270">
        <v>46171.0</v>
      </c>
      <c r="AY53" s="312" t="s">
        <v>3194</v>
      </c>
      <c r="AZ53" s="373" t="s">
        <v>3195</v>
      </c>
      <c r="BA53" s="58" t="s">
        <v>13</v>
      </c>
      <c r="BB53" s="58" t="s">
        <v>958</v>
      </c>
      <c r="BC53" s="61"/>
      <c r="BD53" s="269" t="b">
        <v>1</v>
      </c>
      <c r="BF53" s="270"/>
      <c r="BG53" s="109"/>
      <c r="BH53" s="109"/>
      <c r="BI53" s="344"/>
      <c r="BJ53" s="344"/>
      <c r="BK53" s="61"/>
      <c r="BL53" s="298"/>
    </row>
    <row r="54" ht="22.5" customHeight="1">
      <c r="A54" s="368"/>
      <c r="B54" s="314">
        <v>46139.0</v>
      </c>
      <c r="C54" s="302" t="s">
        <v>3196</v>
      </c>
      <c r="D54" s="277" t="s">
        <v>3197</v>
      </c>
      <c r="E54" s="303" t="s">
        <v>16</v>
      </c>
      <c r="F54" s="303" t="s">
        <v>12</v>
      </c>
      <c r="G54" s="290"/>
      <c r="H54" s="281" t="b">
        <v>1</v>
      </c>
      <c r="J54" s="270">
        <v>46149.0</v>
      </c>
      <c r="K54" s="109" t="s">
        <v>3198</v>
      </c>
      <c r="L54" s="109" t="s">
        <v>3199</v>
      </c>
      <c r="M54" s="58" t="s">
        <v>11</v>
      </c>
      <c r="N54" s="58" t="s">
        <v>9</v>
      </c>
      <c r="O54" s="61"/>
      <c r="P54" s="269" t="b">
        <v>1</v>
      </c>
      <c r="R54" s="270">
        <v>46161.0</v>
      </c>
      <c r="S54" s="384" t="s">
        <v>3200</v>
      </c>
      <c r="T54" s="109" t="s">
        <v>3201</v>
      </c>
      <c r="U54" s="58" t="s">
        <v>10</v>
      </c>
      <c r="V54" s="58" t="s">
        <v>9</v>
      </c>
      <c r="W54" s="61"/>
      <c r="X54" s="269" t="b">
        <v>1</v>
      </c>
      <c r="Z54" s="270">
        <v>46156.0</v>
      </c>
      <c r="AA54" s="109" t="s">
        <v>3202</v>
      </c>
      <c r="AB54" s="109" t="s">
        <v>3203</v>
      </c>
      <c r="AC54" s="58" t="s">
        <v>11</v>
      </c>
      <c r="AD54" s="58" t="s">
        <v>20</v>
      </c>
      <c r="AE54" s="61"/>
      <c r="AF54" s="269" t="b">
        <v>1</v>
      </c>
      <c r="AH54" s="426">
        <v>46168.0</v>
      </c>
      <c r="AI54" s="273" t="s">
        <v>3204</v>
      </c>
      <c r="AJ54" s="273" t="s">
        <v>3205</v>
      </c>
      <c r="AK54" s="402" t="s">
        <v>22</v>
      </c>
      <c r="AL54" s="274" t="s">
        <v>2337</v>
      </c>
      <c r="AM54" s="61"/>
      <c r="AN54" s="269"/>
      <c r="AP54" s="270"/>
      <c r="AQ54" s="109"/>
      <c r="AR54" s="109"/>
      <c r="AS54" s="58"/>
      <c r="AT54" s="344"/>
      <c r="AU54" s="61"/>
      <c r="AV54" s="269"/>
      <c r="AX54" s="270">
        <v>46171.0</v>
      </c>
      <c r="AY54" s="294" t="s">
        <v>3206</v>
      </c>
      <c r="AZ54" s="294" t="s">
        <v>3207</v>
      </c>
      <c r="BA54" s="391" t="s">
        <v>22</v>
      </c>
      <c r="BB54" s="295" t="s">
        <v>2344</v>
      </c>
      <c r="BC54" s="61"/>
      <c r="BD54" s="269" t="b">
        <v>1</v>
      </c>
      <c r="BF54" s="270"/>
      <c r="BG54" s="109"/>
      <c r="BH54" s="109"/>
      <c r="BI54" s="344"/>
      <c r="BJ54" s="344"/>
      <c r="BK54" s="61"/>
      <c r="BL54" s="298"/>
    </row>
    <row r="55" ht="22.5" customHeight="1">
      <c r="A55" s="368"/>
      <c r="B55" s="314">
        <v>46139.0</v>
      </c>
      <c r="C55" s="302" t="s">
        <v>3208</v>
      </c>
      <c r="D55" s="277" t="s">
        <v>3209</v>
      </c>
      <c r="E55" s="303" t="s">
        <v>10</v>
      </c>
      <c r="F55" s="303" t="s">
        <v>12</v>
      </c>
      <c r="G55" s="290"/>
      <c r="H55" s="281" t="b">
        <v>1</v>
      </c>
      <c r="J55" s="282">
        <v>46139.0</v>
      </c>
      <c r="K55" s="283" t="s">
        <v>3210</v>
      </c>
      <c r="L55" s="284" t="s">
        <v>3211</v>
      </c>
      <c r="M55" s="285" t="s">
        <v>11</v>
      </c>
      <c r="N55" s="285" t="s">
        <v>17</v>
      </c>
      <c r="O55" s="283"/>
      <c r="P55" s="286" t="b">
        <v>1</v>
      </c>
      <c r="R55" s="270">
        <v>46161.0</v>
      </c>
      <c r="S55" s="384" t="s">
        <v>3212</v>
      </c>
      <c r="T55" s="109" t="s">
        <v>3213</v>
      </c>
      <c r="U55" s="58" t="s">
        <v>22</v>
      </c>
      <c r="V55" s="58" t="s">
        <v>12</v>
      </c>
      <c r="W55" s="61"/>
      <c r="X55" s="269" t="b">
        <v>1</v>
      </c>
      <c r="Z55" s="270">
        <v>46156.0</v>
      </c>
      <c r="AA55" s="109" t="s">
        <v>3214</v>
      </c>
      <c r="AB55" s="109" t="s">
        <v>3215</v>
      </c>
      <c r="AC55" s="58" t="s">
        <v>27</v>
      </c>
      <c r="AD55" s="58" t="s">
        <v>20</v>
      </c>
      <c r="AE55" s="61"/>
      <c r="AF55" s="269" t="b">
        <v>1</v>
      </c>
      <c r="AH55" s="380">
        <v>46168.0</v>
      </c>
      <c r="AI55" s="294" t="s">
        <v>3216</v>
      </c>
      <c r="AJ55" s="294" t="s">
        <v>3217</v>
      </c>
      <c r="AK55" s="411"/>
      <c r="AL55" s="295" t="s">
        <v>2338</v>
      </c>
      <c r="AM55" s="428" t="s">
        <v>2432</v>
      </c>
      <c r="AN55" s="269"/>
      <c r="AP55" s="270"/>
      <c r="AQ55" s="109"/>
      <c r="AR55" s="109"/>
      <c r="AS55" s="58"/>
      <c r="AT55" s="344"/>
      <c r="AU55" s="61"/>
      <c r="AV55" s="269"/>
      <c r="AX55" s="270"/>
      <c r="AY55" s="109"/>
      <c r="AZ55" s="373"/>
      <c r="BA55" s="58"/>
      <c r="BB55" s="344"/>
      <c r="BC55" s="61"/>
      <c r="BD55" s="298"/>
      <c r="BF55" s="270"/>
      <c r="BG55" s="109"/>
      <c r="BH55" s="109"/>
      <c r="BI55" s="344"/>
      <c r="BJ55" s="344"/>
      <c r="BK55" s="61"/>
      <c r="BL55" s="298"/>
    </row>
    <row r="56" ht="22.5" customHeight="1">
      <c r="A56" s="368"/>
      <c r="B56" s="314">
        <v>46139.0</v>
      </c>
      <c r="C56" s="302" t="s">
        <v>3218</v>
      </c>
      <c r="D56" s="277" t="s">
        <v>3219</v>
      </c>
      <c r="E56" s="303" t="s">
        <v>10</v>
      </c>
      <c r="F56" s="303" t="s">
        <v>12</v>
      </c>
      <c r="G56" s="290"/>
      <c r="H56" s="281" t="b">
        <v>1</v>
      </c>
      <c r="J56" s="270">
        <v>46150.0</v>
      </c>
      <c r="K56" s="109" t="s">
        <v>3220</v>
      </c>
      <c r="L56" s="109" t="s">
        <v>3221</v>
      </c>
      <c r="M56" s="58" t="s">
        <v>27</v>
      </c>
      <c r="N56" s="58" t="s">
        <v>20</v>
      </c>
      <c r="O56" s="61"/>
      <c r="P56" s="269" t="b">
        <v>1</v>
      </c>
      <c r="R56" s="270">
        <v>46161.0</v>
      </c>
      <c r="S56" s="312" t="s">
        <v>3222</v>
      </c>
      <c r="T56" s="109" t="s">
        <v>3223</v>
      </c>
      <c r="U56" s="58" t="s">
        <v>22</v>
      </c>
      <c r="V56" s="58" t="s">
        <v>2344</v>
      </c>
      <c r="W56" s="109" t="s">
        <v>3224</v>
      </c>
      <c r="X56" s="269" t="b">
        <v>1</v>
      </c>
      <c r="Z56" s="270">
        <v>46156.0</v>
      </c>
      <c r="AA56" s="109" t="s">
        <v>3225</v>
      </c>
      <c r="AB56" s="109" t="s">
        <v>3226</v>
      </c>
      <c r="AC56" s="58" t="s">
        <v>18</v>
      </c>
      <c r="AD56" s="58" t="s">
        <v>20</v>
      </c>
      <c r="AE56" s="61"/>
      <c r="AF56" s="269" t="b">
        <v>1</v>
      </c>
      <c r="AH56" s="382">
        <v>46168.0</v>
      </c>
      <c r="AI56" s="273" t="s">
        <v>3227</v>
      </c>
      <c r="AJ56" s="273" t="s">
        <v>3228</v>
      </c>
      <c r="AK56" s="395" t="s">
        <v>22</v>
      </c>
      <c r="AL56" s="274" t="s">
        <v>2338</v>
      </c>
      <c r="AM56" s="61"/>
      <c r="AN56" s="269" t="b">
        <v>1</v>
      </c>
      <c r="AP56" s="270"/>
      <c r="AQ56" s="109"/>
      <c r="AR56" s="109"/>
      <c r="AS56" s="58"/>
      <c r="AT56" s="344"/>
      <c r="AU56" s="61"/>
      <c r="AV56" s="269"/>
      <c r="AX56" s="270"/>
      <c r="AY56" s="109"/>
      <c r="AZ56" s="373"/>
      <c r="BA56" s="58"/>
      <c r="BB56" s="344"/>
      <c r="BC56" s="61"/>
      <c r="BD56" s="298"/>
      <c r="BF56" s="270"/>
      <c r="BG56" s="109"/>
      <c r="BH56" s="109"/>
      <c r="BI56" s="344"/>
      <c r="BJ56" s="344"/>
      <c r="BK56" s="61"/>
      <c r="BL56" s="298"/>
    </row>
    <row r="57" ht="22.5" customHeight="1">
      <c r="A57" s="368"/>
      <c r="B57" s="314">
        <v>46139.0</v>
      </c>
      <c r="C57" s="302" t="s">
        <v>3229</v>
      </c>
      <c r="D57" s="277" t="s">
        <v>3230</v>
      </c>
      <c r="E57" s="303" t="s">
        <v>10</v>
      </c>
      <c r="F57" s="303" t="s">
        <v>12</v>
      </c>
      <c r="G57" s="290"/>
      <c r="H57" s="281" t="b">
        <v>1</v>
      </c>
      <c r="J57" s="270">
        <v>46150.0</v>
      </c>
      <c r="K57" s="109" t="s">
        <v>3231</v>
      </c>
      <c r="L57" s="109" t="s">
        <v>3232</v>
      </c>
      <c r="M57" s="58" t="s">
        <v>25</v>
      </c>
      <c r="N57" s="58" t="s">
        <v>20</v>
      </c>
      <c r="O57" s="61"/>
      <c r="P57" s="269" t="b">
        <v>1</v>
      </c>
      <c r="R57" s="270">
        <v>46161.0</v>
      </c>
      <c r="S57" s="312" t="s">
        <v>3233</v>
      </c>
      <c r="T57" s="109" t="s">
        <v>3234</v>
      </c>
      <c r="U57" s="58" t="s">
        <v>22</v>
      </c>
      <c r="V57" s="58" t="s">
        <v>2344</v>
      </c>
      <c r="W57" s="109" t="s">
        <v>3224</v>
      </c>
      <c r="X57" s="269" t="b">
        <v>1</v>
      </c>
      <c r="Z57" s="270">
        <v>46157.0</v>
      </c>
      <c r="AA57" s="109" t="s">
        <v>3235</v>
      </c>
      <c r="AB57" s="109" t="s">
        <v>3236</v>
      </c>
      <c r="AC57" s="58" t="s">
        <v>18</v>
      </c>
      <c r="AD57" s="58" t="s">
        <v>17</v>
      </c>
      <c r="AE57" s="61"/>
      <c r="AF57" s="269" t="b">
        <v>1</v>
      </c>
      <c r="AH57" s="380">
        <v>46168.0</v>
      </c>
      <c r="AI57" s="294" t="s">
        <v>3237</v>
      </c>
      <c r="AJ57" s="294" t="s">
        <v>3238</v>
      </c>
      <c r="AK57" s="411" t="s">
        <v>22</v>
      </c>
      <c r="AL57" s="295" t="s">
        <v>2338</v>
      </c>
      <c r="AM57" s="61"/>
      <c r="AN57" s="269" t="b">
        <v>1</v>
      </c>
      <c r="AP57" s="270"/>
      <c r="AQ57" s="109"/>
      <c r="AR57" s="109"/>
      <c r="AS57" s="58"/>
      <c r="AT57" s="344"/>
      <c r="AU57" s="61"/>
      <c r="AV57" s="269"/>
      <c r="AX57" s="270"/>
      <c r="AY57" s="109"/>
      <c r="AZ57" s="373"/>
      <c r="BA57" s="58"/>
      <c r="BB57" s="344"/>
      <c r="BC57" s="61"/>
      <c r="BD57" s="298"/>
      <c r="BF57" s="270"/>
      <c r="BG57" s="109"/>
      <c r="BH57" s="109"/>
      <c r="BI57" s="344"/>
      <c r="BJ57" s="344"/>
      <c r="BK57" s="61"/>
      <c r="BL57" s="298"/>
    </row>
    <row r="58" ht="22.5" customHeight="1">
      <c r="A58" s="368"/>
      <c r="B58" s="314">
        <v>46139.0</v>
      </c>
      <c r="C58" s="302" t="s">
        <v>3239</v>
      </c>
      <c r="D58" s="277" t="s">
        <v>3240</v>
      </c>
      <c r="E58" s="303" t="s">
        <v>32</v>
      </c>
      <c r="F58" s="303" t="s">
        <v>12</v>
      </c>
      <c r="G58" s="290"/>
      <c r="H58" s="281" t="b">
        <v>1</v>
      </c>
      <c r="J58" s="270">
        <v>46150.0</v>
      </c>
      <c r="K58" s="109" t="s">
        <v>3241</v>
      </c>
      <c r="L58" s="109" t="s">
        <v>3242</v>
      </c>
      <c r="M58" s="58" t="s">
        <v>21</v>
      </c>
      <c r="N58" s="58" t="s">
        <v>20</v>
      </c>
      <c r="O58" s="61"/>
      <c r="P58" s="269" t="b">
        <v>1</v>
      </c>
      <c r="R58" s="270">
        <v>46161.0</v>
      </c>
      <c r="S58" s="312" t="s">
        <v>3243</v>
      </c>
      <c r="T58" s="109" t="s">
        <v>3244</v>
      </c>
      <c r="U58" s="58"/>
      <c r="V58" s="58" t="s">
        <v>2344</v>
      </c>
      <c r="W58" s="428" t="s">
        <v>2432</v>
      </c>
      <c r="X58" s="298"/>
      <c r="Z58" s="270">
        <v>46157.0</v>
      </c>
      <c r="AA58" s="109" t="s">
        <v>3245</v>
      </c>
      <c r="AB58" s="109" t="s">
        <v>3246</v>
      </c>
      <c r="AC58" s="58" t="s">
        <v>18</v>
      </c>
      <c r="AD58" s="58" t="s">
        <v>14</v>
      </c>
      <c r="AE58" s="61"/>
      <c r="AF58" s="269" t="b">
        <v>1</v>
      </c>
      <c r="AH58" s="382">
        <v>46168.0</v>
      </c>
      <c r="AI58" s="273" t="s">
        <v>3247</v>
      </c>
      <c r="AJ58" s="273" t="s">
        <v>3248</v>
      </c>
      <c r="AK58" s="395" t="s">
        <v>13</v>
      </c>
      <c r="AL58" s="274" t="s">
        <v>2338</v>
      </c>
      <c r="AM58" s="61"/>
      <c r="AN58" s="269" t="b">
        <v>1</v>
      </c>
      <c r="AP58" s="270"/>
      <c r="AQ58" s="109"/>
      <c r="AR58" s="109"/>
      <c r="AS58" s="58"/>
      <c r="AT58" s="344"/>
      <c r="AU58" s="61"/>
      <c r="AV58" s="269"/>
      <c r="AX58" s="270"/>
      <c r="AY58" s="109"/>
      <c r="AZ58" s="373"/>
      <c r="BA58" s="58"/>
      <c r="BB58" s="344"/>
      <c r="BC58" s="61"/>
      <c r="BD58" s="298"/>
      <c r="BF58" s="270"/>
      <c r="BG58" s="109"/>
      <c r="BH58" s="109"/>
      <c r="BI58" s="344"/>
      <c r="BJ58" s="344"/>
      <c r="BK58" s="61"/>
      <c r="BL58" s="298"/>
    </row>
    <row r="59" ht="22.5" customHeight="1">
      <c r="A59" s="368"/>
      <c r="B59" s="314">
        <v>46139.0</v>
      </c>
      <c r="C59" s="302" t="s">
        <v>3249</v>
      </c>
      <c r="D59" s="277" t="s">
        <v>3250</v>
      </c>
      <c r="E59" s="303" t="s">
        <v>10</v>
      </c>
      <c r="F59" s="303" t="s">
        <v>9</v>
      </c>
      <c r="G59" s="290"/>
      <c r="H59" s="281" t="b">
        <v>1</v>
      </c>
      <c r="J59" s="270">
        <v>46150.0</v>
      </c>
      <c r="K59" s="109" t="s">
        <v>3251</v>
      </c>
      <c r="L59" s="109" t="s">
        <v>3252</v>
      </c>
      <c r="M59" s="58" t="s">
        <v>23</v>
      </c>
      <c r="N59" s="58" t="s">
        <v>20</v>
      </c>
      <c r="O59" s="61"/>
      <c r="P59" s="269" t="b">
        <v>1</v>
      </c>
      <c r="R59" s="270">
        <v>46161.0</v>
      </c>
      <c r="S59" s="312" t="s">
        <v>3253</v>
      </c>
      <c r="T59" s="109" t="s">
        <v>3254</v>
      </c>
      <c r="U59" s="58" t="s">
        <v>22</v>
      </c>
      <c r="V59" s="58" t="s">
        <v>2344</v>
      </c>
      <c r="W59" s="109" t="s">
        <v>3224</v>
      </c>
      <c r="X59" s="269" t="b">
        <v>1</v>
      </c>
      <c r="Z59" s="270">
        <v>46157.0</v>
      </c>
      <c r="AA59" s="109" t="s">
        <v>3255</v>
      </c>
      <c r="AB59" s="109" t="s">
        <v>3256</v>
      </c>
      <c r="AC59" s="58" t="s">
        <v>27</v>
      </c>
      <c r="AD59" s="58" t="s">
        <v>14</v>
      </c>
      <c r="AE59" s="61"/>
      <c r="AF59" s="269" t="b">
        <v>0</v>
      </c>
      <c r="AH59" s="403">
        <v>46169.0</v>
      </c>
      <c r="AI59" s="294" t="s">
        <v>3257</v>
      </c>
      <c r="AJ59" s="294" t="s">
        <v>3258</v>
      </c>
      <c r="AK59" s="391" t="s">
        <v>22</v>
      </c>
      <c r="AL59" s="295" t="s">
        <v>2337</v>
      </c>
      <c r="AM59" s="61"/>
      <c r="AN59" s="269" t="b">
        <v>1</v>
      </c>
      <c r="AP59" s="270"/>
      <c r="AQ59" s="109"/>
      <c r="AR59" s="109"/>
      <c r="AS59" s="58"/>
      <c r="AT59" s="344"/>
      <c r="AU59" s="61"/>
      <c r="AV59" s="269"/>
      <c r="AX59" s="270"/>
      <c r="AY59" s="109"/>
      <c r="AZ59" s="373"/>
      <c r="BA59" s="58"/>
      <c r="BB59" s="344"/>
      <c r="BC59" s="61"/>
      <c r="BD59" s="298"/>
      <c r="BF59" s="270"/>
      <c r="BG59" s="109"/>
      <c r="BH59" s="109"/>
      <c r="BI59" s="344"/>
      <c r="BJ59" s="344"/>
      <c r="BK59" s="61"/>
      <c r="BL59" s="298"/>
    </row>
    <row r="60" ht="22.5" customHeight="1">
      <c r="A60" s="368"/>
      <c r="B60" s="314">
        <v>46139.0</v>
      </c>
      <c r="C60" s="302" t="s">
        <v>3259</v>
      </c>
      <c r="D60" s="277" t="s">
        <v>3260</v>
      </c>
      <c r="E60" s="303" t="s">
        <v>10</v>
      </c>
      <c r="F60" s="303" t="s">
        <v>9</v>
      </c>
      <c r="G60" s="290"/>
      <c r="H60" s="281" t="b">
        <v>1</v>
      </c>
      <c r="J60" s="270">
        <v>46150.0</v>
      </c>
      <c r="K60" s="109" t="s">
        <v>3261</v>
      </c>
      <c r="L60" s="109" t="s">
        <v>3262</v>
      </c>
      <c r="M60" s="58" t="s">
        <v>23</v>
      </c>
      <c r="N60" s="58" t="s">
        <v>20</v>
      </c>
      <c r="O60" s="61"/>
      <c r="P60" s="269" t="b">
        <v>1</v>
      </c>
      <c r="R60" s="270">
        <v>46161.0</v>
      </c>
      <c r="S60" s="312" t="s">
        <v>3263</v>
      </c>
      <c r="T60" s="109" t="s">
        <v>3264</v>
      </c>
      <c r="U60" s="58" t="s">
        <v>22</v>
      </c>
      <c r="V60" s="58" t="s">
        <v>2344</v>
      </c>
      <c r="W60" s="109" t="s">
        <v>3224</v>
      </c>
      <c r="X60" s="269" t="b">
        <v>1</v>
      </c>
      <c r="Z60" s="270">
        <v>46157.0</v>
      </c>
      <c r="AA60" s="109" t="s">
        <v>3265</v>
      </c>
      <c r="AB60" s="109" t="s">
        <v>3266</v>
      </c>
      <c r="AC60" s="58" t="s">
        <v>11</v>
      </c>
      <c r="AD60" s="58" t="s">
        <v>2337</v>
      </c>
      <c r="AE60" s="61"/>
      <c r="AF60" s="269" t="b">
        <v>1</v>
      </c>
      <c r="AH60" s="401">
        <v>46169.0</v>
      </c>
      <c r="AI60" s="273" t="s">
        <v>3267</v>
      </c>
      <c r="AJ60" s="273" t="s">
        <v>3268</v>
      </c>
      <c r="AK60" s="402" t="s">
        <v>22</v>
      </c>
      <c r="AL60" s="274" t="s">
        <v>2337</v>
      </c>
      <c r="AM60" s="61"/>
      <c r="AN60" s="269" t="b">
        <v>1</v>
      </c>
      <c r="AP60" s="270"/>
      <c r="AQ60" s="109"/>
      <c r="AR60" s="109"/>
      <c r="AS60" s="58"/>
      <c r="AT60" s="344"/>
      <c r="AU60" s="109"/>
      <c r="AV60" s="269"/>
      <c r="AX60" s="270"/>
      <c r="AY60" s="109"/>
      <c r="AZ60" s="373"/>
      <c r="BA60" s="58"/>
      <c r="BB60" s="344"/>
      <c r="BC60" s="61"/>
      <c r="BD60" s="298"/>
      <c r="BF60" s="270"/>
      <c r="BG60" s="109"/>
      <c r="BH60" s="109"/>
      <c r="BI60" s="344"/>
      <c r="BJ60" s="344"/>
      <c r="BK60" s="61"/>
      <c r="BL60" s="298"/>
    </row>
    <row r="61" ht="22.5" customHeight="1">
      <c r="A61" s="368"/>
      <c r="B61" s="314">
        <v>46139.0</v>
      </c>
      <c r="C61" s="302" t="s">
        <v>3269</v>
      </c>
      <c r="D61" s="277" t="s">
        <v>3270</v>
      </c>
      <c r="E61" s="303" t="s">
        <v>10</v>
      </c>
      <c r="F61" s="303" t="s">
        <v>9</v>
      </c>
      <c r="G61" s="290"/>
      <c r="H61" s="281" t="b">
        <v>1</v>
      </c>
      <c r="J61" s="270">
        <v>46150.0</v>
      </c>
      <c r="K61" s="109" t="s">
        <v>3271</v>
      </c>
      <c r="L61" s="109" t="s">
        <v>3272</v>
      </c>
      <c r="M61" s="58" t="s">
        <v>23</v>
      </c>
      <c r="N61" s="58" t="s">
        <v>20</v>
      </c>
      <c r="O61" s="61"/>
      <c r="P61" s="269" t="b">
        <v>1</v>
      </c>
      <c r="R61" s="270">
        <v>46162.0</v>
      </c>
      <c r="S61" s="312" t="s">
        <v>3273</v>
      </c>
      <c r="T61" s="312" t="s">
        <v>3274</v>
      </c>
      <c r="U61" s="58"/>
      <c r="V61" s="58" t="s">
        <v>958</v>
      </c>
      <c r="W61" s="109" t="s">
        <v>1287</v>
      </c>
      <c r="X61" s="298"/>
      <c r="Z61" s="270">
        <v>46157.0</v>
      </c>
      <c r="AA61" s="109" t="s">
        <v>3275</v>
      </c>
      <c r="AB61" s="109" t="s">
        <v>3276</v>
      </c>
      <c r="AC61" s="58" t="s">
        <v>27</v>
      </c>
      <c r="AD61" s="58" t="s">
        <v>14</v>
      </c>
      <c r="AE61" s="61"/>
      <c r="AF61" s="269" t="b">
        <v>1</v>
      </c>
      <c r="AH61" s="403">
        <v>46169.0</v>
      </c>
      <c r="AI61" s="294" t="s">
        <v>3277</v>
      </c>
      <c r="AJ61" s="294" t="s">
        <v>3278</v>
      </c>
      <c r="AK61" s="391" t="s">
        <v>22</v>
      </c>
      <c r="AL61" s="295" t="s">
        <v>2337</v>
      </c>
      <c r="AM61" s="61"/>
      <c r="AN61" s="269" t="b">
        <v>1</v>
      </c>
      <c r="AP61" s="270"/>
      <c r="AQ61" s="109"/>
      <c r="AR61" s="109"/>
      <c r="AS61" s="58"/>
      <c r="AT61" s="344"/>
      <c r="AU61" s="61"/>
      <c r="AV61" s="269"/>
      <c r="AX61" s="270"/>
      <c r="AY61" s="109"/>
      <c r="AZ61" s="373"/>
      <c r="BA61" s="58"/>
      <c r="BB61" s="344"/>
      <c r="BC61" s="61"/>
      <c r="BD61" s="298"/>
      <c r="BF61" s="270"/>
      <c r="BG61" s="109"/>
      <c r="BH61" s="109"/>
      <c r="BI61" s="344"/>
      <c r="BJ61" s="344"/>
      <c r="BK61" s="61"/>
      <c r="BL61" s="298"/>
    </row>
    <row r="62" ht="22.5" customHeight="1">
      <c r="A62" s="368"/>
      <c r="B62" s="314">
        <v>46139.0</v>
      </c>
      <c r="C62" s="302" t="s">
        <v>3279</v>
      </c>
      <c r="D62" s="277" t="s">
        <v>3280</v>
      </c>
      <c r="E62" s="303" t="s">
        <v>10</v>
      </c>
      <c r="F62" s="303" t="s">
        <v>9</v>
      </c>
      <c r="G62" s="290"/>
      <c r="H62" s="281" t="b">
        <v>1</v>
      </c>
      <c r="J62" s="270">
        <v>46150.0</v>
      </c>
      <c r="K62" s="109" t="s">
        <v>3281</v>
      </c>
      <c r="L62" s="109" t="s">
        <v>3282</v>
      </c>
      <c r="M62" s="58" t="s">
        <v>23</v>
      </c>
      <c r="N62" s="58" t="s">
        <v>20</v>
      </c>
      <c r="O62" s="61"/>
      <c r="P62" s="269" t="b">
        <v>1</v>
      </c>
      <c r="R62" s="270">
        <v>46162.0</v>
      </c>
      <c r="S62" s="312" t="s">
        <v>3283</v>
      </c>
      <c r="T62" s="347" t="s">
        <v>3284</v>
      </c>
      <c r="U62" s="58"/>
      <c r="V62" s="58" t="s">
        <v>958</v>
      </c>
      <c r="W62" s="109" t="s">
        <v>1287</v>
      </c>
      <c r="X62" s="298"/>
      <c r="Z62" s="270">
        <v>46157.0</v>
      </c>
      <c r="AA62" s="109" t="s">
        <v>3285</v>
      </c>
      <c r="AB62" s="109" t="s">
        <v>3286</v>
      </c>
      <c r="AC62" s="58" t="s">
        <v>18</v>
      </c>
      <c r="AD62" s="58" t="s">
        <v>2338</v>
      </c>
      <c r="AE62" s="61"/>
      <c r="AF62" s="269" t="b">
        <v>1</v>
      </c>
      <c r="AH62" s="270">
        <v>46169.0</v>
      </c>
      <c r="AI62" s="109" t="s">
        <v>3287</v>
      </c>
      <c r="AJ62" s="373" t="s">
        <v>3288</v>
      </c>
      <c r="AK62" s="58" t="s">
        <v>22</v>
      </c>
      <c r="AL62" s="58" t="s">
        <v>2347</v>
      </c>
      <c r="AM62" s="109" t="s">
        <v>3289</v>
      </c>
      <c r="AN62" s="269"/>
      <c r="AP62" s="270"/>
      <c r="AQ62" s="109"/>
      <c r="AR62" s="109"/>
      <c r="AS62" s="58"/>
      <c r="AT62" s="344"/>
      <c r="AU62" s="61"/>
      <c r="AV62" s="269"/>
      <c r="AX62" s="270"/>
      <c r="AY62" s="109"/>
      <c r="AZ62" s="373"/>
      <c r="BA62" s="58"/>
      <c r="BB62" s="344"/>
      <c r="BC62" s="61"/>
      <c r="BD62" s="298"/>
      <c r="BF62" s="270"/>
      <c r="BG62" s="109"/>
      <c r="BH62" s="109"/>
      <c r="BI62" s="344"/>
      <c r="BJ62" s="344"/>
      <c r="BK62" s="61"/>
      <c r="BL62" s="298"/>
    </row>
    <row r="63" ht="22.5" customHeight="1">
      <c r="A63" s="368"/>
      <c r="B63" s="314">
        <v>46139.0</v>
      </c>
      <c r="C63" s="302" t="s">
        <v>3290</v>
      </c>
      <c r="D63" s="277" t="s">
        <v>3291</v>
      </c>
      <c r="E63" s="303" t="s">
        <v>13</v>
      </c>
      <c r="F63" s="303" t="s">
        <v>9</v>
      </c>
      <c r="G63" s="425" t="s">
        <v>2370</v>
      </c>
      <c r="H63" s="281" t="b">
        <v>1</v>
      </c>
      <c r="J63" s="270">
        <v>46150.0</v>
      </c>
      <c r="K63" s="109" t="s">
        <v>3292</v>
      </c>
      <c r="L63" s="109" t="s">
        <v>3293</v>
      </c>
      <c r="M63" s="58" t="s">
        <v>23</v>
      </c>
      <c r="N63" s="58" t="s">
        <v>20</v>
      </c>
      <c r="O63" s="61"/>
      <c r="P63" s="269" t="b">
        <v>1</v>
      </c>
      <c r="R63" s="270">
        <v>46162.0</v>
      </c>
      <c r="S63" s="312" t="s">
        <v>3294</v>
      </c>
      <c r="T63" s="422" t="s">
        <v>3295</v>
      </c>
      <c r="U63" s="58" t="s">
        <v>10</v>
      </c>
      <c r="V63" s="58" t="s">
        <v>9</v>
      </c>
      <c r="W63" s="61"/>
      <c r="X63" s="269" t="b">
        <v>1</v>
      </c>
      <c r="Z63" s="270">
        <v>46157.0</v>
      </c>
      <c r="AA63" s="109" t="s">
        <v>3296</v>
      </c>
      <c r="AB63" s="109" t="s">
        <v>3297</v>
      </c>
      <c r="AC63" s="58" t="s">
        <v>18</v>
      </c>
      <c r="AD63" s="58" t="s">
        <v>17</v>
      </c>
      <c r="AE63" s="61"/>
      <c r="AF63" s="269" t="b">
        <v>1</v>
      </c>
      <c r="AH63" s="270">
        <v>46169.0</v>
      </c>
      <c r="AI63" s="109" t="s">
        <v>3298</v>
      </c>
      <c r="AJ63" s="373" t="s">
        <v>3299</v>
      </c>
      <c r="AK63" s="58" t="s">
        <v>16</v>
      </c>
      <c r="AL63" s="58" t="s">
        <v>2347</v>
      </c>
      <c r="AM63" s="109" t="s">
        <v>3289</v>
      </c>
      <c r="AN63" s="269"/>
      <c r="AP63" s="270"/>
      <c r="AQ63" s="109"/>
      <c r="AR63" s="109"/>
      <c r="AS63" s="344"/>
      <c r="AT63" s="344"/>
      <c r="AU63" s="61"/>
      <c r="AV63" s="269"/>
      <c r="AX63" s="270"/>
      <c r="AY63" s="109"/>
      <c r="AZ63" s="373"/>
      <c r="BA63" s="58"/>
      <c r="BB63" s="344"/>
      <c r="BC63" s="61"/>
      <c r="BD63" s="298"/>
      <c r="BF63" s="270"/>
      <c r="BG63" s="109"/>
      <c r="BH63" s="109"/>
      <c r="BI63" s="344"/>
      <c r="BJ63" s="344"/>
      <c r="BK63" s="61"/>
      <c r="BL63" s="298"/>
    </row>
    <row r="64" ht="22.5" customHeight="1">
      <c r="A64" s="368"/>
      <c r="B64" s="314">
        <v>46139.0</v>
      </c>
      <c r="C64" s="302" t="s">
        <v>3300</v>
      </c>
      <c r="D64" s="277" t="s">
        <v>3301</v>
      </c>
      <c r="E64" s="303" t="s">
        <v>32</v>
      </c>
      <c r="F64" s="303" t="s">
        <v>9</v>
      </c>
      <c r="G64" s="302" t="s">
        <v>2455</v>
      </c>
      <c r="H64" s="281" t="b">
        <v>1</v>
      </c>
      <c r="J64" s="270" t="s">
        <v>3302</v>
      </c>
      <c r="K64" s="109"/>
      <c r="L64" s="109"/>
      <c r="M64" s="58"/>
      <c r="N64" s="344"/>
      <c r="O64" s="61"/>
      <c r="P64" s="269"/>
      <c r="R64" s="270">
        <v>46162.0</v>
      </c>
      <c r="S64" s="384" t="s">
        <v>3303</v>
      </c>
      <c r="T64" s="47" t="s">
        <v>3304</v>
      </c>
      <c r="U64" s="58" t="s">
        <v>10</v>
      </c>
      <c r="V64" s="58" t="s">
        <v>9</v>
      </c>
      <c r="W64" s="61"/>
      <c r="X64" s="269" t="b">
        <v>1</v>
      </c>
      <c r="Z64" s="270">
        <v>46157.0</v>
      </c>
      <c r="AA64" s="109" t="s">
        <v>3305</v>
      </c>
      <c r="AB64" s="109" t="s">
        <v>3306</v>
      </c>
      <c r="AC64" s="58" t="s">
        <v>15</v>
      </c>
      <c r="AD64" s="58" t="s">
        <v>2338</v>
      </c>
      <c r="AE64" s="61"/>
      <c r="AF64" s="269"/>
      <c r="AH64" s="270"/>
      <c r="AI64" s="109"/>
      <c r="AJ64" s="373"/>
      <c r="AK64" s="58"/>
      <c r="AL64" s="344"/>
      <c r="AM64" s="61"/>
      <c r="AN64" s="269"/>
      <c r="AP64" s="270"/>
      <c r="AQ64" s="109"/>
      <c r="AR64" s="109"/>
      <c r="AS64" s="58"/>
      <c r="AT64" s="344"/>
      <c r="AU64" s="61"/>
      <c r="AV64" s="269"/>
      <c r="AX64" s="270"/>
      <c r="AY64" s="109"/>
      <c r="AZ64" s="373"/>
      <c r="BA64" s="58"/>
      <c r="BB64" s="344"/>
      <c r="BC64" s="61"/>
      <c r="BD64" s="298"/>
      <c r="BF64" s="270"/>
      <c r="BG64" s="109"/>
      <c r="BH64" s="109"/>
      <c r="BI64" s="344"/>
      <c r="BJ64" s="344"/>
      <c r="BK64" s="61"/>
      <c r="BL64" s="298"/>
    </row>
    <row r="65" ht="22.5" customHeight="1">
      <c r="A65" s="368"/>
      <c r="B65" s="314">
        <v>46139.0</v>
      </c>
      <c r="C65" s="302" t="s">
        <v>3307</v>
      </c>
      <c r="D65" s="277" t="s">
        <v>3308</v>
      </c>
      <c r="E65" s="303" t="s">
        <v>19</v>
      </c>
      <c r="F65" s="303" t="s">
        <v>9</v>
      </c>
      <c r="G65" s="425" t="s">
        <v>3309</v>
      </c>
      <c r="H65" s="281" t="b">
        <v>1</v>
      </c>
      <c r="J65" s="270">
        <v>46150.0</v>
      </c>
      <c r="K65" s="109" t="s">
        <v>3310</v>
      </c>
      <c r="L65" s="109" t="s">
        <v>3311</v>
      </c>
      <c r="M65" s="58" t="s">
        <v>11</v>
      </c>
      <c r="N65" s="58" t="s">
        <v>12</v>
      </c>
      <c r="O65" s="61"/>
      <c r="P65" s="269" t="b">
        <v>1</v>
      </c>
      <c r="R65" s="270">
        <v>46162.0</v>
      </c>
      <c r="S65" s="109" t="s">
        <v>3312</v>
      </c>
      <c r="T65" s="47" t="s">
        <v>3313</v>
      </c>
      <c r="U65" s="58" t="s">
        <v>10</v>
      </c>
      <c r="V65" s="58" t="s">
        <v>9</v>
      </c>
      <c r="W65" s="61"/>
      <c r="X65" s="269" t="b">
        <v>1</v>
      </c>
      <c r="Z65" s="270">
        <v>46157.0</v>
      </c>
      <c r="AA65" s="109" t="s">
        <v>3314</v>
      </c>
      <c r="AB65" s="109" t="s">
        <v>3315</v>
      </c>
      <c r="AC65" s="58" t="s">
        <v>18</v>
      </c>
      <c r="AD65" s="58" t="s">
        <v>20</v>
      </c>
      <c r="AE65" s="61"/>
      <c r="AF65" s="269" t="b">
        <v>1</v>
      </c>
      <c r="AH65" s="270"/>
      <c r="AI65" s="109"/>
      <c r="AJ65" s="373"/>
      <c r="AK65" s="58"/>
      <c r="AL65" s="344"/>
      <c r="AM65" s="61"/>
      <c r="AN65" s="269"/>
      <c r="AP65" s="270"/>
      <c r="AQ65" s="109"/>
      <c r="AR65" s="109"/>
      <c r="AS65" s="58"/>
      <c r="AT65" s="344"/>
      <c r="AU65" s="61"/>
      <c r="AV65" s="269"/>
      <c r="AX65" s="270"/>
      <c r="AY65" s="109"/>
      <c r="AZ65" s="373"/>
      <c r="BA65" s="58"/>
      <c r="BB65" s="344"/>
      <c r="BC65" s="61"/>
      <c r="BD65" s="298"/>
      <c r="BF65" s="270"/>
      <c r="BG65" s="109"/>
      <c r="BH65" s="109"/>
      <c r="BI65" s="344"/>
      <c r="BJ65" s="344"/>
      <c r="BK65" s="61"/>
      <c r="BL65" s="298"/>
    </row>
    <row r="66" ht="22.5" customHeight="1">
      <c r="A66" s="368"/>
      <c r="B66" s="314">
        <v>46139.0</v>
      </c>
      <c r="C66" s="302" t="s">
        <v>3316</v>
      </c>
      <c r="D66" s="277" t="s">
        <v>3317</v>
      </c>
      <c r="E66" s="303" t="s">
        <v>44</v>
      </c>
      <c r="F66" s="303" t="s">
        <v>9</v>
      </c>
      <c r="G66" s="302" t="s">
        <v>3318</v>
      </c>
      <c r="H66" s="281" t="b">
        <v>1</v>
      </c>
      <c r="J66" s="270">
        <v>46150.0</v>
      </c>
      <c r="K66" s="312" t="s">
        <v>3319</v>
      </c>
      <c r="L66" s="109" t="s">
        <v>3320</v>
      </c>
      <c r="M66" s="58" t="s">
        <v>27</v>
      </c>
      <c r="N66" s="58" t="s">
        <v>14</v>
      </c>
      <c r="O66" s="61"/>
      <c r="P66" s="269" t="b">
        <v>1</v>
      </c>
      <c r="R66" s="270">
        <v>46162.0</v>
      </c>
      <c r="S66" s="109" t="s">
        <v>3321</v>
      </c>
      <c r="T66" s="47" t="s">
        <v>3322</v>
      </c>
      <c r="U66" s="58" t="s">
        <v>10</v>
      </c>
      <c r="V66" s="58" t="s">
        <v>9</v>
      </c>
      <c r="W66" s="61"/>
      <c r="X66" s="269" t="b">
        <v>1</v>
      </c>
      <c r="Z66" s="270">
        <v>46157.0</v>
      </c>
      <c r="AA66" s="109" t="s">
        <v>3323</v>
      </c>
      <c r="AB66" s="109" t="s">
        <v>3324</v>
      </c>
      <c r="AC66" s="58" t="s">
        <v>18</v>
      </c>
      <c r="AD66" s="58" t="s">
        <v>20</v>
      </c>
      <c r="AE66" s="61"/>
      <c r="AF66" s="269" t="b">
        <v>1</v>
      </c>
      <c r="AH66" s="270"/>
      <c r="AI66" s="109"/>
      <c r="AJ66" s="373"/>
      <c r="AK66" s="58"/>
      <c r="AL66" s="344"/>
      <c r="AM66" s="61"/>
      <c r="AN66" s="269"/>
      <c r="AP66" s="270"/>
      <c r="AQ66" s="109"/>
      <c r="AR66" s="109"/>
      <c r="AS66" s="58"/>
      <c r="AT66" s="344"/>
      <c r="AU66" s="61"/>
      <c r="AV66" s="269"/>
      <c r="AX66" s="270"/>
      <c r="AY66" s="109"/>
      <c r="AZ66" s="373"/>
      <c r="BA66" s="58"/>
      <c r="BB66" s="344"/>
      <c r="BC66" s="61"/>
      <c r="BD66" s="298"/>
      <c r="BF66" s="270"/>
      <c r="BG66" s="109"/>
      <c r="BH66" s="109"/>
      <c r="BI66" s="344"/>
      <c r="BJ66" s="344"/>
      <c r="BK66" s="61"/>
      <c r="BL66" s="298"/>
    </row>
    <row r="67" ht="22.5" customHeight="1">
      <c r="A67" s="368"/>
      <c r="B67" s="314">
        <v>46140.0</v>
      </c>
      <c r="C67" s="302" t="s">
        <v>3325</v>
      </c>
      <c r="D67" s="277" t="s">
        <v>3326</v>
      </c>
      <c r="E67" s="303" t="s">
        <v>10</v>
      </c>
      <c r="F67" s="303" t="s">
        <v>12</v>
      </c>
      <c r="G67" s="290"/>
      <c r="H67" s="281" t="b">
        <v>1</v>
      </c>
      <c r="J67" s="270">
        <v>46150.0</v>
      </c>
      <c r="K67" s="312" t="s">
        <v>3327</v>
      </c>
      <c r="L67" s="109" t="s">
        <v>3328</v>
      </c>
      <c r="M67" s="58" t="s">
        <v>27</v>
      </c>
      <c r="N67" s="58" t="s">
        <v>14</v>
      </c>
      <c r="O67" s="61"/>
      <c r="P67" s="269" t="b">
        <v>1</v>
      </c>
      <c r="R67" s="270">
        <v>46162.0</v>
      </c>
      <c r="S67" s="312" t="s">
        <v>3329</v>
      </c>
      <c r="T67" s="47" t="s">
        <v>3330</v>
      </c>
      <c r="U67" s="58"/>
      <c r="V67" s="58" t="s">
        <v>9</v>
      </c>
      <c r="W67" s="109" t="s">
        <v>2432</v>
      </c>
      <c r="X67" s="298"/>
      <c r="Z67" s="270">
        <v>46157.0</v>
      </c>
      <c r="AA67" s="109" t="s">
        <v>3331</v>
      </c>
      <c r="AB67" s="109" t="s">
        <v>3332</v>
      </c>
      <c r="AC67" s="58" t="s">
        <v>18</v>
      </c>
      <c r="AD67" s="58" t="s">
        <v>20</v>
      </c>
      <c r="AE67" s="109" t="s">
        <v>3333</v>
      </c>
      <c r="AF67" s="269"/>
      <c r="AH67" s="270"/>
      <c r="AI67" s="109"/>
      <c r="AJ67" s="373"/>
      <c r="AK67" s="58"/>
      <c r="AL67" s="344"/>
      <c r="AM67" s="61"/>
      <c r="AN67" s="269"/>
      <c r="AP67" s="270"/>
      <c r="AQ67" s="109"/>
      <c r="AR67" s="109"/>
      <c r="AS67" s="58"/>
      <c r="AT67" s="344"/>
      <c r="AU67" s="109"/>
      <c r="AV67" s="269"/>
      <c r="AX67" s="270"/>
      <c r="AY67" s="109"/>
      <c r="AZ67" s="373"/>
      <c r="BA67" s="58"/>
      <c r="BB67" s="344"/>
      <c r="BC67" s="61"/>
      <c r="BD67" s="298"/>
      <c r="BF67" s="270"/>
      <c r="BG67" s="109"/>
      <c r="BH67" s="109"/>
      <c r="BI67" s="344"/>
      <c r="BJ67" s="344"/>
      <c r="BK67" s="109"/>
      <c r="BL67" s="298"/>
    </row>
    <row r="68" ht="22.5" customHeight="1">
      <c r="A68" s="368"/>
      <c r="B68" s="314">
        <v>46140.0</v>
      </c>
      <c r="C68" s="302" t="s">
        <v>3334</v>
      </c>
      <c r="D68" s="277" t="s">
        <v>3335</v>
      </c>
      <c r="E68" s="303" t="s">
        <v>10</v>
      </c>
      <c r="F68" s="303" t="s">
        <v>12</v>
      </c>
      <c r="G68" s="290"/>
      <c r="H68" s="281" t="b">
        <v>1</v>
      </c>
      <c r="J68" s="270">
        <v>46150.0</v>
      </c>
      <c r="K68" s="109" t="s">
        <v>3336</v>
      </c>
      <c r="L68" s="109" t="s">
        <v>3337</v>
      </c>
      <c r="M68" s="58" t="s">
        <v>27</v>
      </c>
      <c r="N68" s="58" t="s">
        <v>14</v>
      </c>
      <c r="O68" s="61"/>
      <c r="P68" s="269" t="b">
        <v>1</v>
      </c>
      <c r="R68" s="270">
        <v>46162.0</v>
      </c>
      <c r="S68" s="312" t="s">
        <v>3338</v>
      </c>
      <c r="T68" s="109" t="s">
        <v>3339</v>
      </c>
      <c r="U68" s="58" t="s">
        <v>22</v>
      </c>
      <c r="V68" s="58" t="s">
        <v>28</v>
      </c>
      <c r="W68" s="61"/>
      <c r="X68" s="269" t="b">
        <v>1</v>
      </c>
      <c r="Z68" s="270">
        <v>46157.0</v>
      </c>
      <c r="AA68" s="109" t="s">
        <v>3340</v>
      </c>
      <c r="AB68" s="109" t="s">
        <v>3341</v>
      </c>
      <c r="AC68" s="58" t="s">
        <v>18</v>
      </c>
      <c r="AD68" s="58" t="s">
        <v>20</v>
      </c>
      <c r="AE68" s="61"/>
      <c r="AF68" s="269" t="b">
        <v>1</v>
      </c>
      <c r="AH68" s="270"/>
      <c r="AI68" s="61"/>
      <c r="AJ68" s="373"/>
      <c r="AK68" s="58"/>
      <c r="AL68" s="344"/>
      <c r="AM68" s="61"/>
      <c r="AN68" s="269"/>
      <c r="AP68" s="270"/>
      <c r="AQ68" s="109"/>
      <c r="AR68" s="109"/>
      <c r="AS68" s="58"/>
      <c r="AT68" s="344"/>
      <c r="AU68" s="61"/>
      <c r="AV68" s="269"/>
      <c r="AX68" s="270"/>
      <c r="AY68" s="109"/>
      <c r="AZ68" s="373"/>
      <c r="BA68" s="58"/>
      <c r="BB68" s="344"/>
      <c r="BC68" s="61"/>
      <c r="BD68" s="298"/>
      <c r="BF68" s="270"/>
      <c r="BG68" s="109"/>
      <c r="BH68" s="109"/>
      <c r="BI68" s="344"/>
      <c r="BJ68" s="344"/>
      <c r="BK68" s="61"/>
      <c r="BL68" s="298"/>
    </row>
    <row r="69" ht="22.5" customHeight="1">
      <c r="A69" s="368"/>
      <c r="B69" s="314">
        <v>46140.0</v>
      </c>
      <c r="C69" s="302" t="s">
        <v>3342</v>
      </c>
      <c r="D69" s="277" t="s">
        <v>3343</v>
      </c>
      <c r="E69" s="303" t="s">
        <v>10</v>
      </c>
      <c r="F69" s="303" t="s">
        <v>12</v>
      </c>
      <c r="G69" s="302" t="s">
        <v>3344</v>
      </c>
      <c r="H69" s="315"/>
      <c r="J69" s="270">
        <v>46150.0</v>
      </c>
      <c r="K69" s="109" t="s">
        <v>3345</v>
      </c>
      <c r="L69" s="109" t="s">
        <v>3346</v>
      </c>
      <c r="M69" s="58" t="s">
        <v>27</v>
      </c>
      <c r="N69" s="58" t="s">
        <v>14</v>
      </c>
      <c r="O69" s="109"/>
      <c r="P69" s="269" t="b">
        <v>1</v>
      </c>
      <c r="R69" s="270">
        <v>46162.0</v>
      </c>
      <c r="S69" s="109" t="s">
        <v>3347</v>
      </c>
      <c r="T69" s="109" t="s">
        <v>3348</v>
      </c>
      <c r="U69" s="58" t="s">
        <v>22</v>
      </c>
      <c r="V69" s="58" t="s">
        <v>28</v>
      </c>
      <c r="W69" s="61"/>
      <c r="X69" s="298"/>
      <c r="Z69" s="270">
        <v>46157.0</v>
      </c>
      <c r="AA69" s="109" t="s">
        <v>3349</v>
      </c>
      <c r="AB69" s="109" t="s">
        <v>3350</v>
      </c>
      <c r="AC69" s="58" t="s">
        <v>18</v>
      </c>
      <c r="AD69" s="58" t="s">
        <v>20</v>
      </c>
      <c r="AE69" s="109" t="s">
        <v>3351</v>
      </c>
      <c r="AF69" s="269"/>
      <c r="AH69" s="270"/>
      <c r="AI69" s="109"/>
      <c r="AJ69" s="373"/>
      <c r="AK69" s="58"/>
      <c r="AL69" s="344"/>
      <c r="AM69" s="61"/>
      <c r="AN69" s="269"/>
      <c r="AP69" s="270"/>
      <c r="AQ69" s="109"/>
      <c r="AR69" s="109"/>
      <c r="AS69" s="58"/>
      <c r="AT69" s="344"/>
      <c r="AU69" s="61"/>
      <c r="AV69" s="269"/>
      <c r="AX69" s="270"/>
      <c r="AY69" s="109"/>
      <c r="AZ69" s="373"/>
      <c r="BA69" s="58"/>
      <c r="BB69" s="344"/>
      <c r="BC69" s="61"/>
      <c r="BD69" s="298"/>
      <c r="BF69" s="270"/>
      <c r="BG69" s="109"/>
      <c r="BH69" s="109"/>
      <c r="BI69" s="344"/>
      <c r="BJ69" s="344"/>
      <c r="BK69" s="61"/>
      <c r="BL69" s="298"/>
    </row>
    <row r="70" ht="22.5" customHeight="1">
      <c r="A70" s="368"/>
      <c r="B70" s="314">
        <v>46140.0</v>
      </c>
      <c r="C70" s="302" t="s">
        <v>3352</v>
      </c>
      <c r="D70" s="277" t="s">
        <v>3353</v>
      </c>
      <c r="E70" s="303" t="s">
        <v>10</v>
      </c>
      <c r="F70" s="303" t="s">
        <v>12</v>
      </c>
      <c r="G70" s="290"/>
      <c r="H70" s="281" t="b">
        <v>1</v>
      </c>
      <c r="J70" s="270">
        <v>46150.0</v>
      </c>
      <c r="K70" s="109" t="s">
        <v>3354</v>
      </c>
      <c r="L70" s="109" t="s">
        <v>3355</v>
      </c>
      <c r="M70" s="58" t="s">
        <v>27</v>
      </c>
      <c r="N70" s="58" t="s">
        <v>14</v>
      </c>
      <c r="O70" s="61"/>
      <c r="P70" s="269" t="b">
        <v>1</v>
      </c>
      <c r="R70" s="270">
        <v>46162.0</v>
      </c>
      <c r="S70" s="109" t="s">
        <v>3356</v>
      </c>
      <c r="T70" s="109" t="s">
        <v>3357</v>
      </c>
      <c r="U70" s="58" t="s">
        <v>22</v>
      </c>
      <c r="V70" s="58" t="s">
        <v>28</v>
      </c>
      <c r="W70" s="61"/>
      <c r="X70" s="298"/>
      <c r="Z70" s="270">
        <v>46157.0</v>
      </c>
      <c r="AA70" s="109" t="s">
        <v>3358</v>
      </c>
      <c r="AB70" s="109" t="s">
        <v>3359</v>
      </c>
      <c r="AC70" s="58" t="s">
        <v>11</v>
      </c>
      <c r="AD70" s="58" t="s">
        <v>20</v>
      </c>
      <c r="AE70" s="61"/>
      <c r="AF70" s="269" t="b">
        <v>1</v>
      </c>
      <c r="AH70" s="270"/>
      <c r="AI70" s="109"/>
      <c r="AJ70" s="373"/>
      <c r="AK70" s="58"/>
      <c r="AL70" s="344"/>
      <c r="AM70" s="61"/>
      <c r="AN70" s="269"/>
      <c r="AP70" s="270"/>
      <c r="AQ70" s="109"/>
      <c r="AR70" s="109"/>
      <c r="AS70" s="58"/>
      <c r="AT70" s="344"/>
      <c r="AU70" s="61"/>
      <c r="AV70" s="269"/>
      <c r="AX70" s="270"/>
      <c r="AY70" s="109"/>
      <c r="AZ70" s="373"/>
      <c r="BA70" s="58"/>
      <c r="BB70" s="344"/>
      <c r="BC70" s="61"/>
      <c r="BD70" s="298"/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314">
        <v>46140.0</v>
      </c>
      <c r="C71" s="302" t="s">
        <v>3360</v>
      </c>
      <c r="D71" s="277" t="s">
        <v>3361</v>
      </c>
      <c r="E71" s="303" t="s">
        <v>32</v>
      </c>
      <c r="F71" s="303" t="s">
        <v>12</v>
      </c>
      <c r="G71" s="290"/>
      <c r="H71" s="281" t="b">
        <v>1</v>
      </c>
      <c r="J71" s="270">
        <v>46150.0</v>
      </c>
      <c r="K71" s="109" t="s">
        <v>3362</v>
      </c>
      <c r="L71" s="109" t="s">
        <v>3363</v>
      </c>
      <c r="M71" s="58" t="s">
        <v>27</v>
      </c>
      <c r="N71" s="58" t="s">
        <v>14</v>
      </c>
      <c r="O71" s="61"/>
      <c r="P71" s="269" t="b">
        <v>1</v>
      </c>
      <c r="R71" s="270"/>
      <c r="S71" s="384"/>
      <c r="T71" s="109"/>
      <c r="U71" s="344"/>
      <c r="V71" s="344"/>
      <c r="W71" s="61"/>
      <c r="X71" s="298"/>
      <c r="Z71" s="270">
        <v>46157.0</v>
      </c>
      <c r="AA71" s="109" t="s">
        <v>3364</v>
      </c>
      <c r="AB71" s="109" t="s">
        <v>3365</v>
      </c>
      <c r="AC71" s="58" t="s">
        <v>11</v>
      </c>
      <c r="AD71" s="58" t="s">
        <v>20</v>
      </c>
      <c r="AE71" s="61"/>
      <c r="AF71" s="269" t="b">
        <v>1</v>
      </c>
      <c r="AH71" s="270"/>
      <c r="AI71" s="109"/>
      <c r="AJ71" s="373"/>
      <c r="AK71" s="58"/>
      <c r="AL71" s="344"/>
      <c r="AM71" s="61"/>
      <c r="AN71" s="269"/>
      <c r="AP71" s="270"/>
      <c r="AQ71" s="109"/>
      <c r="AR71" s="109"/>
      <c r="AS71" s="58"/>
      <c r="AT71" s="344"/>
      <c r="AU71" s="61"/>
      <c r="AV71" s="269"/>
      <c r="AX71" s="270"/>
      <c r="AY71" s="109"/>
      <c r="AZ71" s="373"/>
      <c r="BA71" s="58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314">
        <v>46140.0</v>
      </c>
      <c r="C72" s="302" t="s">
        <v>3366</v>
      </c>
      <c r="D72" s="277" t="s">
        <v>3367</v>
      </c>
      <c r="E72" s="303" t="s">
        <v>13</v>
      </c>
      <c r="F72" s="303" t="s">
        <v>12</v>
      </c>
      <c r="G72" s="290"/>
      <c r="H72" s="281" t="b">
        <v>1</v>
      </c>
      <c r="J72" s="270">
        <v>46150.0</v>
      </c>
      <c r="K72" s="109" t="s">
        <v>3368</v>
      </c>
      <c r="L72" s="109" t="s">
        <v>3369</v>
      </c>
      <c r="M72" s="58" t="s">
        <v>27</v>
      </c>
      <c r="N72" s="58" t="s">
        <v>14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>
        <v>46157.0</v>
      </c>
      <c r="AA72" s="109" t="s">
        <v>3370</v>
      </c>
      <c r="AB72" s="109" t="s">
        <v>3371</v>
      </c>
      <c r="AC72" s="58" t="s">
        <v>11</v>
      </c>
      <c r="AD72" s="58" t="s">
        <v>20</v>
      </c>
      <c r="AE72" s="61"/>
      <c r="AF72" s="269" t="b">
        <v>1</v>
      </c>
      <c r="AH72" s="270"/>
      <c r="AI72" s="109"/>
      <c r="AJ72" s="373"/>
      <c r="AK72" s="58"/>
      <c r="AL72" s="344"/>
      <c r="AM72" s="61"/>
      <c r="AN72" s="269"/>
      <c r="AP72" s="270"/>
      <c r="AQ72" s="109"/>
      <c r="AR72" s="109"/>
      <c r="AS72" s="58"/>
      <c r="AT72" s="344"/>
      <c r="AU72" s="61"/>
      <c r="AV72" s="269"/>
      <c r="AX72" s="270"/>
      <c r="AY72" s="109"/>
      <c r="AZ72" s="373"/>
      <c r="BA72" s="58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314">
        <v>46140.0</v>
      </c>
      <c r="C73" s="302" t="s">
        <v>3372</v>
      </c>
      <c r="D73" s="277" t="s">
        <v>3373</v>
      </c>
      <c r="E73" s="303" t="s">
        <v>13</v>
      </c>
      <c r="F73" s="303" t="s">
        <v>12</v>
      </c>
      <c r="G73" s="302" t="s">
        <v>3374</v>
      </c>
      <c r="H73" s="315"/>
      <c r="J73" s="270">
        <v>46150.0</v>
      </c>
      <c r="K73" s="109" t="s">
        <v>3375</v>
      </c>
      <c r="L73" s="109" t="s">
        <v>3376</v>
      </c>
      <c r="M73" s="58" t="s">
        <v>23</v>
      </c>
      <c r="N73" s="58" t="s">
        <v>14</v>
      </c>
      <c r="O73" s="109"/>
      <c r="P73" s="269" t="b">
        <v>1</v>
      </c>
      <c r="R73" s="270"/>
      <c r="S73" s="384"/>
      <c r="T73" s="109"/>
      <c r="U73" s="344"/>
      <c r="V73" s="344"/>
      <c r="W73" s="61"/>
      <c r="X73" s="298"/>
      <c r="Z73" s="270">
        <v>46157.0</v>
      </c>
      <c r="AA73" s="109" t="s">
        <v>3377</v>
      </c>
      <c r="AB73" s="109" t="s">
        <v>3378</v>
      </c>
      <c r="AC73" s="58" t="s">
        <v>30</v>
      </c>
      <c r="AD73" s="58" t="s">
        <v>2338</v>
      </c>
      <c r="AE73" s="61"/>
      <c r="AF73" s="269" t="b">
        <v>1</v>
      </c>
      <c r="AG73" s="429"/>
      <c r="AH73" s="270"/>
      <c r="AI73" s="109"/>
      <c r="AJ73" s="373"/>
      <c r="AK73" s="58"/>
      <c r="AL73" s="344"/>
      <c r="AM73" s="61"/>
      <c r="AN73" s="269"/>
      <c r="AP73" s="270"/>
      <c r="AQ73" s="109"/>
      <c r="AR73" s="109"/>
      <c r="AS73" s="58"/>
      <c r="AT73" s="344"/>
      <c r="AU73" s="61"/>
      <c r="AV73" s="269"/>
      <c r="AX73" s="270"/>
      <c r="AY73" s="109"/>
      <c r="AZ73" s="373"/>
      <c r="BA73" s="58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314">
        <v>46140.0</v>
      </c>
      <c r="C74" s="302" t="s">
        <v>3379</v>
      </c>
      <c r="D74" s="277" t="s">
        <v>3380</v>
      </c>
      <c r="E74" s="303" t="s">
        <v>19</v>
      </c>
      <c r="F74" s="303" t="s">
        <v>12</v>
      </c>
      <c r="G74" s="290"/>
      <c r="H74" s="281" t="b">
        <v>1</v>
      </c>
      <c r="J74" s="270">
        <v>46150.0</v>
      </c>
      <c r="K74" s="109" t="s">
        <v>3381</v>
      </c>
      <c r="L74" s="109" t="s">
        <v>3382</v>
      </c>
      <c r="M74" s="58" t="s">
        <v>23</v>
      </c>
      <c r="N74" s="58" t="s">
        <v>14</v>
      </c>
      <c r="O74" s="61"/>
      <c r="P74" s="269" t="b">
        <v>1</v>
      </c>
      <c r="R74" s="270"/>
      <c r="S74" s="384"/>
      <c r="T74" s="109"/>
      <c r="U74" s="344"/>
      <c r="V74" s="344"/>
      <c r="W74" s="109"/>
      <c r="X74" s="298"/>
      <c r="Z74" s="270">
        <v>46160.0</v>
      </c>
      <c r="AA74" s="109" t="s">
        <v>3383</v>
      </c>
      <c r="AB74" s="109" t="s">
        <v>3384</v>
      </c>
      <c r="AC74" s="58" t="s">
        <v>27</v>
      </c>
      <c r="AD74" s="58" t="s">
        <v>14</v>
      </c>
      <c r="AE74" s="61"/>
      <c r="AF74" s="269" t="b">
        <v>1</v>
      </c>
      <c r="AH74" s="270"/>
      <c r="AI74" s="109"/>
      <c r="AJ74" s="373"/>
      <c r="AK74" s="58"/>
      <c r="AL74" s="344"/>
      <c r="AM74" s="61"/>
      <c r="AN74" s="269"/>
      <c r="AP74" s="270"/>
      <c r="AQ74" s="109"/>
      <c r="AR74" s="109"/>
      <c r="AS74" s="58"/>
      <c r="AT74" s="344"/>
      <c r="AU74" s="61"/>
      <c r="AV74" s="269"/>
      <c r="AX74" s="270"/>
      <c r="AY74" s="109"/>
      <c r="AZ74" s="373"/>
      <c r="BA74" s="58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314">
        <v>46140.0</v>
      </c>
      <c r="C75" s="302" t="s">
        <v>3385</v>
      </c>
      <c r="D75" s="277" t="s">
        <v>3386</v>
      </c>
      <c r="E75" s="303" t="s">
        <v>19</v>
      </c>
      <c r="F75" s="303" t="s">
        <v>12</v>
      </c>
      <c r="G75" s="290"/>
      <c r="H75" s="281" t="b">
        <v>1</v>
      </c>
      <c r="J75" s="270">
        <v>46150.0</v>
      </c>
      <c r="K75" s="109" t="s">
        <v>3387</v>
      </c>
      <c r="L75" s="109" t="s">
        <v>3388</v>
      </c>
      <c r="M75" s="58" t="s">
        <v>23</v>
      </c>
      <c r="N75" s="58" t="s">
        <v>14</v>
      </c>
      <c r="O75" s="109" t="s">
        <v>2253</v>
      </c>
      <c r="P75" s="269"/>
      <c r="R75" s="270"/>
      <c r="S75" s="384"/>
      <c r="T75" s="109"/>
      <c r="U75" s="344"/>
      <c r="V75" s="344"/>
      <c r="W75" s="61"/>
      <c r="X75" s="298"/>
      <c r="Z75" s="270">
        <v>46160.0</v>
      </c>
      <c r="AA75" s="109" t="s">
        <v>3389</v>
      </c>
      <c r="AB75" s="109" t="s">
        <v>3389</v>
      </c>
      <c r="AC75" s="58" t="s">
        <v>18</v>
      </c>
      <c r="AD75" s="58" t="s">
        <v>28</v>
      </c>
      <c r="AE75" s="61"/>
      <c r="AF75" s="269" t="b">
        <v>1</v>
      </c>
      <c r="AH75" s="270"/>
      <c r="AI75" s="109"/>
      <c r="AJ75" s="373"/>
      <c r="AK75" s="58"/>
      <c r="AL75" s="344"/>
      <c r="AM75" s="61"/>
      <c r="AN75" s="269"/>
      <c r="AP75" s="270"/>
      <c r="AQ75" s="109"/>
      <c r="AR75" s="109"/>
      <c r="AS75" s="344"/>
      <c r="AT75" s="344"/>
      <c r="AU75" s="61"/>
      <c r="AV75" s="269"/>
      <c r="AX75" s="270"/>
      <c r="AY75" s="109"/>
      <c r="AZ75" s="373"/>
      <c r="BA75" s="58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314">
        <v>46140.0</v>
      </c>
      <c r="C76" s="302" t="s">
        <v>3390</v>
      </c>
      <c r="D76" s="277" t="s">
        <v>3391</v>
      </c>
      <c r="E76" s="303" t="s">
        <v>16</v>
      </c>
      <c r="F76" s="303" t="s">
        <v>12</v>
      </c>
      <c r="G76" s="290"/>
      <c r="H76" s="281" t="b">
        <v>1</v>
      </c>
      <c r="J76" s="270">
        <v>46150.0</v>
      </c>
      <c r="K76" s="109" t="s">
        <v>3392</v>
      </c>
      <c r="L76" s="430" t="s">
        <v>3393</v>
      </c>
      <c r="M76" s="58" t="s">
        <v>23</v>
      </c>
      <c r="N76" s="58" t="s">
        <v>14</v>
      </c>
      <c r="O76" s="61"/>
      <c r="P76" s="269" t="b">
        <v>1</v>
      </c>
      <c r="R76" s="270"/>
      <c r="S76" s="384"/>
      <c r="T76" s="109"/>
      <c r="U76" s="344"/>
      <c r="V76" s="344"/>
      <c r="W76" s="61"/>
      <c r="X76" s="298"/>
      <c r="Z76" s="401">
        <v>46160.0</v>
      </c>
      <c r="AA76" s="273" t="s">
        <v>3394</v>
      </c>
      <c r="AB76" s="273" t="s">
        <v>3395</v>
      </c>
      <c r="AC76" s="402" t="s">
        <v>27</v>
      </c>
      <c r="AD76" s="274" t="s">
        <v>2337</v>
      </c>
      <c r="AE76" s="61"/>
      <c r="AF76" s="269" t="b">
        <v>1</v>
      </c>
      <c r="AH76" s="270"/>
      <c r="AI76" s="109"/>
      <c r="AJ76" s="373"/>
      <c r="AK76" s="58"/>
      <c r="AL76" s="344"/>
      <c r="AM76" s="61"/>
      <c r="AN76" s="269"/>
      <c r="AP76" s="270"/>
      <c r="AQ76" s="109"/>
      <c r="AR76" s="109"/>
      <c r="AS76" s="344"/>
      <c r="AT76" s="344"/>
      <c r="AU76" s="61"/>
      <c r="AV76" s="269"/>
      <c r="AX76" s="270"/>
      <c r="AY76" s="109"/>
      <c r="AZ76" s="373"/>
      <c r="BA76" s="58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314">
        <v>46140.0</v>
      </c>
      <c r="C77" s="302" t="s">
        <v>3396</v>
      </c>
      <c r="D77" s="277" t="s">
        <v>3397</v>
      </c>
      <c r="E77" s="303" t="s">
        <v>22</v>
      </c>
      <c r="F77" s="303" t="s">
        <v>20</v>
      </c>
      <c r="G77" s="290"/>
      <c r="H77" s="281" t="b">
        <v>1</v>
      </c>
      <c r="J77" s="270"/>
      <c r="K77" s="109" t="s">
        <v>3398</v>
      </c>
      <c r="L77" s="109" t="s">
        <v>3399</v>
      </c>
      <c r="M77" s="58" t="s">
        <v>11</v>
      </c>
      <c r="N77" s="58" t="s">
        <v>12</v>
      </c>
      <c r="O77" s="61"/>
      <c r="P77" s="269" t="b">
        <v>1</v>
      </c>
      <c r="R77" s="270"/>
      <c r="S77" s="384"/>
      <c r="T77" s="109"/>
      <c r="U77" s="344"/>
      <c r="V77" s="344"/>
      <c r="W77" s="109"/>
      <c r="X77" s="298"/>
      <c r="Z77" s="403">
        <v>46160.0</v>
      </c>
      <c r="AA77" s="294" t="s">
        <v>3400</v>
      </c>
      <c r="AB77" s="294" t="s">
        <v>3401</v>
      </c>
      <c r="AC77" s="391" t="s">
        <v>27</v>
      </c>
      <c r="AD77" s="295" t="s">
        <v>2337</v>
      </c>
      <c r="AE77" s="61"/>
      <c r="AF77" s="269" t="b">
        <v>1</v>
      </c>
      <c r="AH77" s="270"/>
      <c r="AI77" s="109"/>
      <c r="AJ77" s="373"/>
      <c r="AK77" s="58"/>
      <c r="AL77" s="344"/>
      <c r="AM77" s="61"/>
      <c r="AN77" s="269"/>
      <c r="AP77" s="270"/>
      <c r="AQ77" s="109"/>
      <c r="AR77" s="109"/>
      <c r="AS77" s="344"/>
      <c r="AT77" s="344"/>
      <c r="AU77" s="61"/>
      <c r="AV77" s="269"/>
      <c r="AX77" s="270"/>
      <c r="AY77" s="109"/>
      <c r="AZ77" s="373"/>
      <c r="BA77" s="58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314">
        <v>46140.0</v>
      </c>
      <c r="C78" s="302" t="s">
        <v>3402</v>
      </c>
      <c r="D78" s="277" t="s">
        <v>3403</v>
      </c>
      <c r="E78" s="303" t="s">
        <v>22</v>
      </c>
      <c r="F78" s="303" t="s">
        <v>20</v>
      </c>
      <c r="G78" s="290"/>
      <c r="H78" s="281" t="b">
        <v>1</v>
      </c>
      <c r="J78" s="270"/>
      <c r="K78" s="109" t="s">
        <v>3404</v>
      </c>
      <c r="L78" s="109" t="s">
        <v>3405</v>
      </c>
      <c r="M78" s="58" t="s">
        <v>11</v>
      </c>
      <c r="N78" s="58" t="s">
        <v>12</v>
      </c>
      <c r="O78" s="61"/>
      <c r="P78" s="269" t="b">
        <v>1</v>
      </c>
      <c r="R78" s="270"/>
      <c r="S78" s="384"/>
      <c r="T78" s="109"/>
      <c r="U78" s="344"/>
      <c r="V78" s="344"/>
      <c r="W78" s="61"/>
      <c r="X78" s="298"/>
      <c r="Z78" s="401">
        <v>46160.0</v>
      </c>
      <c r="AA78" s="273" t="s">
        <v>3406</v>
      </c>
      <c r="AB78" s="273" t="s">
        <v>3407</v>
      </c>
      <c r="AC78" s="402" t="s">
        <v>27</v>
      </c>
      <c r="AD78" s="274" t="s">
        <v>2337</v>
      </c>
      <c r="AE78" s="61"/>
      <c r="AF78" s="269" t="b">
        <v>1</v>
      </c>
      <c r="AH78" s="270"/>
      <c r="AI78" s="109"/>
      <c r="AJ78" s="373"/>
      <c r="AK78" s="58"/>
      <c r="AL78" s="344"/>
      <c r="AM78" s="61"/>
      <c r="AN78" s="269"/>
      <c r="AP78" s="270"/>
      <c r="AQ78" s="109"/>
      <c r="AR78" s="109"/>
      <c r="AS78" s="344"/>
      <c r="AT78" s="344"/>
      <c r="AU78" s="61"/>
      <c r="AV78" s="269"/>
      <c r="AX78" s="270"/>
      <c r="AY78" s="109"/>
      <c r="AZ78" s="373"/>
      <c r="BA78" s="58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314">
        <v>46140.0</v>
      </c>
      <c r="C79" s="302" t="s">
        <v>3408</v>
      </c>
      <c r="D79" s="277" t="s">
        <v>3409</v>
      </c>
      <c r="E79" s="303" t="s">
        <v>22</v>
      </c>
      <c r="F79" s="303" t="s">
        <v>20</v>
      </c>
      <c r="G79" s="290"/>
      <c r="H79" s="281" t="b">
        <v>1</v>
      </c>
      <c r="J79" s="270"/>
      <c r="K79" s="109" t="s">
        <v>3410</v>
      </c>
      <c r="L79" s="109" t="s">
        <v>3411</v>
      </c>
      <c r="M79" s="58" t="s">
        <v>27</v>
      </c>
      <c r="N79" s="58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109"/>
      <c r="X79" s="298"/>
      <c r="Z79" s="403">
        <v>46160.0</v>
      </c>
      <c r="AA79" s="294" t="s">
        <v>3412</v>
      </c>
      <c r="AB79" s="294" t="s">
        <v>3413</v>
      </c>
      <c r="AC79" s="391" t="s">
        <v>27</v>
      </c>
      <c r="AD79" s="295" t="s">
        <v>2337</v>
      </c>
      <c r="AE79" s="61"/>
      <c r="AF79" s="269" t="b">
        <v>1</v>
      </c>
      <c r="AH79" s="270"/>
      <c r="AI79" s="109"/>
      <c r="AJ79" s="373"/>
      <c r="AK79" s="58"/>
      <c r="AL79" s="344"/>
      <c r="AM79" s="61"/>
      <c r="AN79" s="269"/>
      <c r="AP79" s="270"/>
      <c r="AQ79" s="109"/>
      <c r="AR79" s="109"/>
      <c r="AS79" s="344"/>
      <c r="AT79" s="344"/>
      <c r="AU79" s="61"/>
      <c r="AV79" s="269"/>
      <c r="AX79" s="270"/>
      <c r="AY79" s="109"/>
      <c r="AZ79" s="373"/>
      <c r="BA79" s="58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314">
        <v>46140.0</v>
      </c>
      <c r="C80" s="302" t="s">
        <v>3414</v>
      </c>
      <c r="D80" s="277" t="s">
        <v>3415</v>
      </c>
      <c r="E80" s="303" t="s">
        <v>22</v>
      </c>
      <c r="F80" s="303" t="s">
        <v>20</v>
      </c>
      <c r="G80" s="290"/>
      <c r="H80" s="281" t="b">
        <v>1</v>
      </c>
      <c r="J80" s="270"/>
      <c r="K80" s="109" t="s">
        <v>3416</v>
      </c>
      <c r="L80" s="109" t="s">
        <v>3417</v>
      </c>
      <c r="M80" s="58" t="s">
        <v>11</v>
      </c>
      <c r="N80" s="58" t="s">
        <v>12</v>
      </c>
      <c r="O80" s="61"/>
      <c r="P80" s="269" t="b">
        <v>1</v>
      </c>
      <c r="R80" s="270"/>
      <c r="S80" s="384"/>
      <c r="T80" s="109"/>
      <c r="U80" s="344"/>
      <c r="V80" s="344"/>
      <c r="W80" s="61"/>
      <c r="X80" s="298"/>
      <c r="Z80" s="401">
        <v>46160.0</v>
      </c>
      <c r="AA80" s="273" t="s">
        <v>3418</v>
      </c>
      <c r="AB80" s="273" t="s">
        <v>3419</v>
      </c>
      <c r="AC80" s="402" t="s">
        <v>27</v>
      </c>
      <c r="AD80" s="274" t="s">
        <v>2337</v>
      </c>
      <c r="AE80" s="61"/>
      <c r="AF80" s="269" t="b">
        <v>1</v>
      </c>
      <c r="AG80" s="429"/>
      <c r="AH80" s="270"/>
      <c r="AI80" s="109"/>
      <c r="AJ80" s="373"/>
      <c r="AK80" s="58"/>
      <c r="AL80" s="344"/>
      <c r="AM80" s="61"/>
      <c r="AN80" s="269"/>
      <c r="AP80" s="270"/>
      <c r="AQ80" s="109"/>
      <c r="AR80" s="109"/>
      <c r="AS80" s="344"/>
      <c r="AT80" s="344"/>
      <c r="AU80" s="61"/>
      <c r="AV80" s="269"/>
      <c r="AX80" s="270"/>
      <c r="AY80" s="109"/>
      <c r="AZ80" s="373"/>
      <c r="BA80" s="58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314">
        <v>46140.0</v>
      </c>
      <c r="C81" s="302" t="s">
        <v>3420</v>
      </c>
      <c r="D81" s="277" t="s">
        <v>3421</v>
      </c>
      <c r="E81" s="303" t="s">
        <v>22</v>
      </c>
      <c r="F81" s="303" t="s">
        <v>20</v>
      </c>
      <c r="G81" s="290"/>
      <c r="H81" s="281" t="b">
        <v>1</v>
      </c>
      <c r="J81" s="270"/>
      <c r="K81" s="109" t="s">
        <v>3422</v>
      </c>
      <c r="L81" s="109" t="s">
        <v>3423</v>
      </c>
      <c r="M81" s="58" t="s">
        <v>27</v>
      </c>
      <c r="N81" s="58" t="s">
        <v>2337</v>
      </c>
      <c r="O81" s="61"/>
      <c r="P81" s="269" t="b">
        <v>1</v>
      </c>
      <c r="R81" s="270"/>
      <c r="S81" s="384"/>
      <c r="T81" s="109"/>
      <c r="U81" s="344"/>
      <c r="V81" s="344"/>
      <c r="W81" s="109"/>
      <c r="X81" s="298"/>
      <c r="Z81" s="382">
        <v>46160.0</v>
      </c>
      <c r="AA81" s="273" t="s">
        <v>3424</v>
      </c>
      <c r="AB81" s="408" t="s">
        <v>3425</v>
      </c>
      <c r="AC81" s="431" t="s">
        <v>18</v>
      </c>
      <c r="AD81" s="409" t="s">
        <v>2338</v>
      </c>
      <c r="AE81" s="61"/>
      <c r="AF81" s="269" t="b">
        <v>1</v>
      </c>
      <c r="AH81" s="270"/>
      <c r="AI81" s="109"/>
      <c r="AJ81" s="373"/>
      <c r="AK81" s="58"/>
      <c r="AL81" s="344"/>
      <c r="AM81" s="61"/>
      <c r="AN81" s="269"/>
      <c r="AP81" s="270"/>
      <c r="AQ81" s="109"/>
      <c r="AR81" s="109"/>
      <c r="AS81" s="344"/>
      <c r="AT81" s="344"/>
      <c r="AU81" s="61"/>
      <c r="AV81" s="269"/>
      <c r="AX81" s="270"/>
      <c r="AY81" s="109"/>
      <c r="AZ81" s="373"/>
      <c r="BA81" s="58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314">
        <v>46140.0</v>
      </c>
      <c r="C82" s="302" t="s">
        <v>3426</v>
      </c>
      <c r="D82" s="277" t="s">
        <v>3427</v>
      </c>
      <c r="E82" s="303" t="s">
        <v>22</v>
      </c>
      <c r="F82" s="303" t="s">
        <v>20</v>
      </c>
      <c r="G82" s="290"/>
      <c r="H82" s="281" t="b">
        <v>1</v>
      </c>
      <c r="J82" s="270"/>
      <c r="K82" s="109" t="s">
        <v>3428</v>
      </c>
      <c r="L82" s="109" t="s">
        <v>3429</v>
      </c>
      <c r="M82" s="58" t="s">
        <v>11</v>
      </c>
      <c r="N82" s="58" t="s">
        <v>12</v>
      </c>
      <c r="O82" s="61"/>
      <c r="P82" s="269" t="b">
        <v>1</v>
      </c>
      <c r="R82" s="270"/>
      <c r="S82" s="384"/>
      <c r="T82" s="109"/>
      <c r="U82" s="344"/>
      <c r="V82" s="344"/>
      <c r="W82" s="61"/>
      <c r="X82" s="298"/>
      <c r="Z82" s="380">
        <v>46160.0</v>
      </c>
      <c r="AA82" s="294" t="s">
        <v>3430</v>
      </c>
      <c r="AB82" s="294" t="s">
        <v>3431</v>
      </c>
      <c r="AC82" s="411" t="s">
        <v>27</v>
      </c>
      <c r="AD82" s="381" t="s">
        <v>2338</v>
      </c>
      <c r="AE82" s="61"/>
      <c r="AF82" s="269" t="b">
        <v>1</v>
      </c>
      <c r="AH82" s="270"/>
      <c r="AI82" s="109"/>
      <c r="AJ82" s="373"/>
      <c r="AK82" s="58"/>
      <c r="AL82" s="344"/>
      <c r="AM82" s="61"/>
      <c r="AN82" s="269"/>
      <c r="AP82" s="270"/>
      <c r="AQ82" s="109"/>
      <c r="AR82" s="109"/>
      <c r="AS82" s="344"/>
      <c r="AT82" s="344"/>
      <c r="AU82" s="61"/>
      <c r="AV82" s="269"/>
      <c r="AX82" s="270"/>
      <c r="AY82" s="109"/>
      <c r="AZ82" s="373"/>
      <c r="BA82" s="58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314">
        <v>46140.0</v>
      </c>
      <c r="C83" s="302" t="s">
        <v>3432</v>
      </c>
      <c r="D83" s="277" t="s">
        <v>3433</v>
      </c>
      <c r="E83" s="303" t="s">
        <v>22</v>
      </c>
      <c r="F83" s="303" t="s">
        <v>20</v>
      </c>
      <c r="G83" s="290"/>
      <c r="H83" s="281" t="b">
        <v>1</v>
      </c>
      <c r="J83" s="270"/>
      <c r="K83" s="109" t="s">
        <v>3434</v>
      </c>
      <c r="L83" s="109" t="s">
        <v>3435</v>
      </c>
      <c r="M83" s="58" t="s">
        <v>11</v>
      </c>
      <c r="N83" s="58" t="s">
        <v>12</v>
      </c>
      <c r="O83" s="61"/>
      <c r="P83" s="269" t="b">
        <v>1</v>
      </c>
      <c r="R83" s="270"/>
      <c r="S83" s="109"/>
      <c r="T83" s="109"/>
      <c r="U83" s="344"/>
      <c r="V83" s="344"/>
      <c r="W83" s="61"/>
      <c r="X83" s="298"/>
      <c r="Z83" s="382">
        <v>46160.0</v>
      </c>
      <c r="AA83" s="273" t="s">
        <v>3436</v>
      </c>
      <c r="AB83" s="273" t="s">
        <v>3437</v>
      </c>
      <c r="AC83" s="395" t="s">
        <v>27</v>
      </c>
      <c r="AD83" s="383" t="s">
        <v>2338</v>
      </c>
      <c r="AE83" s="61"/>
      <c r="AF83" s="269" t="b">
        <v>1</v>
      </c>
      <c r="AH83" s="270"/>
      <c r="AI83" s="109"/>
      <c r="AJ83" s="373"/>
      <c r="AK83" s="58"/>
      <c r="AL83" s="344"/>
      <c r="AM83" s="61"/>
      <c r="AN83" s="269"/>
      <c r="AP83" s="270"/>
      <c r="AQ83" s="109"/>
      <c r="AR83" s="109"/>
      <c r="AS83" s="344"/>
      <c r="AT83" s="344"/>
      <c r="AU83" s="61"/>
      <c r="AV83" s="269"/>
      <c r="AX83" s="270"/>
      <c r="AY83" s="109"/>
      <c r="AZ83" s="373"/>
      <c r="BA83" s="58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314">
        <v>46140.0</v>
      </c>
      <c r="C84" s="302" t="s">
        <v>3438</v>
      </c>
      <c r="D84" s="277" t="s">
        <v>3439</v>
      </c>
      <c r="E84" s="303" t="s">
        <v>22</v>
      </c>
      <c r="F84" s="303" t="s">
        <v>20</v>
      </c>
      <c r="G84" s="290"/>
      <c r="H84" s="281" t="b">
        <v>1</v>
      </c>
      <c r="J84" s="270"/>
      <c r="K84" s="109" t="s">
        <v>3440</v>
      </c>
      <c r="L84" s="109" t="s">
        <v>3441</v>
      </c>
      <c r="M84" s="58" t="s">
        <v>11</v>
      </c>
      <c r="N84" s="58" t="s">
        <v>12</v>
      </c>
      <c r="O84" s="61"/>
      <c r="P84" s="269" t="b">
        <v>1</v>
      </c>
      <c r="R84" s="270"/>
      <c r="S84" s="109"/>
      <c r="T84" s="109"/>
      <c r="U84" s="344"/>
      <c r="V84" s="344"/>
      <c r="W84" s="61"/>
      <c r="X84" s="298"/>
      <c r="Z84" s="432">
        <v>46161.0</v>
      </c>
      <c r="AA84" s="418" t="s">
        <v>3442</v>
      </c>
      <c r="AB84" s="418" t="s">
        <v>3443</v>
      </c>
      <c r="AC84" s="433" t="s">
        <v>27</v>
      </c>
      <c r="AD84" s="434" t="s">
        <v>20</v>
      </c>
      <c r="AE84" s="61"/>
      <c r="AF84" s="269" t="b">
        <v>1</v>
      </c>
      <c r="AH84" s="270"/>
      <c r="AI84" s="109"/>
      <c r="AJ84" s="373"/>
      <c r="AK84" s="58"/>
      <c r="AL84" s="344"/>
      <c r="AM84" s="61"/>
      <c r="AN84" s="269"/>
      <c r="AP84" s="270"/>
      <c r="AQ84" s="109"/>
      <c r="AR84" s="109"/>
      <c r="AS84" s="344"/>
      <c r="AT84" s="344"/>
      <c r="AU84" s="61"/>
      <c r="AV84" s="269"/>
      <c r="AX84" s="270"/>
      <c r="AY84" s="109"/>
      <c r="AZ84" s="373"/>
      <c r="BA84" s="58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314">
        <v>46142.0</v>
      </c>
      <c r="C85" s="326" t="s">
        <v>3444</v>
      </c>
      <c r="D85" s="326" t="s">
        <v>3445</v>
      </c>
      <c r="E85" s="370" t="s">
        <v>10</v>
      </c>
      <c r="F85" s="370" t="s">
        <v>14</v>
      </c>
      <c r="G85" s="195"/>
      <c r="H85" s="371" t="b">
        <v>1</v>
      </c>
      <c r="J85" s="270"/>
      <c r="K85" s="109" t="s">
        <v>3446</v>
      </c>
      <c r="L85" s="109" t="s">
        <v>3447</v>
      </c>
      <c r="M85" s="58" t="s">
        <v>11</v>
      </c>
      <c r="N85" s="58" t="s">
        <v>12</v>
      </c>
      <c r="O85" s="61"/>
      <c r="P85" s="269" t="b">
        <v>1</v>
      </c>
      <c r="R85" s="270"/>
      <c r="S85" s="109"/>
      <c r="T85" s="109"/>
      <c r="U85" s="344"/>
      <c r="V85" s="344"/>
      <c r="W85" s="61"/>
      <c r="X85" s="298"/>
      <c r="Z85" s="270">
        <v>46161.0</v>
      </c>
      <c r="AA85" s="109" t="s">
        <v>3448</v>
      </c>
      <c r="AB85" s="109" t="s">
        <v>3449</v>
      </c>
      <c r="AC85" s="58" t="s">
        <v>15</v>
      </c>
      <c r="AD85" s="58" t="s">
        <v>20</v>
      </c>
      <c r="AE85" s="109" t="s">
        <v>3450</v>
      </c>
      <c r="AF85" s="269"/>
      <c r="AH85" s="270"/>
      <c r="AI85" s="109"/>
      <c r="AJ85" s="373"/>
      <c r="AK85" s="58"/>
      <c r="AL85" s="344"/>
      <c r="AM85" s="61"/>
      <c r="AN85" s="269"/>
      <c r="AP85" s="270"/>
      <c r="AQ85" s="109"/>
      <c r="AR85" s="109"/>
      <c r="AS85" s="344"/>
      <c r="AT85" s="344"/>
      <c r="AU85" s="61"/>
      <c r="AV85" s="269"/>
      <c r="AX85" s="270"/>
      <c r="AY85" s="109"/>
      <c r="AZ85" s="373"/>
      <c r="BA85" s="58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314">
        <v>46142.0</v>
      </c>
      <c r="C86" s="326" t="s">
        <v>3451</v>
      </c>
      <c r="D86" s="326" t="s">
        <v>3452</v>
      </c>
      <c r="E86" s="370" t="s">
        <v>22</v>
      </c>
      <c r="F86" s="370" t="s">
        <v>14</v>
      </c>
      <c r="G86" s="195"/>
      <c r="H86" s="371" t="b">
        <v>1</v>
      </c>
      <c r="J86" s="270"/>
      <c r="K86" s="109" t="s">
        <v>3453</v>
      </c>
      <c r="L86" s="109" t="s">
        <v>3454</v>
      </c>
      <c r="M86" s="58" t="s">
        <v>18</v>
      </c>
      <c r="N86" s="58" t="s">
        <v>2337</v>
      </c>
      <c r="O86" s="109"/>
      <c r="P86" s="269" t="b">
        <v>1</v>
      </c>
      <c r="R86" s="270"/>
      <c r="S86" s="109"/>
      <c r="T86" s="109"/>
      <c r="U86" s="344"/>
      <c r="V86" s="344"/>
      <c r="W86" s="61"/>
      <c r="X86" s="298"/>
      <c r="Z86" s="270">
        <v>46161.0</v>
      </c>
      <c r="AA86" s="109" t="s">
        <v>3455</v>
      </c>
      <c r="AB86" s="109" t="s">
        <v>3456</v>
      </c>
      <c r="AC86" s="58" t="s">
        <v>27</v>
      </c>
      <c r="AD86" s="58" t="s">
        <v>20</v>
      </c>
      <c r="AE86" s="61"/>
      <c r="AF86" s="269" t="b">
        <v>1</v>
      </c>
      <c r="AH86" s="270"/>
      <c r="AI86" s="109"/>
      <c r="AJ86" s="373"/>
      <c r="AK86" s="58"/>
      <c r="AL86" s="344"/>
      <c r="AM86" s="61"/>
      <c r="AN86" s="269"/>
      <c r="AP86" s="270"/>
      <c r="AQ86" s="109"/>
      <c r="AR86" s="109"/>
      <c r="AS86" s="344"/>
      <c r="AT86" s="344"/>
      <c r="AU86" s="61"/>
      <c r="AV86" s="269"/>
      <c r="AX86" s="270"/>
      <c r="AY86" s="109"/>
      <c r="AZ86" s="373"/>
      <c r="BA86" s="58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14">
        <v>46142.0</v>
      </c>
      <c r="C87" s="326" t="s">
        <v>3457</v>
      </c>
      <c r="D87" s="326" t="s">
        <v>3458</v>
      </c>
      <c r="E87" s="370" t="s">
        <v>24</v>
      </c>
      <c r="F87" s="370" t="s">
        <v>14</v>
      </c>
      <c r="G87" s="435" t="s">
        <v>3459</v>
      </c>
      <c r="H87" s="371" t="b">
        <v>1</v>
      </c>
      <c r="J87" s="270"/>
      <c r="K87" s="109" t="s">
        <v>3460</v>
      </c>
      <c r="L87" s="109" t="s">
        <v>3461</v>
      </c>
      <c r="M87" s="58" t="s">
        <v>27</v>
      </c>
      <c r="N87" s="58" t="s">
        <v>28</v>
      </c>
      <c r="O87" s="109"/>
      <c r="P87" s="269" t="b">
        <v>1</v>
      </c>
      <c r="R87" s="270"/>
      <c r="S87" s="109"/>
      <c r="T87" s="109"/>
      <c r="U87" s="344"/>
      <c r="V87" s="344"/>
      <c r="W87" s="61"/>
      <c r="X87" s="298"/>
      <c r="Z87" s="270">
        <v>46161.0</v>
      </c>
      <c r="AA87" s="109" t="s">
        <v>3462</v>
      </c>
      <c r="AB87" s="109" t="s">
        <v>3463</v>
      </c>
      <c r="AC87" s="58" t="s">
        <v>27</v>
      </c>
      <c r="AD87" s="58" t="s">
        <v>20</v>
      </c>
      <c r="AE87" s="61"/>
      <c r="AF87" s="269" t="b">
        <v>1</v>
      </c>
      <c r="AH87" s="270"/>
      <c r="AI87" s="109"/>
      <c r="AJ87" s="373"/>
      <c r="AK87" s="58"/>
      <c r="AL87" s="344"/>
      <c r="AM87" s="61"/>
      <c r="AN87" s="269"/>
      <c r="AP87" s="270"/>
      <c r="AQ87" s="109"/>
      <c r="AR87" s="109"/>
      <c r="AS87" s="344"/>
      <c r="AT87" s="344"/>
      <c r="AU87" s="61"/>
      <c r="AV87" s="269"/>
      <c r="AX87" s="270"/>
      <c r="AY87" s="109"/>
      <c r="AZ87" s="373"/>
      <c r="BA87" s="58"/>
      <c r="BB87" s="344"/>
      <c r="BC87" s="61"/>
      <c r="BD87" s="298"/>
      <c r="BF87" s="270"/>
      <c r="BG87" s="109"/>
      <c r="BH87" s="109"/>
      <c r="BI87" s="344"/>
      <c r="BJ87" s="344"/>
      <c r="BK87" s="61"/>
      <c r="BL87" s="298"/>
    </row>
    <row r="88" ht="22.5" customHeight="1">
      <c r="A88" s="368"/>
      <c r="B88" s="369">
        <v>46146.0</v>
      </c>
      <c r="C88" s="326" t="s">
        <v>3464</v>
      </c>
      <c r="D88" s="326" t="s">
        <v>3465</v>
      </c>
      <c r="E88" s="370" t="s">
        <v>22</v>
      </c>
      <c r="F88" s="370" t="s">
        <v>12</v>
      </c>
      <c r="G88" s="195"/>
      <c r="H88" s="371" t="b">
        <v>1</v>
      </c>
      <c r="J88" s="270"/>
      <c r="K88" s="109" t="s">
        <v>3466</v>
      </c>
      <c r="L88" s="109" t="s">
        <v>3467</v>
      </c>
      <c r="M88" s="58" t="s">
        <v>18</v>
      </c>
      <c r="N88" s="58" t="s">
        <v>17</v>
      </c>
      <c r="O88" s="61"/>
      <c r="P88" s="269" t="b">
        <v>1</v>
      </c>
      <c r="R88" s="270"/>
      <c r="S88" s="109"/>
      <c r="T88" s="109"/>
      <c r="U88" s="344"/>
      <c r="V88" s="344"/>
      <c r="W88" s="61"/>
      <c r="X88" s="298"/>
      <c r="Z88" s="270">
        <v>46161.0</v>
      </c>
      <c r="AA88" s="109" t="s">
        <v>3468</v>
      </c>
      <c r="AB88" s="109" t="s">
        <v>3469</v>
      </c>
      <c r="AC88" s="58" t="s">
        <v>27</v>
      </c>
      <c r="AD88" s="58" t="s">
        <v>20</v>
      </c>
      <c r="AE88" s="61"/>
      <c r="AF88" s="269" t="b">
        <v>1</v>
      </c>
      <c r="AH88" s="270"/>
      <c r="AI88" s="109"/>
      <c r="AJ88" s="373"/>
      <c r="AK88" s="58"/>
      <c r="AL88" s="344"/>
      <c r="AM88" s="61"/>
      <c r="AN88" s="269"/>
      <c r="AP88" s="270"/>
      <c r="AQ88" s="61"/>
      <c r="AR88" s="109"/>
      <c r="AS88" s="344"/>
      <c r="AT88" s="344"/>
      <c r="AU88" s="61"/>
      <c r="AV88" s="269"/>
      <c r="AX88" s="270"/>
      <c r="AY88" s="109"/>
      <c r="AZ88" s="373"/>
      <c r="BA88" s="58"/>
      <c r="BB88" s="344"/>
      <c r="BC88" s="61"/>
      <c r="BD88" s="298"/>
      <c r="BF88" s="270"/>
      <c r="BG88" s="61"/>
      <c r="BH88" s="109"/>
      <c r="BI88" s="344"/>
      <c r="BJ88" s="344"/>
      <c r="BK88" s="61"/>
      <c r="BL88" s="298"/>
    </row>
    <row r="89" ht="22.5" customHeight="1">
      <c r="A89" s="368"/>
      <c r="B89" s="369">
        <v>46146.0</v>
      </c>
      <c r="C89" s="326" t="s">
        <v>3470</v>
      </c>
      <c r="D89" s="326" t="s">
        <v>3471</v>
      </c>
      <c r="E89" s="370" t="s">
        <v>22</v>
      </c>
      <c r="F89" s="370" t="s">
        <v>12</v>
      </c>
      <c r="G89" s="195"/>
      <c r="H89" s="371" t="b">
        <v>1</v>
      </c>
      <c r="J89" s="270"/>
      <c r="K89" s="109" t="s">
        <v>3472</v>
      </c>
      <c r="L89" s="109" t="s">
        <v>3473</v>
      </c>
      <c r="M89" s="58" t="s">
        <v>27</v>
      </c>
      <c r="N89" s="58" t="s">
        <v>12</v>
      </c>
      <c r="O89" s="61"/>
      <c r="P89" s="269" t="b">
        <v>1</v>
      </c>
      <c r="R89" s="270"/>
      <c r="S89" s="109"/>
      <c r="T89" s="109"/>
      <c r="U89" s="344"/>
      <c r="V89" s="344"/>
      <c r="W89" s="61"/>
      <c r="X89" s="298"/>
      <c r="Z89" s="270">
        <v>46161.0</v>
      </c>
      <c r="AA89" s="109" t="s">
        <v>3474</v>
      </c>
      <c r="AB89" s="109" t="s">
        <v>3475</v>
      </c>
      <c r="AC89" s="58" t="s">
        <v>11</v>
      </c>
      <c r="AD89" s="58" t="s">
        <v>20</v>
      </c>
      <c r="AE89" s="61"/>
      <c r="AF89" s="269" t="b">
        <v>1</v>
      </c>
      <c r="AH89" s="270"/>
      <c r="AI89" s="109"/>
      <c r="AJ89" s="373"/>
      <c r="AK89" s="58"/>
      <c r="AL89" s="344"/>
      <c r="AM89" s="61"/>
      <c r="AN89" s="269"/>
      <c r="AP89" s="270"/>
      <c r="AQ89" s="61"/>
      <c r="AR89" s="61"/>
      <c r="AS89" s="81"/>
      <c r="AT89" s="344"/>
      <c r="AU89" s="61"/>
      <c r="AV89" s="269"/>
      <c r="AX89" s="270"/>
      <c r="AY89" s="109"/>
      <c r="AZ89" s="373"/>
      <c r="BA89" s="58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369">
        <v>46146.0</v>
      </c>
      <c r="C90" s="326" t="s">
        <v>3476</v>
      </c>
      <c r="D90" s="326" t="s">
        <v>3477</v>
      </c>
      <c r="E90" s="370" t="s">
        <v>22</v>
      </c>
      <c r="F90" s="436" t="s">
        <v>12</v>
      </c>
      <c r="G90" s="195"/>
      <c r="H90" s="371" t="b">
        <v>1</v>
      </c>
      <c r="J90" s="270"/>
      <c r="K90" s="109" t="s">
        <v>3478</v>
      </c>
      <c r="L90" s="109" t="s">
        <v>3479</v>
      </c>
      <c r="M90" s="58" t="s">
        <v>21</v>
      </c>
      <c r="N90" s="58" t="s">
        <v>9</v>
      </c>
      <c r="O90" s="61"/>
      <c r="P90" s="269" t="b">
        <v>1</v>
      </c>
      <c r="R90" s="270"/>
      <c r="S90" s="109"/>
      <c r="T90" s="109"/>
      <c r="U90" s="344"/>
      <c r="V90" s="344"/>
      <c r="W90" s="109"/>
      <c r="X90" s="298"/>
      <c r="Z90" s="403">
        <v>46161.0</v>
      </c>
      <c r="AA90" s="418" t="s">
        <v>3480</v>
      </c>
      <c r="AB90" s="294" t="s">
        <v>3481</v>
      </c>
      <c r="AC90" s="391" t="s">
        <v>23</v>
      </c>
      <c r="AD90" s="295" t="s">
        <v>2337</v>
      </c>
      <c r="AE90" s="221"/>
      <c r="AF90" s="269" t="b">
        <v>1</v>
      </c>
      <c r="AH90" s="270"/>
      <c r="AI90" s="109"/>
      <c r="AJ90" s="373"/>
      <c r="AK90" s="58"/>
      <c r="AL90" s="344"/>
      <c r="AM90" s="61"/>
      <c r="AN90" s="269"/>
      <c r="AP90" s="270"/>
      <c r="AQ90" s="61"/>
      <c r="AR90" s="61"/>
      <c r="AS90" s="81"/>
      <c r="AT90" s="344"/>
      <c r="AU90" s="61"/>
      <c r="AV90" s="269"/>
      <c r="AX90" s="270"/>
      <c r="AY90" s="109"/>
      <c r="AZ90" s="373"/>
      <c r="BA90" s="58"/>
      <c r="BB90" s="344"/>
      <c r="BC90" s="61"/>
      <c r="BD90" s="298"/>
      <c r="BF90" s="270"/>
      <c r="BG90" s="61"/>
      <c r="BH90" s="61"/>
      <c r="BI90" s="81"/>
      <c r="BJ90" s="344"/>
      <c r="BK90" s="61"/>
      <c r="BL90" s="298"/>
    </row>
    <row r="91" ht="22.5" customHeight="1">
      <c r="A91" s="368"/>
      <c r="B91" s="437">
        <v>46146.0</v>
      </c>
      <c r="C91" s="326" t="s">
        <v>3482</v>
      </c>
      <c r="D91" s="326" t="s">
        <v>3483</v>
      </c>
      <c r="E91" s="370" t="s">
        <v>22</v>
      </c>
      <c r="F91" s="436" t="s">
        <v>12</v>
      </c>
      <c r="G91" s="195"/>
      <c r="H91" s="371" t="b">
        <v>1</v>
      </c>
      <c r="J91" s="270"/>
      <c r="K91" s="109" t="s">
        <v>3484</v>
      </c>
      <c r="L91" s="109" t="s">
        <v>3485</v>
      </c>
      <c r="M91" s="58" t="s">
        <v>15</v>
      </c>
      <c r="N91" s="58" t="s">
        <v>9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01">
        <v>46161.0</v>
      </c>
      <c r="AA91" s="273" t="s">
        <v>3486</v>
      </c>
      <c r="AB91" s="273" t="s">
        <v>3487</v>
      </c>
      <c r="AC91" s="402" t="s">
        <v>11</v>
      </c>
      <c r="AD91" s="274" t="s">
        <v>2337</v>
      </c>
      <c r="AE91" s="230"/>
      <c r="AF91" s="269" t="b">
        <v>1</v>
      </c>
      <c r="AH91" s="270"/>
      <c r="AI91" s="109"/>
      <c r="AJ91" s="373"/>
      <c r="AK91" s="58"/>
      <c r="AL91" s="344"/>
      <c r="AM91" s="61"/>
      <c r="AN91" s="269"/>
      <c r="AP91" s="194"/>
      <c r="AQ91" s="61"/>
      <c r="AR91" s="61"/>
      <c r="AS91" s="81"/>
      <c r="AT91" s="344"/>
      <c r="AU91" s="61"/>
      <c r="AV91" s="269"/>
      <c r="AX91" s="270"/>
      <c r="AY91" s="109"/>
      <c r="AZ91" s="373"/>
      <c r="BA91" s="58"/>
      <c r="BB91" s="344"/>
      <c r="BC91" s="61"/>
      <c r="BD91" s="298"/>
      <c r="BF91" s="194"/>
      <c r="BG91" s="61"/>
      <c r="BH91" s="61"/>
      <c r="BI91" s="81"/>
      <c r="BJ91" s="344"/>
      <c r="BK91" s="61"/>
      <c r="BL91" s="298"/>
    </row>
    <row r="92" ht="22.5" customHeight="1">
      <c r="A92" s="368"/>
      <c r="B92" s="369">
        <v>46146.0</v>
      </c>
      <c r="C92" s="326" t="s">
        <v>3488</v>
      </c>
      <c r="D92" s="326" t="s">
        <v>3489</v>
      </c>
      <c r="E92" s="370" t="s">
        <v>22</v>
      </c>
      <c r="F92" s="370" t="s">
        <v>12</v>
      </c>
      <c r="G92" s="435" t="s">
        <v>2370</v>
      </c>
      <c r="H92" s="371" t="b">
        <v>1</v>
      </c>
      <c r="J92" s="270"/>
      <c r="K92" s="109" t="s">
        <v>3490</v>
      </c>
      <c r="L92" s="109" t="s">
        <v>3491</v>
      </c>
      <c r="M92" s="58" t="s">
        <v>15</v>
      </c>
      <c r="N92" s="58" t="s">
        <v>9</v>
      </c>
      <c r="O92" s="61"/>
      <c r="P92" s="269" t="b">
        <v>1</v>
      </c>
      <c r="R92" s="270"/>
      <c r="S92" s="384"/>
      <c r="T92" s="109"/>
      <c r="U92" s="344"/>
      <c r="V92" s="344"/>
      <c r="W92" s="61"/>
      <c r="X92" s="298"/>
      <c r="Z92" s="403">
        <v>46161.0</v>
      </c>
      <c r="AA92" s="294" t="s">
        <v>3492</v>
      </c>
      <c r="AB92" s="294" t="s">
        <v>3493</v>
      </c>
      <c r="AC92" s="391"/>
      <c r="AD92" s="295" t="s">
        <v>2337</v>
      </c>
      <c r="AE92" s="438" t="s">
        <v>982</v>
      </c>
      <c r="AF92" s="298"/>
      <c r="AH92" s="270"/>
      <c r="AI92" s="109"/>
      <c r="AJ92" s="373"/>
      <c r="AK92" s="58"/>
      <c r="AL92" s="344"/>
      <c r="AM92" s="61"/>
      <c r="AN92" s="269"/>
      <c r="AP92" s="194"/>
      <c r="AQ92" s="61"/>
      <c r="AR92" s="61"/>
      <c r="AS92" s="81"/>
      <c r="AT92" s="81"/>
      <c r="AU92" s="61"/>
      <c r="AV92" s="269"/>
      <c r="AX92" s="270"/>
      <c r="AY92" s="109"/>
      <c r="AZ92" s="373"/>
      <c r="BA92" s="58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>
        <v>46146.0</v>
      </c>
      <c r="C93" s="326" t="s">
        <v>3494</v>
      </c>
      <c r="D93" s="326" t="s">
        <v>3495</v>
      </c>
      <c r="E93" s="370" t="s">
        <v>22</v>
      </c>
      <c r="F93" s="370" t="s">
        <v>12</v>
      </c>
      <c r="G93" s="326" t="s">
        <v>3496</v>
      </c>
      <c r="H93" s="371"/>
      <c r="J93" s="270"/>
      <c r="K93" s="109" t="s">
        <v>3497</v>
      </c>
      <c r="L93" s="439" t="s">
        <v>3498</v>
      </c>
      <c r="M93" s="271" t="s">
        <v>23</v>
      </c>
      <c r="N93" s="58" t="s">
        <v>9</v>
      </c>
      <c r="O93" s="61"/>
      <c r="P93" s="269" t="b">
        <v>1</v>
      </c>
      <c r="R93" s="270"/>
      <c r="S93" s="384"/>
      <c r="T93" s="109"/>
      <c r="U93" s="344"/>
      <c r="V93" s="344"/>
      <c r="W93" s="61"/>
      <c r="X93" s="298"/>
      <c r="Z93" s="401">
        <v>46161.0</v>
      </c>
      <c r="AA93" s="273" t="s">
        <v>3499</v>
      </c>
      <c r="AB93" s="273" t="s">
        <v>3500</v>
      </c>
      <c r="AC93" s="402" t="s">
        <v>23</v>
      </c>
      <c r="AD93" s="274" t="s">
        <v>2337</v>
      </c>
      <c r="AE93" s="230"/>
      <c r="AF93" s="269" t="b">
        <v>1</v>
      </c>
      <c r="AH93" s="270"/>
      <c r="AI93" s="109"/>
      <c r="AJ93" s="373"/>
      <c r="AK93" s="58"/>
      <c r="AL93" s="344"/>
      <c r="AM93" s="61"/>
      <c r="AN93" s="269"/>
      <c r="AP93" s="194"/>
      <c r="AQ93" s="61"/>
      <c r="AR93" s="61"/>
      <c r="AS93" s="81"/>
      <c r="AT93" s="81"/>
      <c r="AU93" s="61"/>
      <c r="AV93" s="269"/>
      <c r="AX93" s="270"/>
      <c r="AY93" s="109"/>
      <c r="AZ93" s="373"/>
      <c r="BA93" s="58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>
        <v>46146.0</v>
      </c>
      <c r="C94" s="326" t="s">
        <v>3501</v>
      </c>
      <c r="D94" s="326" t="s">
        <v>3502</v>
      </c>
      <c r="E94" s="370" t="s">
        <v>22</v>
      </c>
      <c r="F94" s="370" t="s">
        <v>12</v>
      </c>
      <c r="G94" s="195"/>
      <c r="H94" s="371" t="b">
        <v>1</v>
      </c>
      <c r="J94" s="270"/>
      <c r="K94" s="109" t="s">
        <v>3503</v>
      </c>
      <c r="L94" s="440" t="s">
        <v>3504</v>
      </c>
      <c r="M94" s="271" t="s">
        <v>27</v>
      </c>
      <c r="N94" s="58" t="s">
        <v>20</v>
      </c>
      <c r="O94" s="61"/>
      <c r="P94" s="269" t="b">
        <v>1</v>
      </c>
      <c r="R94" s="270"/>
      <c r="S94" s="384"/>
      <c r="T94" s="109"/>
      <c r="U94" s="344"/>
      <c r="V94" s="344"/>
      <c r="W94" s="61"/>
      <c r="X94" s="298"/>
      <c r="Z94" s="403">
        <v>46161.0</v>
      </c>
      <c r="AA94" s="294" t="s">
        <v>3505</v>
      </c>
      <c r="AB94" s="418" t="s">
        <v>3506</v>
      </c>
      <c r="AC94" s="391"/>
      <c r="AD94" s="295" t="s">
        <v>2337</v>
      </c>
      <c r="AE94" s="438" t="s">
        <v>3507</v>
      </c>
      <c r="AF94" s="269"/>
      <c r="AH94" s="270"/>
      <c r="AI94" s="109"/>
      <c r="AJ94" s="373"/>
      <c r="AK94" s="58"/>
      <c r="AL94" s="344"/>
      <c r="AM94" s="61"/>
      <c r="AN94" s="269"/>
      <c r="AP94" s="194"/>
      <c r="AQ94" s="61"/>
      <c r="AR94" s="61"/>
      <c r="AS94" s="81"/>
      <c r="AT94" s="81"/>
      <c r="AU94" s="61"/>
      <c r="AV94" s="269"/>
      <c r="AX94" s="270"/>
      <c r="AY94" s="109"/>
      <c r="AZ94" s="373"/>
      <c r="BA94" s="58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>
        <v>46146.0</v>
      </c>
      <c r="C95" s="326" t="s">
        <v>3508</v>
      </c>
      <c r="D95" s="326" t="s">
        <v>3509</v>
      </c>
      <c r="E95" s="370" t="s">
        <v>22</v>
      </c>
      <c r="F95" s="370" t="s">
        <v>12</v>
      </c>
      <c r="G95" s="435" t="s">
        <v>3510</v>
      </c>
      <c r="H95" s="371" t="b">
        <v>1</v>
      </c>
      <c r="J95" s="270"/>
      <c r="K95" s="109" t="s">
        <v>3511</v>
      </c>
      <c r="L95" s="109" t="s">
        <v>3512</v>
      </c>
      <c r="M95" s="271" t="s">
        <v>27</v>
      </c>
      <c r="N95" s="58" t="s">
        <v>20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>
        <v>46161.0</v>
      </c>
      <c r="AA95" s="109" t="s">
        <v>3513</v>
      </c>
      <c r="AB95" s="109" t="s">
        <v>3514</v>
      </c>
      <c r="AC95" s="271" t="s">
        <v>18</v>
      </c>
      <c r="AD95" s="58" t="s">
        <v>20</v>
      </c>
      <c r="AE95" s="109"/>
      <c r="AF95" s="269" t="b">
        <v>1</v>
      </c>
      <c r="AH95" s="270"/>
      <c r="AI95" s="109"/>
      <c r="AJ95" s="373"/>
      <c r="AK95" s="58"/>
      <c r="AL95" s="344"/>
      <c r="AM95" s="61"/>
      <c r="AN95" s="269"/>
      <c r="AP95" s="194"/>
      <c r="AQ95" s="61"/>
      <c r="AR95" s="61"/>
      <c r="AS95" s="81"/>
      <c r="AT95" s="81"/>
      <c r="AU95" s="61"/>
      <c r="AV95" s="269"/>
      <c r="AX95" s="270"/>
      <c r="AY95" s="109"/>
      <c r="AZ95" s="373"/>
      <c r="BA95" s="58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>
        <v>46146.0</v>
      </c>
      <c r="C96" s="326" t="s">
        <v>3515</v>
      </c>
      <c r="D96" s="326" t="s">
        <v>3516</v>
      </c>
      <c r="E96" s="370" t="s">
        <v>22</v>
      </c>
      <c r="F96" s="370" t="s">
        <v>12</v>
      </c>
      <c r="G96" s="435" t="s">
        <v>3510</v>
      </c>
      <c r="H96" s="371" t="b">
        <v>1</v>
      </c>
      <c r="J96" s="270"/>
      <c r="K96" s="109" t="s">
        <v>3517</v>
      </c>
      <c r="L96" s="109" t="s">
        <v>3518</v>
      </c>
      <c r="M96" s="58" t="s">
        <v>27</v>
      </c>
      <c r="N96" s="58" t="s">
        <v>20</v>
      </c>
      <c r="O96" s="61"/>
      <c r="P96" s="269" t="b">
        <v>1</v>
      </c>
      <c r="R96" s="270"/>
      <c r="S96" s="384"/>
      <c r="T96" s="109"/>
      <c r="U96" s="344"/>
      <c r="V96" s="344"/>
      <c r="W96" s="61"/>
      <c r="X96" s="298"/>
      <c r="Z96" s="270">
        <v>46161.0</v>
      </c>
      <c r="AA96" s="109" t="s">
        <v>3519</v>
      </c>
      <c r="AB96" s="109" t="s">
        <v>3520</v>
      </c>
      <c r="AC96" s="58" t="s">
        <v>18</v>
      </c>
      <c r="AD96" s="58" t="s">
        <v>20</v>
      </c>
      <c r="AE96" s="61"/>
      <c r="AF96" s="269" t="b">
        <v>1</v>
      </c>
      <c r="AH96" s="270"/>
      <c r="AI96" s="109"/>
      <c r="AJ96" s="373"/>
      <c r="AK96" s="58"/>
      <c r="AL96" s="344"/>
      <c r="AM96" s="61"/>
      <c r="AN96" s="269"/>
      <c r="AP96" s="194"/>
      <c r="AQ96" s="61"/>
      <c r="AR96" s="61"/>
      <c r="AS96" s="81"/>
      <c r="AT96" s="81"/>
      <c r="AU96" s="61"/>
      <c r="AV96" s="269"/>
      <c r="AX96" s="270"/>
      <c r="AY96" s="109"/>
      <c r="AZ96" s="373"/>
      <c r="BA96" s="58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>
        <v>46146.0</v>
      </c>
      <c r="C97" s="326" t="s">
        <v>3521</v>
      </c>
      <c r="D97" s="326" t="s">
        <v>3522</v>
      </c>
      <c r="E97" s="370" t="s">
        <v>22</v>
      </c>
      <c r="F97" s="370" t="s">
        <v>12</v>
      </c>
      <c r="G97" s="326" t="s">
        <v>3523</v>
      </c>
      <c r="H97" s="371"/>
      <c r="J97" s="270"/>
      <c r="K97" s="109" t="s">
        <v>3524</v>
      </c>
      <c r="L97" s="109" t="s">
        <v>3525</v>
      </c>
      <c r="M97" s="58" t="s">
        <v>27</v>
      </c>
      <c r="N97" s="58" t="s">
        <v>20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>
        <v>46161.0</v>
      </c>
      <c r="AA97" s="109" t="s">
        <v>3526</v>
      </c>
      <c r="AB97" s="109" t="s">
        <v>3527</v>
      </c>
      <c r="AC97" s="58" t="s">
        <v>18</v>
      </c>
      <c r="AD97" s="58" t="s">
        <v>20</v>
      </c>
      <c r="AE97" s="61"/>
      <c r="AF97" s="269" t="b">
        <v>1</v>
      </c>
      <c r="AH97" s="270"/>
      <c r="AI97" s="109"/>
      <c r="AJ97" s="373"/>
      <c r="AK97" s="58"/>
      <c r="AL97" s="344"/>
      <c r="AM97" s="61"/>
      <c r="AN97" s="269"/>
      <c r="AP97" s="194"/>
      <c r="AQ97" s="61"/>
      <c r="AR97" s="61"/>
      <c r="AS97" s="81"/>
      <c r="AT97" s="81"/>
      <c r="AU97" s="61"/>
      <c r="AV97" s="269"/>
      <c r="AX97" s="270"/>
      <c r="AY97" s="109"/>
      <c r="AZ97" s="373"/>
      <c r="BA97" s="58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>
        <v>46146.0</v>
      </c>
      <c r="C98" s="326" t="s">
        <v>3528</v>
      </c>
      <c r="D98" s="326" t="s">
        <v>3529</v>
      </c>
      <c r="E98" s="370" t="s">
        <v>22</v>
      </c>
      <c r="F98" s="370" t="s">
        <v>14</v>
      </c>
      <c r="G98" s="326" t="s">
        <v>2551</v>
      </c>
      <c r="H98" s="371" t="b">
        <v>1</v>
      </c>
      <c r="J98" s="270"/>
      <c r="K98" s="109" t="s">
        <v>3530</v>
      </c>
      <c r="L98" s="109" t="s">
        <v>3531</v>
      </c>
      <c r="M98" s="58" t="s">
        <v>27</v>
      </c>
      <c r="N98" s="58" t="s">
        <v>20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>
        <v>46161.0</v>
      </c>
      <c r="AA98" s="109" t="s">
        <v>3532</v>
      </c>
      <c r="AB98" s="109" t="s">
        <v>3533</v>
      </c>
      <c r="AC98" s="58" t="s">
        <v>18</v>
      </c>
      <c r="AD98" s="58" t="s">
        <v>20</v>
      </c>
      <c r="AE98" s="61"/>
      <c r="AF98" s="269" t="b">
        <v>1</v>
      </c>
      <c r="AH98" s="270"/>
      <c r="AI98" s="109"/>
      <c r="AJ98" s="373"/>
      <c r="AK98" s="58"/>
      <c r="AL98" s="344"/>
      <c r="AM98" s="61"/>
      <c r="AN98" s="269"/>
      <c r="AP98" s="194"/>
      <c r="AQ98" s="61"/>
      <c r="AR98" s="61"/>
      <c r="AS98" s="81"/>
      <c r="AT98" s="81"/>
      <c r="AU98" s="61"/>
      <c r="AV98" s="269"/>
      <c r="AX98" s="270"/>
      <c r="AY98" s="109"/>
      <c r="AZ98" s="373"/>
      <c r="BA98" s="58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>
        <v>46146.0</v>
      </c>
      <c r="C99" s="326" t="s">
        <v>3534</v>
      </c>
      <c r="D99" s="326" t="s">
        <v>3535</v>
      </c>
      <c r="E99" s="370" t="s">
        <v>22</v>
      </c>
      <c r="F99" s="370" t="s">
        <v>9</v>
      </c>
      <c r="G99" s="326" t="s">
        <v>2551</v>
      </c>
      <c r="H99" s="371" t="b">
        <v>1</v>
      </c>
      <c r="J99" s="270"/>
      <c r="K99" s="109" t="s">
        <v>3536</v>
      </c>
      <c r="L99" s="109" t="s">
        <v>3537</v>
      </c>
      <c r="M99" s="58" t="s">
        <v>27</v>
      </c>
      <c r="N99" s="58" t="s">
        <v>20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>
        <v>46161.0</v>
      </c>
      <c r="AA99" s="109" t="s">
        <v>3538</v>
      </c>
      <c r="AB99" s="109" t="s">
        <v>3539</v>
      </c>
      <c r="AC99" s="58" t="s">
        <v>18</v>
      </c>
      <c r="AD99" s="58" t="s">
        <v>20</v>
      </c>
      <c r="AE99" s="61"/>
      <c r="AF99" s="269" t="b">
        <v>1</v>
      </c>
      <c r="AH99" s="270"/>
      <c r="AI99" s="109"/>
      <c r="AJ99" s="373"/>
      <c r="AK99" s="58"/>
      <c r="AL99" s="344"/>
      <c r="AM99" s="61"/>
      <c r="AN99" s="269"/>
      <c r="AP99" s="194"/>
      <c r="AQ99" s="61"/>
      <c r="AR99" s="61"/>
      <c r="AS99" s="81"/>
      <c r="AT99" s="81"/>
      <c r="AU99" s="61"/>
      <c r="AV99" s="269"/>
      <c r="AX99" s="270"/>
      <c r="AY99" s="109"/>
      <c r="AZ99" s="373"/>
      <c r="BA99" s="58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>
        <v>46147.0</v>
      </c>
      <c r="C100" s="326" t="s">
        <v>3540</v>
      </c>
      <c r="D100" s="326" t="s">
        <v>3541</v>
      </c>
      <c r="E100" s="370" t="s">
        <v>10</v>
      </c>
      <c r="F100" s="370" t="s">
        <v>9</v>
      </c>
      <c r="G100" s="435" t="s">
        <v>3542</v>
      </c>
      <c r="H100" s="371" t="b">
        <v>1</v>
      </c>
      <c r="J100" s="270"/>
      <c r="K100" s="109" t="s">
        <v>3543</v>
      </c>
      <c r="L100" s="109" t="s">
        <v>3544</v>
      </c>
      <c r="M100" s="58" t="s">
        <v>27</v>
      </c>
      <c r="N100" s="58" t="s">
        <v>20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>
        <v>46161.0</v>
      </c>
      <c r="AA100" s="109" t="s">
        <v>3545</v>
      </c>
      <c r="AB100" s="109" t="s">
        <v>3546</v>
      </c>
      <c r="AC100" s="58" t="s">
        <v>18</v>
      </c>
      <c r="AD100" s="58" t="s">
        <v>20</v>
      </c>
      <c r="AE100" s="61"/>
      <c r="AF100" s="269" t="b">
        <v>1</v>
      </c>
      <c r="AH100" s="270"/>
      <c r="AI100" s="109"/>
      <c r="AJ100" s="373"/>
      <c r="AK100" s="58"/>
      <c r="AL100" s="344"/>
      <c r="AM100" s="61"/>
      <c r="AN100" s="269"/>
      <c r="AP100" s="194"/>
      <c r="AQ100" s="61"/>
      <c r="AR100" s="61"/>
      <c r="AS100" s="81"/>
      <c r="AT100" s="81"/>
      <c r="AU100" s="61"/>
      <c r="AV100" s="269"/>
      <c r="AX100" s="270"/>
      <c r="AY100" s="109"/>
      <c r="AZ100" s="373"/>
      <c r="BA100" s="58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>
        <v>46147.0</v>
      </c>
      <c r="C101" s="326" t="s">
        <v>3547</v>
      </c>
      <c r="D101" s="326" t="s">
        <v>3548</v>
      </c>
      <c r="E101" s="370" t="s">
        <v>44</v>
      </c>
      <c r="F101" s="370" t="s">
        <v>9</v>
      </c>
      <c r="G101" s="435" t="s">
        <v>3542</v>
      </c>
      <c r="H101" s="371" t="b">
        <v>1</v>
      </c>
      <c r="J101" s="270"/>
      <c r="K101" s="109" t="s">
        <v>3549</v>
      </c>
      <c r="L101" s="109" t="s">
        <v>3550</v>
      </c>
      <c r="M101" s="58" t="s">
        <v>27</v>
      </c>
      <c r="N101" s="58" t="s">
        <v>20</v>
      </c>
      <c r="O101" s="61"/>
      <c r="P101" s="269" t="b">
        <v>1</v>
      </c>
      <c r="R101" s="270"/>
      <c r="S101" s="109"/>
      <c r="T101" s="109"/>
      <c r="U101" s="344"/>
      <c r="V101" s="344"/>
      <c r="W101" s="61"/>
      <c r="X101" s="298"/>
      <c r="Z101" s="270">
        <v>46161.0</v>
      </c>
      <c r="AA101" s="109" t="s">
        <v>3551</v>
      </c>
      <c r="AB101" s="109" t="s">
        <v>3552</v>
      </c>
      <c r="AC101" s="58" t="s">
        <v>11</v>
      </c>
      <c r="AD101" s="58" t="s">
        <v>20</v>
      </c>
      <c r="AE101" s="61"/>
      <c r="AF101" s="269" t="b">
        <v>1</v>
      </c>
      <c r="AH101" s="270"/>
      <c r="AI101" s="109"/>
      <c r="AJ101" s="373"/>
      <c r="AK101" s="58"/>
      <c r="AL101" s="344"/>
      <c r="AM101" s="61"/>
      <c r="AN101" s="269"/>
      <c r="AP101" s="194"/>
      <c r="AQ101" s="61"/>
      <c r="AR101" s="61"/>
      <c r="AS101" s="81"/>
      <c r="AT101" s="81"/>
      <c r="AU101" s="61"/>
      <c r="AV101" s="269"/>
      <c r="AX101" s="270"/>
      <c r="AY101" s="109"/>
      <c r="AZ101" s="373"/>
      <c r="BA101" s="58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>
        <v>46147.0</v>
      </c>
      <c r="C102" s="326" t="s">
        <v>3553</v>
      </c>
      <c r="D102" s="326" t="s">
        <v>3554</v>
      </c>
      <c r="E102" s="370" t="s">
        <v>16</v>
      </c>
      <c r="F102" s="370" t="s">
        <v>9</v>
      </c>
      <c r="G102" s="195"/>
      <c r="H102" s="371" t="b">
        <v>1</v>
      </c>
      <c r="J102" s="270"/>
      <c r="K102" s="109" t="s">
        <v>3555</v>
      </c>
      <c r="L102" s="109" t="s">
        <v>3556</v>
      </c>
      <c r="M102" s="58" t="s">
        <v>18</v>
      </c>
      <c r="N102" s="58" t="s">
        <v>14</v>
      </c>
      <c r="O102" s="61"/>
      <c r="P102" s="269" t="b">
        <v>1</v>
      </c>
      <c r="R102" s="194"/>
      <c r="S102" s="61"/>
      <c r="T102" s="61"/>
      <c r="U102" s="81"/>
      <c r="V102" s="81"/>
      <c r="W102" s="61"/>
      <c r="X102" s="298"/>
      <c r="Z102" s="270">
        <v>46161.0</v>
      </c>
      <c r="AA102" s="109" t="s">
        <v>3557</v>
      </c>
      <c r="AB102" s="109" t="s">
        <v>3558</v>
      </c>
      <c r="AC102" s="58" t="s">
        <v>11</v>
      </c>
      <c r="AD102" s="58" t="s">
        <v>20</v>
      </c>
      <c r="AE102" s="61"/>
      <c r="AF102" s="269" t="b">
        <v>1</v>
      </c>
      <c r="AH102" s="270"/>
      <c r="AI102" s="109"/>
      <c r="AJ102" s="373"/>
      <c r="AK102" s="58"/>
      <c r="AL102" s="344"/>
      <c r="AM102" s="61"/>
      <c r="AN102" s="269"/>
      <c r="AP102" s="194"/>
      <c r="AQ102" s="61"/>
      <c r="AR102" s="61"/>
      <c r="AS102" s="81"/>
      <c r="AT102" s="81"/>
      <c r="AU102" s="61"/>
      <c r="AV102" s="269"/>
      <c r="AX102" s="270"/>
      <c r="AY102" s="109"/>
      <c r="AZ102" s="373"/>
      <c r="BA102" s="58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>
        <v>46147.0</v>
      </c>
      <c r="C103" s="326" t="s">
        <v>3559</v>
      </c>
      <c r="D103" s="326" t="s">
        <v>3560</v>
      </c>
      <c r="E103" s="370" t="s">
        <v>10</v>
      </c>
      <c r="F103" s="370" t="s">
        <v>14</v>
      </c>
      <c r="G103" s="326" t="s">
        <v>2551</v>
      </c>
      <c r="H103" s="371" t="b">
        <v>1</v>
      </c>
      <c r="J103" s="270"/>
      <c r="K103" s="109" t="s">
        <v>3561</v>
      </c>
      <c r="L103" s="109" t="s">
        <v>3562</v>
      </c>
      <c r="M103" s="58" t="s">
        <v>18</v>
      </c>
      <c r="N103" s="58" t="s">
        <v>14</v>
      </c>
      <c r="O103" s="61"/>
      <c r="P103" s="269" t="b">
        <v>1</v>
      </c>
      <c r="R103" s="194"/>
      <c r="S103" s="61"/>
      <c r="T103" s="61"/>
      <c r="U103" s="81"/>
      <c r="V103" s="81"/>
      <c r="W103" s="61"/>
      <c r="X103" s="298"/>
      <c r="Z103" s="382">
        <v>46161.0</v>
      </c>
      <c r="AA103" s="273" t="s">
        <v>3563</v>
      </c>
      <c r="AB103" s="273" t="s">
        <v>3564</v>
      </c>
      <c r="AC103" s="409" t="s">
        <v>27</v>
      </c>
      <c r="AD103" s="409" t="s">
        <v>2338</v>
      </c>
      <c r="AE103" s="61"/>
      <c r="AF103" s="269" t="b">
        <v>1</v>
      </c>
      <c r="AH103" s="270"/>
      <c r="AI103" s="109"/>
      <c r="AJ103" s="373"/>
      <c r="AK103" s="58"/>
      <c r="AL103" s="344"/>
      <c r="AM103" s="61"/>
      <c r="AN103" s="269"/>
      <c r="AP103" s="194"/>
      <c r="AQ103" s="61"/>
      <c r="AR103" s="61"/>
      <c r="AS103" s="81"/>
      <c r="AT103" s="81"/>
      <c r="AU103" s="61"/>
      <c r="AV103" s="269"/>
      <c r="AX103" s="270"/>
      <c r="AY103" s="109"/>
      <c r="AZ103" s="373"/>
      <c r="BA103" s="58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>
        <v>46147.0</v>
      </c>
      <c r="C104" s="326" t="s">
        <v>3565</v>
      </c>
      <c r="D104" s="326" t="s">
        <v>3566</v>
      </c>
      <c r="E104" s="370" t="s">
        <v>22</v>
      </c>
      <c r="F104" s="370" t="s">
        <v>14</v>
      </c>
      <c r="G104" s="326" t="s">
        <v>2551</v>
      </c>
      <c r="H104" s="371" t="b">
        <v>1</v>
      </c>
      <c r="J104" s="270"/>
      <c r="K104" s="109" t="s">
        <v>3567</v>
      </c>
      <c r="L104" s="109" t="s">
        <v>3568</v>
      </c>
      <c r="M104" s="58" t="s">
        <v>18</v>
      </c>
      <c r="N104" s="58" t="s">
        <v>14</v>
      </c>
      <c r="O104" s="61"/>
      <c r="P104" s="269" t="b">
        <v>1</v>
      </c>
      <c r="R104" s="194"/>
      <c r="S104" s="61"/>
      <c r="T104" s="61"/>
      <c r="U104" s="81"/>
      <c r="V104" s="81"/>
      <c r="W104" s="61"/>
      <c r="X104" s="298"/>
      <c r="Z104" s="380">
        <v>46161.0</v>
      </c>
      <c r="AA104" s="294" t="s">
        <v>3569</v>
      </c>
      <c r="AB104" s="294" t="s">
        <v>3570</v>
      </c>
      <c r="AC104" s="381" t="s">
        <v>27</v>
      </c>
      <c r="AD104" s="381" t="s">
        <v>2338</v>
      </c>
      <c r="AE104" s="61"/>
      <c r="AF104" s="269" t="b">
        <v>1</v>
      </c>
      <c r="AH104" s="270"/>
      <c r="AI104" s="109"/>
      <c r="AJ104" s="373"/>
      <c r="AK104" s="58"/>
      <c r="AL104" s="344"/>
      <c r="AM104" s="61"/>
      <c r="AN104" s="269"/>
      <c r="AP104" s="194"/>
      <c r="AQ104" s="61"/>
      <c r="AR104" s="61"/>
      <c r="AS104" s="81"/>
      <c r="AT104" s="81"/>
      <c r="AU104" s="61"/>
      <c r="AV104" s="269"/>
      <c r="AX104" s="270"/>
      <c r="AY104" s="109"/>
      <c r="AZ104" s="373"/>
      <c r="BA104" s="58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>
        <v>46147.0</v>
      </c>
      <c r="C105" s="326" t="s">
        <v>3571</v>
      </c>
      <c r="D105" s="326" t="s">
        <v>3572</v>
      </c>
      <c r="E105" s="370" t="s">
        <v>22</v>
      </c>
      <c r="F105" s="370" t="s">
        <v>14</v>
      </c>
      <c r="G105" s="326" t="s">
        <v>2551</v>
      </c>
      <c r="H105" s="371" t="b">
        <v>1</v>
      </c>
      <c r="J105" s="270"/>
      <c r="K105" s="109" t="s">
        <v>3573</v>
      </c>
      <c r="L105" s="109" t="s">
        <v>3574</v>
      </c>
      <c r="M105" s="58" t="s">
        <v>18</v>
      </c>
      <c r="N105" s="58" t="s">
        <v>14</v>
      </c>
      <c r="O105" s="61"/>
      <c r="P105" s="269" t="b">
        <v>1</v>
      </c>
      <c r="R105" s="194"/>
      <c r="S105" s="61"/>
      <c r="T105" s="61"/>
      <c r="U105" s="81"/>
      <c r="V105" s="81"/>
      <c r="W105" s="61"/>
      <c r="X105" s="298"/>
      <c r="Z105" s="382">
        <v>46161.0</v>
      </c>
      <c r="AA105" s="273" t="s">
        <v>3575</v>
      </c>
      <c r="AB105" s="273" t="s">
        <v>3576</v>
      </c>
      <c r="AC105" s="383" t="s">
        <v>27</v>
      </c>
      <c r="AD105" s="383" t="s">
        <v>2338</v>
      </c>
      <c r="AE105" s="109" t="s">
        <v>3577</v>
      </c>
      <c r="AF105" s="269" t="b">
        <v>1</v>
      </c>
      <c r="AH105" s="270"/>
      <c r="AI105" s="109"/>
      <c r="AJ105" s="373"/>
      <c r="AK105" s="58"/>
      <c r="AL105" s="344"/>
      <c r="AM105" s="61"/>
      <c r="AN105" s="269"/>
      <c r="AP105" s="194"/>
      <c r="AQ105" s="61"/>
      <c r="AR105" s="61"/>
      <c r="AS105" s="81"/>
      <c r="AT105" s="81"/>
      <c r="AU105" s="61"/>
      <c r="AV105" s="269"/>
      <c r="AX105" s="270"/>
      <c r="AY105" s="109"/>
      <c r="AZ105" s="373"/>
      <c r="BA105" s="58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>
        <v>46148.0</v>
      </c>
      <c r="C106" s="326" t="s">
        <v>3578</v>
      </c>
      <c r="D106" s="326" t="s">
        <v>3579</v>
      </c>
      <c r="E106" s="370" t="s">
        <v>22</v>
      </c>
      <c r="F106" s="370" t="s">
        <v>28</v>
      </c>
      <c r="G106" s="195"/>
      <c r="H106" s="371" t="b">
        <v>1</v>
      </c>
      <c r="J106" s="270"/>
      <c r="K106" s="109" t="s">
        <v>3580</v>
      </c>
      <c r="L106" s="297" t="s">
        <v>3581</v>
      </c>
      <c r="M106" s="58" t="s">
        <v>18</v>
      </c>
      <c r="N106" s="58" t="s">
        <v>14</v>
      </c>
      <c r="O106" s="61"/>
      <c r="P106" s="269" t="b">
        <v>1</v>
      </c>
      <c r="R106" s="194"/>
      <c r="S106" s="61"/>
      <c r="T106" s="61"/>
      <c r="U106" s="81"/>
      <c r="V106" s="81"/>
      <c r="W106" s="61"/>
      <c r="X106" s="298"/>
      <c r="Z106" s="380">
        <v>46161.0</v>
      </c>
      <c r="AA106" s="294" t="s">
        <v>3582</v>
      </c>
      <c r="AB106" s="294" t="s">
        <v>3583</v>
      </c>
      <c r="AC106" s="381" t="s">
        <v>27</v>
      </c>
      <c r="AD106" s="441" t="s">
        <v>2338</v>
      </c>
      <c r="AE106" s="61"/>
      <c r="AF106" s="269" t="b">
        <v>1</v>
      </c>
      <c r="AH106" s="270"/>
      <c r="AI106" s="109"/>
      <c r="AJ106" s="373"/>
      <c r="AK106" s="58"/>
      <c r="AL106" s="344"/>
      <c r="AM106" s="61"/>
      <c r="AN106" s="269"/>
      <c r="AP106" s="194"/>
      <c r="AQ106" s="61"/>
      <c r="AR106" s="61"/>
      <c r="AS106" s="81"/>
      <c r="AT106" s="81"/>
      <c r="AU106" s="61"/>
      <c r="AV106" s="269"/>
      <c r="AX106" s="270"/>
      <c r="AY106" s="109"/>
      <c r="AZ106" s="373"/>
      <c r="BA106" s="58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>
        <v>46148.0</v>
      </c>
      <c r="C107" s="326" t="s">
        <v>3584</v>
      </c>
      <c r="D107" s="326" t="s">
        <v>3585</v>
      </c>
      <c r="E107" s="370" t="s">
        <v>22</v>
      </c>
      <c r="F107" s="370" t="s">
        <v>9</v>
      </c>
      <c r="G107" s="195"/>
      <c r="H107" s="371" t="b">
        <v>1</v>
      </c>
      <c r="J107" s="270"/>
      <c r="K107" s="109" t="s">
        <v>3586</v>
      </c>
      <c r="L107" s="109" t="s">
        <v>3587</v>
      </c>
      <c r="M107" s="58" t="s">
        <v>18</v>
      </c>
      <c r="N107" s="58" t="s">
        <v>14</v>
      </c>
      <c r="O107" s="109" t="s">
        <v>3588</v>
      </c>
      <c r="P107" s="269" t="b">
        <v>1</v>
      </c>
      <c r="R107" s="194"/>
      <c r="S107" s="61"/>
      <c r="T107" s="61"/>
      <c r="U107" s="81"/>
      <c r="V107" s="81"/>
      <c r="W107" s="61"/>
      <c r="X107" s="298"/>
      <c r="Z107" s="382">
        <v>46161.0</v>
      </c>
      <c r="AA107" s="273" t="s">
        <v>3589</v>
      </c>
      <c r="AB107" s="273" t="s">
        <v>3590</v>
      </c>
      <c r="AC107" s="274" t="s">
        <v>27</v>
      </c>
      <c r="AD107" s="442" t="s">
        <v>2338</v>
      </c>
      <c r="AE107" s="109" t="s">
        <v>3591</v>
      </c>
      <c r="AF107" s="298"/>
      <c r="AH107" s="270"/>
      <c r="AI107" s="109"/>
      <c r="AJ107" s="373"/>
      <c r="AK107" s="58"/>
      <c r="AL107" s="344"/>
      <c r="AM107" s="61"/>
      <c r="AN107" s="269"/>
      <c r="AP107" s="194"/>
      <c r="AQ107" s="61"/>
      <c r="AR107" s="61"/>
      <c r="AS107" s="81"/>
      <c r="AT107" s="81"/>
      <c r="AU107" s="61"/>
      <c r="AV107" s="269"/>
      <c r="AX107" s="270"/>
      <c r="AY107" s="109"/>
      <c r="AZ107" s="373"/>
      <c r="BA107" s="58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>
        <v>46148.0</v>
      </c>
      <c r="C108" s="326" t="s">
        <v>3592</v>
      </c>
      <c r="D108" s="326" t="s">
        <v>3593</v>
      </c>
      <c r="E108" s="370" t="s">
        <v>22</v>
      </c>
      <c r="F108" s="370" t="s">
        <v>9</v>
      </c>
      <c r="G108" s="195"/>
      <c r="H108" s="371" t="b">
        <v>1</v>
      </c>
      <c r="J108" s="270"/>
      <c r="K108" s="109" t="s">
        <v>3594</v>
      </c>
      <c r="L108" s="109" t="s">
        <v>3595</v>
      </c>
      <c r="M108" s="58" t="s">
        <v>18</v>
      </c>
      <c r="N108" s="58" t="s">
        <v>14</v>
      </c>
      <c r="O108" s="61"/>
      <c r="P108" s="269" t="b">
        <v>1</v>
      </c>
      <c r="R108" s="194"/>
      <c r="S108" s="61"/>
      <c r="T108" s="61"/>
      <c r="U108" s="81"/>
      <c r="V108" s="81"/>
      <c r="W108" s="61"/>
      <c r="X108" s="298"/>
      <c r="Z108" s="270">
        <v>46162.0</v>
      </c>
      <c r="AA108" s="109" t="s">
        <v>3596</v>
      </c>
      <c r="AB108" s="109" t="s">
        <v>3597</v>
      </c>
      <c r="AC108" s="58" t="s">
        <v>25</v>
      </c>
      <c r="AD108" s="58" t="s">
        <v>28</v>
      </c>
      <c r="AE108" s="109" t="s">
        <v>3598</v>
      </c>
      <c r="AF108" s="298"/>
      <c r="AH108" s="270"/>
      <c r="AI108" s="109"/>
      <c r="AJ108" s="373"/>
      <c r="AK108" s="58"/>
      <c r="AL108" s="344"/>
      <c r="AM108" s="61"/>
      <c r="AN108" s="269"/>
      <c r="AP108" s="194"/>
      <c r="AQ108" s="61"/>
      <c r="AR108" s="61"/>
      <c r="AS108" s="81"/>
      <c r="AT108" s="81"/>
      <c r="AU108" s="61"/>
      <c r="AV108" s="269"/>
      <c r="AX108" s="270"/>
      <c r="AY108" s="109"/>
      <c r="AZ108" s="373"/>
      <c r="BA108" s="58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>
        <v>46148.0</v>
      </c>
      <c r="C109" s="326" t="s">
        <v>3599</v>
      </c>
      <c r="D109" s="326" t="s">
        <v>3600</v>
      </c>
      <c r="E109" s="370" t="s">
        <v>22</v>
      </c>
      <c r="F109" s="370" t="s">
        <v>9</v>
      </c>
      <c r="G109" s="195"/>
      <c r="H109" s="371" t="b">
        <v>1</v>
      </c>
      <c r="J109" s="369"/>
      <c r="K109" s="443" t="s">
        <v>3601</v>
      </c>
      <c r="L109" s="326" t="s">
        <v>3602</v>
      </c>
      <c r="M109" s="370" t="s">
        <v>27</v>
      </c>
      <c r="N109" s="370" t="s">
        <v>2338</v>
      </c>
      <c r="O109" s="195"/>
      <c r="P109" s="371" t="b">
        <v>1</v>
      </c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58"/>
      <c r="AL109" s="344"/>
      <c r="AM109" s="61"/>
      <c r="AN109" s="269"/>
      <c r="AP109" s="194"/>
      <c r="AQ109" s="61"/>
      <c r="AR109" s="61"/>
      <c r="AS109" s="81"/>
      <c r="AT109" s="81"/>
      <c r="AU109" s="61"/>
      <c r="AV109" s="269"/>
      <c r="AX109" s="270"/>
      <c r="AY109" s="109"/>
      <c r="AZ109" s="373"/>
      <c r="BA109" s="58"/>
      <c r="BB109" s="344"/>
      <c r="BC109" s="61"/>
      <c r="BD109" s="269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>
        <v>46148.0</v>
      </c>
      <c r="C110" s="326" t="s">
        <v>3603</v>
      </c>
      <c r="D110" s="326" t="s">
        <v>3604</v>
      </c>
      <c r="E110" s="370" t="s">
        <v>10</v>
      </c>
      <c r="F110" s="370" t="s">
        <v>9</v>
      </c>
      <c r="G110" s="195"/>
      <c r="H110" s="371" t="b">
        <v>1</v>
      </c>
      <c r="J110" s="369"/>
      <c r="K110" s="326" t="s">
        <v>3605</v>
      </c>
      <c r="L110" s="326" t="s">
        <v>3606</v>
      </c>
      <c r="M110" s="370" t="s">
        <v>27</v>
      </c>
      <c r="N110" s="370" t="s">
        <v>2338</v>
      </c>
      <c r="O110" s="326" t="s">
        <v>3607</v>
      </c>
      <c r="P110" s="386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69"/>
      <c r="AH110" s="270"/>
      <c r="AI110" s="109"/>
      <c r="AJ110" s="373"/>
      <c r="AK110" s="58"/>
      <c r="AL110" s="344"/>
      <c r="AM110" s="61"/>
      <c r="AN110" s="269"/>
      <c r="AP110" s="194"/>
      <c r="AQ110" s="61"/>
      <c r="AR110" s="61"/>
      <c r="AS110" s="81"/>
      <c r="AT110" s="81"/>
      <c r="AU110" s="61"/>
      <c r="AV110" s="269"/>
      <c r="AX110" s="270"/>
      <c r="AY110" s="109"/>
      <c r="AZ110" s="373"/>
      <c r="BA110" s="58"/>
      <c r="BB110" s="344"/>
      <c r="BC110" s="61"/>
      <c r="BD110" s="269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>
        <v>46148.0</v>
      </c>
      <c r="C111" s="326" t="s">
        <v>3608</v>
      </c>
      <c r="D111" s="326" t="s">
        <v>3609</v>
      </c>
      <c r="E111" s="370" t="s">
        <v>22</v>
      </c>
      <c r="F111" s="370" t="s">
        <v>14</v>
      </c>
      <c r="G111" s="326" t="s">
        <v>3610</v>
      </c>
      <c r="H111" s="371" t="b">
        <v>1</v>
      </c>
      <c r="J111" s="369"/>
      <c r="K111" s="109" t="s">
        <v>3611</v>
      </c>
      <c r="L111" s="109" t="s">
        <v>3612</v>
      </c>
      <c r="M111" s="58" t="s">
        <v>27</v>
      </c>
      <c r="N111" s="58" t="s">
        <v>2338</v>
      </c>
      <c r="O111" s="61"/>
      <c r="P111" s="269" t="b">
        <v>1</v>
      </c>
      <c r="R111" s="194"/>
      <c r="S111" s="61"/>
      <c r="T111" s="61"/>
      <c r="U111" s="81"/>
      <c r="V111" s="81"/>
      <c r="W111" s="61"/>
      <c r="X111" s="298"/>
      <c r="Z111" s="194"/>
      <c r="AA111" s="61"/>
      <c r="AB111" s="61"/>
      <c r="AC111" s="81"/>
      <c r="AD111" s="81"/>
      <c r="AE111" s="61"/>
      <c r="AF111" s="269"/>
      <c r="AH111" s="270"/>
      <c r="AI111" s="109"/>
      <c r="AJ111" s="373"/>
      <c r="AK111" s="58"/>
      <c r="AL111" s="344"/>
      <c r="AM111" s="61"/>
      <c r="AN111" s="269"/>
      <c r="AP111" s="194"/>
      <c r="AQ111" s="61"/>
      <c r="AR111" s="61"/>
      <c r="AS111" s="81"/>
      <c r="AT111" s="81"/>
      <c r="AU111" s="61"/>
      <c r="AV111" s="269"/>
      <c r="AX111" s="270"/>
      <c r="AY111" s="109"/>
      <c r="AZ111" s="373"/>
      <c r="BA111" s="58"/>
      <c r="BB111" s="344"/>
      <c r="BC111" s="61"/>
      <c r="BD111" s="269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>
        <v>46148.0</v>
      </c>
      <c r="C112" s="326" t="s">
        <v>3613</v>
      </c>
      <c r="D112" s="326" t="s">
        <v>3614</v>
      </c>
      <c r="E112" s="370" t="s">
        <v>22</v>
      </c>
      <c r="F112" s="370" t="s">
        <v>14</v>
      </c>
      <c r="G112" s="326" t="s">
        <v>3610</v>
      </c>
      <c r="H112" s="371" t="b">
        <v>1</v>
      </c>
      <c r="J112" s="270"/>
      <c r="K112" s="109"/>
      <c r="L112" s="109"/>
      <c r="M112" s="58"/>
      <c r="N112" s="58"/>
      <c r="O112" s="61"/>
      <c r="P112" s="269"/>
      <c r="R112" s="270">
        <v>46154.0</v>
      </c>
      <c r="S112" s="109" t="s">
        <v>3615</v>
      </c>
      <c r="T112" s="109" t="s">
        <v>1633</v>
      </c>
      <c r="U112" s="58" t="s">
        <v>22</v>
      </c>
      <c r="V112" s="58" t="s">
        <v>12</v>
      </c>
      <c r="W112" s="61"/>
      <c r="X112" s="298"/>
      <c r="Z112" s="194"/>
      <c r="AA112" s="61"/>
      <c r="AB112" s="61"/>
      <c r="AC112" s="81"/>
      <c r="AD112" s="81"/>
      <c r="AE112" s="61"/>
      <c r="AF112" s="269"/>
      <c r="AH112" s="270"/>
      <c r="AI112" s="109"/>
      <c r="AJ112" s="373"/>
      <c r="AK112" s="58"/>
      <c r="AL112" s="344"/>
      <c r="AM112" s="61"/>
      <c r="AN112" s="269"/>
      <c r="AP112" s="194"/>
      <c r="AQ112" s="61"/>
      <c r="AR112" s="61"/>
      <c r="AS112" s="81"/>
      <c r="AT112" s="81"/>
      <c r="AU112" s="61"/>
      <c r="AV112" s="269"/>
      <c r="AX112" s="270"/>
      <c r="AY112" s="109"/>
      <c r="AZ112" s="373"/>
      <c r="BA112" s="58"/>
      <c r="BB112" s="344"/>
      <c r="BC112" s="61"/>
      <c r="BD112" s="269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>
        <v>46150.0</v>
      </c>
      <c r="C113" s="326" t="s">
        <v>3616</v>
      </c>
      <c r="D113" s="326" t="s">
        <v>3617</v>
      </c>
      <c r="E113" s="370" t="s">
        <v>22</v>
      </c>
      <c r="F113" s="370" t="s">
        <v>12</v>
      </c>
      <c r="G113" s="195"/>
      <c r="H113" s="371" t="b">
        <v>1</v>
      </c>
      <c r="J113" s="194"/>
      <c r="K113" s="61"/>
      <c r="L113" s="61"/>
      <c r="M113" s="81"/>
      <c r="N113" s="81"/>
      <c r="O113" s="61"/>
      <c r="P113" s="269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69"/>
      <c r="AH113" s="270"/>
      <c r="AI113" s="109"/>
      <c r="AJ113" s="373"/>
      <c r="AK113" s="58"/>
      <c r="AL113" s="344"/>
      <c r="AM113" s="61"/>
      <c r="AN113" s="269"/>
      <c r="AP113" s="194"/>
      <c r="AQ113" s="61"/>
      <c r="AR113" s="61"/>
      <c r="AS113" s="81"/>
      <c r="AT113" s="81"/>
      <c r="AU113" s="61"/>
      <c r="AV113" s="269"/>
      <c r="AX113" s="270"/>
      <c r="AY113" s="109"/>
      <c r="AZ113" s="373"/>
      <c r="BA113" s="58"/>
      <c r="BB113" s="344"/>
      <c r="BC113" s="61"/>
      <c r="BD113" s="269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>
        <v>46150.0</v>
      </c>
      <c r="C114" s="326" t="s">
        <v>3618</v>
      </c>
      <c r="D114" s="326" t="s">
        <v>3619</v>
      </c>
      <c r="E114" s="370" t="s">
        <v>22</v>
      </c>
      <c r="F114" s="370" t="s">
        <v>12</v>
      </c>
      <c r="G114" s="195"/>
      <c r="H114" s="371" t="b">
        <v>1</v>
      </c>
      <c r="J114" s="194"/>
      <c r="K114" s="61"/>
      <c r="L114" s="61"/>
      <c r="M114" s="81"/>
      <c r="N114" s="81"/>
      <c r="O114" s="61"/>
      <c r="P114" s="269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69"/>
      <c r="AH114" s="270"/>
      <c r="AI114" s="109"/>
      <c r="AJ114" s="373"/>
      <c r="AK114" s="58"/>
      <c r="AL114" s="344"/>
      <c r="AM114" s="61"/>
      <c r="AN114" s="269"/>
      <c r="AP114" s="194"/>
      <c r="AQ114" s="61"/>
      <c r="AR114" s="61"/>
      <c r="AS114" s="81"/>
      <c r="AT114" s="81"/>
      <c r="AU114" s="61"/>
      <c r="AV114" s="269"/>
      <c r="AX114" s="270"/>
      <c r="AY114" s="109"/>
      <c r="AZ114" s="373"/>
      <c r="BA114" s="58"/>
      <c r="BB114" s="344"/>
      <c r="BC114" s="61"/>
      <c r="BD114" s="269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>
        <v>46150.0</v>
      </c>
      <c r="C115" s="326" t="s">
        <v>3620</v>
      </c>
      <c r="D115" s="326" t="s">
        <v>3621</v>
      </c>
      <c r="E115" s="370" t="s">
        <v>22</v>
      </c>
      <c r="F115" s="370" t="s">
        <v>12</v>
      </c>
      <c r="G115" s="195"/>
      <c r="H115" s="371" t="b">
        <v>1</v>
      </c>
      <c r="J115" s="194"/>
      <c r="K115" s="61"/>
      <c r="L115" s="61"/>
      <c r="M115" s="81"/>
      <c r="N115" s="81"/>
      <c r="O115" s="61"/>
      <c r="P115" s="269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69"/>
      <c r="AH115" s="270"/>
      <c r="AI115" s="109"/>
      <c r="AJ115" s="373"/>
      <c r="AK115" s="58"/>
      <c r="AL115" s="344"/>
      <c r="AM115" s="61"/>
      <c r="AN115" s="269"/>
      <c r="AP115" s="194"/>
      <c r="AQ115" s="61"/>
      <c r="AR115" s="61"/>
      <c r="AS115" s="81"/>
      <c r="AT115" s="81"/>
      <c r="AU115" s="61"/>
      <c r="AV115" s="269"/>
      <c r="AX115" s="270"/>
      <c r="AY115" s="109"/>
      <c r="AZ115" s="373"/>
      <c r="BA115" s="58"/>
      <c r="BB115" s="344"/>
      <c r="BC115" s="61"/>
      <c r="BD115" s="269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>
        <v>46150.0</v>
      </c>
      <c r="C116" s="326" t="s">
        <v>3622</v>
      </c>
      <c r="D116" s="326" t="s">
        <v>3623</v>
      </c>
      <c r="E116" s="370" t="s">
        <v>13</v>
      </c>
      <c r="F116" s="370" t="s">
        <v>12</v>
      </c>
      <c r="G116" s="195"/>
      <c r="H116" s="371" t="b">
        <v>1</v>
      </c>
      <c r="J116" s="194"/>
      <c r="K116" s="61"/>
      <c r="L116" s="61"/>
      <c r="M116" s="81"/>
      <c r="N116" s="81"/>
      <c r="O116" s="61"/>
      <c r="P116" s="269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69"/>
      <c r="AH116" s="270"/>
      <c r="AI116" s="109"/>
      <c r="AJ116" s="373"/>
      <c r="AK116" s="58"/>
      <c r="AL116" s="344"/>
      <c r="AM116" s="61"/>
      <c r="AN116" s="269"/>
      <c r="AP116" s="194"/>
      <c r="AQ116" s="61"/>
      <c r="AR116" s="61"/>
      <c r="AS116" s="81"/>
      <c r="AT116" s="81"/>
      <c r="AU116" s="61"/>
      <c r="AV116" s="269"/>
      <c r="AX116" s="270"/>
      <c r="AY116" s="109"/>
      <c r="AZ116" s="373"/>
      <c r="BA116" s="58"/>
      <c r="BB116" s="344"/>
      <c r="BC116" s="61"/>
      <c r="BD116" s="269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>
        <v>46150.0</v>
      </c>
      <c r="C117" s="326" t="s">
        <v>3624</v>
      </c>
      <c r="D117" s="326" t="s">
        <v>3625</v>
      </c>
      <c r="E117" s="370" t="s">
        <v>10</v>
      </c>
      <c r="F117" s="370" t="s">
        <v>12</v>
      </c>
      <c r="G117" s="195"/>
      <c r="H117" s="371" t="b">
        <v>1</v>
      </c>
      <c r="J117" s="194"/>
      <c r="K117" s="61"/>
      <c r="L117" s="61"/>
      <c r="M117" s="81"/>
      <c r="N117" s="81"/>
      <c r="O117" s="61"/>
      <c r="P117" s="269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69"/>
      <c r="AH117" s="270"/>
      <c r="AI117" s="109"/>
      <c r="AJ117" s="373"/>
      <c r="AK117" s="58"/>
      <c r="AL117" s="344"/>
      <c r="AM117" s="61"/>
      <c r="AN117" s="269"/>
      <c r="AP117" s="194"/>
      <c r="AQ117" s="61"/>
      <c r="AR117" s="61"/>
      <c r="AS117" s="81"/>
      <c r="AT117" s="81"/>
      <c r="AU117" s="61"/>
      <c r="AV117" s="269"/>
      <c r="AX117" s="270"/>
      <c r="AY117" s="109"/>
      <c r="AZ117" s="373"/>
      <c r="BA117" s="58"/>
      <c r="BB117" s="344"/>
      <c r="BC117" s="61"/>
      <c r="BD117" s="269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>
        <v>46150.0</v>
      </c>
      <c r="C118" s="326" t="s">
        <v>3626</v>
      </c>
      <c r="D118" s="326" t="s">
        <v>3627</v>
      </c>
      <c r="E118" s="370" t="s">
        <v>10</v>
      </c>
      <c r="F118" s="370" t="s">
        <v>12</v>
      </c>
      <c r="G118" s="195"/>
      <c r="H118" s="371" t="b">
        <v>1</v>
      </c>
      <c r="J118" s="194"/>
      <c r="K118" s="61"/>
      <c r="L118" s="61"/>
      <c r="M118" s="81"/>
      <c r="N118" s="81"/>
      <c r="O118" s="61"/>
      <c r="P118" s="269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69"/>
      <c r="AH118" s="270"/>
      <c r="AI118" s="109"/>
      <c r="AJ118" s="373"/>
      <c r="AK118" s="58"/>
      <c r="AL118" s="344"/>
      <c r="AM118" s="61"/>
      <c r="AN118" s="269"/>
      <c r="AP118" s="194"/>
      <c r="AQ118" s="61"/>
      <c r="AR118" s="61"/>
      <c r="AS118" s="81"/>
      <c r="AT118" s="81"/>
      <c r="AU118" s="61"/>
      <c r="AV118" s="269"/>
      <c r="AX118" s="270"/>
      <c r="AY118" s="109"/>
      <c r="AZ118" s="373"/>
      <c r="BA118" s="58"/>
      <c r="BB118" s="344"/>
      <c r="BC118" s="61"/>
      <c r="BD118" s="269"/>
      <c r="BF118" s="194"/>
      <c r="BG118" s="61"/>
      <c r="BH118" s="61"/>
      <c r="BI118" s="81"/>
      <c r="BJ118" s="81"/>
      <c r="BK118" s="61"/>
      <c r="BL118" s="269"/>
    </row>
    <row r="119" ht="22.5" customHeight="1">
      <c r="A119" s="368"/>
      <c r="B119" s="369">
        <v>46150.0</v>
      </c>
      <c r="C119" s="326" t="s">
        <v>3628</v>
      </c>
      <c r="D119" s="326" t="s">
        <v>3629</v>
      </c>
      <c r="E119" s="370" t="s">
        <v>10</v>
      </c>
      <c r="F119" s="370" t="s">
        <v>17</v>
      </c>
      <c r="G119" s="195"/>
      <c r="H119" s="371" t="b">
        <v>1</v>
      </c>
      <c r="J119" s="194"/>
      <c r="K119" s="61"/>
      <c r="L119" s="61"/>
      <c r="M119" s="81"/>
      <c r="N119" s="81"/>
      <c r="O119" s="61"/>
      <c r="P119" s="269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69"/>
      <c r="AH119" s="270"/>
      <c r="AI119" s="109"/>
      <c r="AJ119" s="373"/>
      <c r="AK119" s="58"/>
      <c r="AL119" s="344"/>
      <c r="AM119" s="61"/>
      <c r="AN119" s="269"/>
      <c r="AP119" s="194"/>
      <c r="AQ119" s="61"/>
      <c r="AR119" s="61"/>
      <c r="AS119" s="81"/>
      <c r="AT119" s="81"/>
      <c r="AU119" s="61"/>
      <c r="AV119" s="269"/>
      <c r="AX119" s="270"/>
      <c r="AY119" s="109"/>
      <c r="AZ119" s="373"/>
      <c r="BA119" s="58"/>
      <c r="BB119" s="344"/>
      <c r="BC119" s="61"/>
      <c r="BD119" s="269"/>
      <c r="BF119" s="194"/>
      <c r="BG119" s="61"/>
      <c r="BH119" s="61"/>
      <c r="BI119" s="81"/>
      <c r="BJ119" s="81"/>
      <c r="BK119" s="61"/>
      <c r="BL119" s="269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69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69"/>
      <c r="AH120" s="270"/>
      <c r="AI120" s="109"/>
      <c r="AJ120" s="373"/>
      <c r="AK120" s="58"/>
      <c r="AL120" s="344"/>
      <c r="AM120" s="61"/>
      <c r="AN120" s="269"/>
      <c r="AP120" s="194"/>
      <c r="AQ120" s="61"/>
      <c r="AR120" s="61"/>
      <c r="AS120" s="81"/>
      <c r="AT120" s="81"/>
      <c r="AU120" s="61"/>
      <c r="AV120" s="269"/>
      <c r="AX120" s="270"/>
      <c r="AY120" s="109"/>
      <c r="AZ120" s="373"/>
      <c r="BA120" s="58"/>
      <c r="BB120" s="344"/>
      <c r="BC120" s="109"/>
      <c r="BD120" s="298"/>
      <c r="BF120" s="194"/>
      <c r="BG120" s="61"/>
      <c r="BH120" s="61"/>
      <c r="BI120" s="81"/>
      <c r="BJ120" s="81"/>
      <c r="BK120" s="61"/>
      <c r="BL120" s="269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69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69"/>
      <c r="AH121" s="270"/>
      <c r="AI121" s="109"/>
      <c r="AJ121" s="373"/>
      <c r="AK121" s="58"/>
      <c r="AL121" s="344"/>
      <c r="AM121" s="61"/>
      <c r="AN121" s="269"/>
      <c r="AP121" s="194"/>
      <c r="AQ121" s="61"/>
      <c r="AR121" s="61"/>
      <c r="AS121" s="81"/>
      <c r="AT121" s="81"/>
      <c r="AU121" s="61"/>
      <c r="AV121" s="269"/>
      <c r="AX121" s="270"/>
      <c r="AY121" s="109"/>
      <c r="AZ121" s="373"/>
      <c r="BA121" s="58"/>
      <c r="BB121" s="344"/>
      <c r="BC121" s="61"/>
      <c r="BD121" s="269"/>
      <c r="BF121" s="194"/>
      <c r="BG121" s="61"/>
      <c r="BH121" s="61"/>
      <c r="BI121" s="81"/>
      <c r="BJ121" s="81"/>
      <c r="BK121" s="61"/>
      <c r="BL121" s="269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69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69"/>
      <c r="AH122" s="270"/>
      <c r="AI122" s="109"/>
      <c r="AJ122" s="373"/>
      <c r="AK122" s="58"/>
      <c r="AL122" s="344"/>
      <c r="AM122" s="61"/>
      <c r="AN122" s="269"/>
      <c r="AP122" s="194"/>
      <c r="AQ122" s="61"/>
      <c r="AR122" s="61"/>
      <c r="AS122" s="81"/>
      <c r="AT122" s="81"/>
      <c r="AU122" s="61"/>
      <c r="AV122" s="269"/>
      <c r="AX122" s="270"/>
      <c r="AY122" s="109"/>
      <c r="AZ122" s="373"/>
      <c r="BA122" s="58"/>
      <c r="BB122" s="344"/>
      <c r="BC122" s="61"/>
      <c r="BD122" s="269"/>
      <c r="BF122" s="194"/>
      <c r="BG122" s="61"/>
      <c r="BH122" s="61"/>
      <c r="BI122" s="81"/>
      <c r="BJ122" s="81"/>
      <c r="BK122" s="61"/>
      <c r="BL122" s="269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69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69"/>
      <c r="AH123" s="270"/>
      <c r="AI123" s="109"/>
      <c r="AJ123" s="373"/>
      <c r="AK123" s="58"/>
      <c r="AL123" s="344"/>
      <c r="AM123" s="61"/>
      <c r="AN123" s="269"/>
      <c r="AP123" s="194"/>
      <c r="AQ123" s="61"/>
      <c r="AR123" s="61"/>
      <c r="AS123" s="81"/>
      <c r="AT123" s="81"/>
      <c r="AU123" s="61"/>
      <c r="AV123" s="269"/>
      <c r="AX123" s="270"/>
      <c r="AY123" s="109"/>
      <c r="AZ123" s="373"/>
      <c r="BA123" s="58"/>
      <c r="BB123" s="344"/>
      <c r="BC123" s="61"/>
      <c r="BD123" s="269"/>
      <c r="BF123" s="194"/>
      <c r="BG123" s="61"/>
      <c r="BH123" s="61"/>
      <c r="BI123" s="81"/>
      <c r="BJ123" s="81"/>
      <c r="BK123" s="61"/>
      <c r="BL123" s="269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69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69"/>
      <c r="AH124" s="270"/>
      <c r="AI124" s="109"/>
      <c r="AJ124" s="373"/>
      <c r="AK124" s="58"/>
      <c r="AL124" s="344"/>
      <c r="AM124" s="61"/>
      <c r="AN124" s="269"/>
      <c r="AP124" s="194"/>
      <c r="AQ124" s="61"/>
      <c r="AR124" s="61"/>
      <c r="AS124" s="81"/>
      <c r="AT124" s="81"/>
      <c r="AU124" s="61"/>
      <c r="AV124" s="269"/>
      <c r="AX124" s="270"/>
      <c r="AY124" s="109"/>
      <c r="AZ124" s="373"/>
      <c r="BA124" s="58"/>
      <c r="BB124" s="344"/>
      <c r="BC124" s="61"/>
      <c r="BD124" s="269"/>
      <c r="BF124" s="194"/>
      <c r="BG124" s="61"/>
      <c r="BH124" s="61"/>
      <c r="BI124" s="81"/>
      <c r="BJ124" s="81"/>
      <c r="BK124" s="61"/>
      <c r="BL124" s="269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69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69"/>
      <c r="AH125" s="270"/>
      <c r="AI125" s="109"/>
      <c r="AJ125" s="373"/>
      <c r="AK125" s="58"/>
      <c r="AL125" s="344"/>
      <c r="AM125" s="61"/>
      <c r="AN125" s="269"/>
      <c r="AP125" s="194"/>
      <c r="AQ125" s="61"/>
      <c r="AR125" s="61"/>
      <c r="AS125" s="81"/>
      <c r="AT125" s="81"/>
      <c r="AU125" s="61"/>
      <c r="AV125" s="269"/>
      <c r="AX125" s="270"/>
      <c r="AY125" s="109"/>
      <c r="AZ125" s="373"/>
      <c r="BA125" s="58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69"/>
    </row>
    <row r="126" ht="22.5" customHeight="1">
      <c r="A126" s="368"/>
      <c r="B126" s="194"/>
      <c r="C126" s="61"/>
      <c r="D126" s="61"/>
      <c r="E126" s="81"/>
      <c r="F126" s="81"/>
      <c r="G126" s="61"/>
      <c r="H126" s="291"/>
      <c r="J126" s="194"/>
      <c r="K126" s="61"/>
      <c r="L126" s="61"/>
      <c r="M126" s="81"/>
      <c r="N126" s="81"/>
      <c r="O126" s="61"/>
      <c r="P126" s="269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69"/>
      <c r="AH126" s="270"/>
      <c r="AI126" s="109"/>
      <c r="AJ126" s="373"/>
      <c r="AK126" s="58"/>
      <c r="AL126" s="344"/>
      <c r="AM126" s="61"/>
      <c r="AN126" s="269"/>
      <c r="AP126" s="194"/>
      <c r="AQ126" s="61"/>
      <c r="AR126" s="61"/>
      <c r="AS126" s="81"/>
      <c r="AT126" s="81"/>
      <c r="AU126" s="61"/>
      <c r="AV126" s="269"/>
      <c r="AX126" s="270"/>
      <c r="AY126" s="109"/>
      <c r="AZ126" s="373"/>
      <c r="BA126" s="58"/>
      <c r="BB126" s="344"/>
      <c r="BC126" s="109"/>
      <c r="BD126" s="269"/>
      <c r="BF126" s="194"/>
      <c r="BG126" s="61"/>
      <c r="BH126" s="61"/>
      <c r="BI126" s="81"/>
      <c r="BJ126" s="81"/>
      <c r="BK126" s="61"/>
      <c r="BL126" s="269"/>
    </row>
    <row r="127" ht="22.5" customHeight="1">
      <c r="A127" s="368"/>
      <c r="B127" s="444"/>
      <c r="C127" s="195"/>
      <c r="D127" s="195"/>
      <c r="E127" s="199"/>
      <c r="F127" s="199"/>
      <c r="G127" s="195"/>
      <c r="H127" s="371"/>
      <c r="J127" s="194"/>
      <c r="K127" s="61"/>
      <c r="L127" s="61"/>
      <c r="M127" s="81"/>
      <c r="N127" s="81"/>
      <c r="O127" s="61"/>
      <c r="P127" s="269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69"/>
      <c r="AH127" s="270"/>
      <c r="AI127" s="109"/>
      <c r="AJ127" s="373"/>
      <c r="AK127" s="58"/>
      <c r="AL127" s="344"/>
      <c r="AM127" s="61"/>
      <c r="AN127" s="269"/>
      <c r="AP127" s="194"/>
      <c r="AQ127" s="61"/>
      <c r="AR127" s="61"/>
      <c r="AS127" s="81"/>
      <c r="AT127" s="81"/>
      <c r="AU127" s="61"/>
      <c r="AV127" s="269"/>
      <c r="AX127" s="270"/>
      <c r="AY127" s="109"/>
      <c r="AZ127" s="373"/>
      <c r="BA127" s="58"/>
      <c r="BB127" s="344"/>
      <c r="BC127" s="61"/>
      <c r="BD127" s="269"/>
      <c r="BF127" s="194"/>
      <c r="BG127" s="61"/>
      <c r="BH127" s="61"/>
      <c r="BI127" s="81"/>
      <c r="BJ127" s="81"/>
      <c r="BK127" s="61"/>
      <c r="BL127" s="269"/>
    </row>
    <row r="128" ht="22.5" customHeight="1">
      <c r="A128" s="368"/>
      <c r="B128" s="444"/>
      <c r="C128" s="195"/>
      <c r="D128" s="195"/>
      <c r="E128" s="199"/>
      <c r="F128" s="199"/>
      <c r="G128" s="195"/>
      <c r="H128" s="371"/>
      <c r="J128" s="194"/>
      <c r="K128" s="61"/>
      <c r="L128" s="61"/>
      <c r="M128" s="81"/>
      <c r="N128" s="81"/>
      <c r="O128" s="61"/>
      <c r="P128" s="269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69"/>
      <c r="AH128" s="372"/>
      <c r="AI128" s="373"/>
      <c r="AJ128" s="373"/>
      <c r="AK128" s="374"/>
      <c r="AL128" s="445"/>
      <c r="AM128" s="375"/>
      <c r="AN128" s="269"/>
      <c r="AP128" s="194"/>
      <c r="AQ128" s="61"/>
      <c r="AR128" s="61"/>
      <c r="AS128" s="81"/>
      <c r="AT128" s="81"/>
      <c r="AU128" s="61"/>
      <c r="AV128" s="269"/>
      <c r="AX128" s="270"/>
      <c r="AY128" s="109"/>
      <c r="AZ128" s="373"/>
      <c r="BA128" s="58"/>
      <c r="BB128" s="344"/>
      <c r="BC128" s="61"/>
      <c r="BD128" s="269"/>
      <c r="BF128" s="194"/>
      <c r="BG128" s="61"/>
      <c r="BH128" s="61"/>
      <c r="BI128" s="81"/>
      <c r="BJ128" s="81"/>
      <c r="BK128" s="61"/>
      <c r="BL128" s="269"/>
    </row>
    <row r="129" ht="22.5" customHeight="1">
      <c r="A129" s="368"/>
      <c r="B129" s="444"/>
      <c r="C129" s="195"/>
      <c r="D129" s="195"/>
      <c r="E129" s="199"/>
      <c r="F129" s="199"/>
      <c r="G129" s="195"/>
      <c r="H129" s="371"/>
      <c r="J129" s="194"/>
      <c r="K129" s="61"/>
      <c r="L129" s="61"/>
      <c r="M129" s="81"/>
      <c r="N129" s="81"/>
      <c r="O129" s="61"/>
      <c r="P129" s="269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69"/>
      <c r="AH129" s="194"/>
      <c r="AI129" s="61"/>
      <c r="AJ129" s="373"/>
      <c r="AK129" s="81"/>
      <c r="AL129" s="81"/>
      <c r="AM129" s="61"/>
      <c r="AN129" s="269"/>
      <c r="AP129" s="194"/>
      <c r="AQ129" s="61"/>
      <c r="AR129" s="61"/>
      <c r="AS129" s="81"/>
      <c r="AT129" s="81"/>
      <c r="AU129" s="61"/>
      <c r="AV129" s="269"/>
      <c r="AX129" s="270"/>
      <c r="AY129" s="109"/>
      <c r="AZ129" s="373"/>
      <c r="BA129" s="58"/>
      <c r="BB129" s="344"/>
      <c r="BC129" s="61"/>
      <c r="BD129" s="269"/>
      <c r="BF129" s="194"/>
      <c r="BG129" s="61"/>
      <c r="BH129" s="61"/>
      <c r="BI129" s="81"/>
      <c r="BJ129" s="81"/>
      <c r="BK129" s="61"/>
      <c r="BL129" s="269"/>
    </row>
    <row r="130" ht="22.5" customHeight="1">
      <c r="A130" s="368"/>
      <c r="B130" s="444"/>
      <c r="C130" s="195"/>
      <c r="D130" s="195"/>
      <c r="E130" s="199"/>
      <c r="F130" s="199"/>
      <c r="G130" s="195"/>
      <c r="H130" s="371"/>
      <c r="J130" s="194"/>
      <c r="K130" s="61"/>
      <c r="L130" s="61"/>
      <c r="M130" s="81"/>
      <c r="N130" s="81"/>
      <c r="O130" s="61"/>
      <c r="P130" s="269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69"/>
      <c r="AH130" s="194"/>
      <c r="AI130" s="61"/>
      <c r="AJ130" s="373"/>
      <c r="AK130" s="81"/>
      <c r="AL130" s="81"/>
      <c r="AM130" s="61"/>
      <c r="AN130" s="269"/>
      <c r="AP130" s="194"/>
      <c r="AQ130" s="61"/>
      <c r="AR130" s="61"/>
      <c r="AS130" s="81"/>
      <c r="AT130" s="81"/>
      <c r="AU130" s="61"/>
      <c r="AV130" s="269"/>
      <c r="AX130" s="270"/>
      <c r="AY130" s="109"/>
      <c r="AZ130" s="373"/>
      <c r="BA130" s="58"/>
      <c r="BB130" s="344"/>
      <c r="BC130" s="109"/>
      <c r="BD130" s="269"/>
      <c r="BF130" s="194"/>
      <c r="BG130" s="61"/>
      <c r="BH130" s="61"/>
      <c r="BI130" s="81"/>
      <c r="BJ130" s="81"/>
      <c r="BK130" s="61"/>
      <c r="BL130" s="269"/>
    </row>
    <row r="131" ht="22.5" customHeight="1">
      <c r="A131" s="368"/>
      <c r="B131" s="444"/>
      <c r="C131" s="195"/>
      <c r="D131" s="195"/>
      <c r="E131" s="199"/>
      <c r="F131" s="199"/>
      <c r="G131" s="195"/>
      <c r="H131" s="371"/>
      <c r="J131" s="194"/>
      <c r="K131" s="61"/>
      <c r="L131" s="61"/>
      <c r="M131" s="81"/>
      <c r="N131" s="81"/>
      <c r="O131" s="61"/>
      <c r="P131" s="269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69"/>
      <c r="AH131" s="194"/>
      <c r="AI131" s="61"/>
      <c r="AJ131" s="373"/>
      <c r="AK131" s="81"/>
      <c r="AL131" s="81"/>
      <c r="AM131" s="61"/>
      <c r="AN131" s="269"/>
      <c r="AP131" s="194"/>
      <c r="AQ131" s="61"/>
      <c r="AR131" s="61"/>
      <c r="AS131" s="81"/>
      <c r="AT131" s="81"/>
      <c r="AU131" s="61"/>
      <c r="AV131" s="269"/>
      <c r="AX131" s="270"/>
      <c r="AY131" s="109"/>
      <c r="AZ131" s="373"/>
      <c r="BA131" s="58"/>
      <c r="BB131" s="344"/>
      <c r="BC131" s="61"/>
      <c r="BD131" s="269"/>
      <c r="BF131" s="194"/>
      <c r="BG131" s="61"/>
      <c r="BH131" s="61"/>
      <c r="BI131" s="81"/>
      <c r="BJ131" s="81"/>
      <c r="BK131" s="61"/>
      <c r="BL131" s="269"/>
    </row>
    <row r="132" ht="22.5" customHeight="1">
      <c r="A132" s="368"/>
      <c r="B132" s="444"/>
      <c r="C132" s="195"/>
      <c r="D132" s="195"/>
      <c r="E132" s="199"/>
      <c r="F132" s="199"/>
      <c r="G132" s="195"/>
      <c r="H132" s="371"/>
      <c r="J132" s="194"/>
      <c r="K132" s="61"/>
      <c r="L132" s="61"/>
      <c r="M132" s="81"/>
      <c r="N132" s="81"/>
      <c r="O132" s="61"/>
      <c r="P132" s="269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69"/>
      <c r="AH132" s="194"/>
      <c r="AI132" s="61"/>
      <c r="AJ132" s="373"/>
      <c r="AK132" s="81"/>
      <c r="AL132" s="81"/>
      <c r="AM132" s="61"/>
      <c r="AN132" s="269"/>
      <c r="AP132" s="194"/>
      <c r="AQ132" s="61"/>
      <c r="AR132" s="61"/>
      <c r="AS132" s="81"/>
      <c r="AT132" s="81"/>
      <c r="AU132" s="61"/>
      <c r="AV132" s="269"/>
      <c r="AX132" s="270"/>
      <c r="AY132" s="109"/>
      <c r="AZ132" s="373"/>
      <c r="BA132" s="58"/>
      <c r="BB132" s="344"/>
      <c r="BC132" s="61"/>
      <c r="BD132" s="269"/>
      <c r="BF132" s="194"/>
      <c r="BG132" s="61"/>
      <c r="BH132" s="61"/>
      <c r="BI132" s="81"/>
      <c r="BJ132" s="81"/>
      <c r="BK132" s="61"/>
      <c r="BL132" s="269"/>
    </row>
    <row r="133" ht="22.5" customHeight="1">
      <c r="A133" s="368"/>
      <c r="B133" s="444"/>
      <c r="C133" s="195"/>
      <c r="D133" s="195"/>
      <c r="E133" s="199"/>
      <c r="F133" s="199"/>
      <c r="G133" s="195"/>
      <c r="H133" s="371"/>
      <c r="J133" s="194"/>
      <c r="K133" s="61"/>
      <c r="L133" s="61"/>
      <c r="M133" s="81"/>
      <c r="N133" s="81"/>
      <c r="O133" s="61"/>
      <c r="P133" s="269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69"/>
      <c r="AH133" s="194"/>
      <c r="AI133" s="61"/>
      <c r="AJ133" s="373"/>
      <c r="AK133" s="81"/>
      <c r="AL133" s="81"/>
      <c r="AM133" s="61"/>
      <c r="AN133" s="269"/>
      <c r="AP133" s="194"/>
      <c r="AQ133" s="61"/>
      <c r="AR133" s="61"/>
      <c r="AS133" s="81"/>
      <c r="AT133" s="81"/>
      <c r="AU133" s="61"/>
      <c r="AV133" s="269"/>
      <c r="AX133" s="270"/>
      <c r="AY133" s="109"/>
      <c r="AZ133" s="446"/>
      <c r="BA133" s="58"/>
      <c r="BB133" s="344"/>
      <c r="BC133" s="109"/>
      <c r="BD133" s="269"/>
      <c r="BF133" s="194"/>
      <c r="BG133" s="61"/>
      <c r="BH133" s="61"/>
      <c r="BI133" s="81"/>
      <c r="BJ133" s="81"/>
      <c r="BK133" s="61"/>
      <c r="BL133" s="269"/>
    </row>
    <row r="134" ht="22.5" customHeight="1">
      <c r="A134" s="368"/>
      <c r="B134" s="444"/>
      <c r="C134" s="195"/>
      <c r="D134" s="195"/>
      <c r="E134" s="199"/>
      <c r="F134" s="199"/>
      <c r="G134" s="195"/>
      <c r="H134" s="371"/>
      <c r="J134" s="194"/>
      <c r="K134" s="61"/>
      <c r="L134" s="61"/>
      <c r="M134" s="81"/>
      <c r="N134" s="81"/>
      <c r="O134" s="61"/>
      <c r="P134" s="269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69"/>
      <c r="AH134" s="194"/>
      <c r="AI134" s="61"/>
      <c r="AJ134" s="373"/>
      <c r="AK134" s="81"/>
      <c r="AL134" s="81"/>
      <c r="AM134" s="61"/>
      <c r="AN134" s="269"/>
      <c r="AP134" s="194"/>
      <c r="AQ134" s="61"/>
      <c r="AR134" s="61"/>
      <c r="AS134" s="81"/>
      <c r="AT134" s="81"/>
      <c r="AU134" s="61"/>
      <c r="AV134" s="269"/>
      <c r="AX134" s="270"/>
      <c r="AY134" s="109"/>
      <c r="AZ134" s="373"/>
      <c r="BA134" s="58"/>
      <c r="BB134" s="344"/>
      <c r="BC134" s="61"/>
      <c r="BD134" s="269"/>
      <c r="BF134" s="194"/>
      <c r="BG134" s="61"/>
      <c r="BH134" s="61"/>
      <c r="BI134" s="81"/>
      <c r="BJ134" s="81"/>
      <c r="BK134" s="61"/>
      <c r="BL134" s="269"/>
    </row>
    <row r="135" ht="22.5" customHeight="1">
      <c r="A135" s="368"/>
      <c r="B135" s="444"/>
      <c r="C135" s="195"/>
      <c r="D135" s="195"/>
      <c r="E135" s="199"/>
      <c r="F135" s="199"/>
      <c r="G135" s="195"/>
      <c r="H135" s="371"/>
      <c r="J135" s="194"/>
      <c r="K135" s="61"/>
      <c r="L135" s="61"/>
      <c r="M135" s="81"/>
      <c r="N135" s="81"/>
      <c r="O135" s="61"/>
      <c r="P135" s="269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69"/>
      <c r="AH135" s="194"/>
      <c r="AI135" s="61"/>
      <c r="AJ135" s="373"/>
      <c r="AK135" s="81"/>
      <c r="AL135" s="81"/>
      <c r="AM135" s="61"/>
      <c r="AN135" s="269"/>
      <c r="AP135" s="194"/>
      <c r="AQ135" s="61"/>
      <c r="AR135" s="61"/>
      <c r="AS135" s="81"/>
      <c r="AT135" s="81"/>
      <c r="AU135" s="61"/>
      <c r="AV135" s="269"/>
      <c r="AX135" s="270"/>
      <c r="AY135" s="109"/>
      <c r="AZ135" s="373"/>
      <c r="BA135" s="58"/>
      <c r="BB135" s="344"/>
      <c r="BC135" s="61"/>
      <c r="BD135" s="269"/>
      <c r="BF135" s="194"/>
      <c r="BG135" s="61"/>
      <c r="BH135" s="61"/>
      <c r="BI135" s="81"/>
      <c r="BJ135" s="81"/>
      <c r="BK135" s="61"/>
      <c r="BL135" s="269"/>
    </row>
    <row r="136" ht="22.5" customHeight="1">
      <c r="A136" s="368"/>
      <c r="B136" s="444"/>
      <c r="C136" s="195"/>
      <c r="D136" s="195"/>
      <c r="E136" s="199"/>
      <c r="F136" s="199"/>
      <c r="G136" s="195"/>
      <c r="H136" s="371"/>
      <c r="J136" s="194"/>
      <c r="K136" s="61"/>
      <c r="L136" s="61"/>
      <c r="M136" s="81"/>
      <c r="N136" s="81"/>
      <c r="O136" s="61"/>
      <c r="P136" s="269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69"/>
      <c r="AH136" s="194"/>
      <c r="AI136" s="61"/>
      <c r="AJ136" s="373"/>
      <c r="AK136" s="81"/>
      <c r="AL136" s="81"/>
      <c r="AM136" s="61"/>
      <c r="AN136" s="269"/>
      <c r="AP136" s="194"/>
      <c r="AQ136" s="61"/>
      <c r="AR136" s="61"/>
      <c r="AS136" s="81"/>
      <c r="AT136" s="81"/>
      <c r="AU136" s="61"/>
      <c r="AV136" s="269"/>
      <c r="AX136" s="270"/>
      <c r="AY136" s="109"/>
      <c r="AZ136" s="373"/>
      <c r="BA136" s="58"/>
      <c r="BB136" s="344"/>
      <c r="BC136" s="61"/>
      <c r="BD136" s="269"/>
      <c r="BF136" s="194"/>
      <c r="BG136" s="61"/>
      <c r="BH136" s="61"/>
      <c r="BI136" s="81"/>
      <c r="BJ136" s="81"/>
      <c r="BK136" s="61"/>
      <c r="BL136" s="269"/>
    </row>
    <row r="137" ht="22.5" customHeight="1">
      <c r="A137" s="368"/>
      <c r="B137" s="444"/>
      <c r="C137" s="195"/>
      <c r="D137" s="195"/>
      <c r="E137" s="199"/>
      <c r="F137" s="199"/>
      <c r="G137" s="195"/>
      <c r="H137" s="371"/>
      <c r="J137" s="194"/>
      <c r="K137" s="61"/>
      <c r="L137" s="61"/>
      <c r="M137" s="81"/>
      <c r="N137" s="81"/>
      <c r="O137" s="61"/>
      <c r="P137" s="269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69"/>
      <c r="AH137" s="194"/>
      <c r="AI137" s="61"/>
      <c r="AJ137" s="373"/>
      <c r="AK137" s="81"/>
      <c r="AL137" s="81"/>
      <c r="AM137" s="61"/>
      <c r="AN137" s="269"/>
      <c r="AP137" s="194"/>
      <c r="AQ137" s="61"/>
      <c r="AR137" s="61"/>
      <c r="AS137" s="81"/>
      <c r="AT137" s="81"/>
      <c r="AU137" s="61"/>
      <c r="AV137" s="269"/>
      <c r="AX137" s="270"/>
      <c r="AY137" s="109"/>
      <c r="AZ137" s="373"/>
      <c r="BA137" s="58"/>
      <c r="BB137" s="344"/>
      <c r="BC137" s="61"/>
      <c r="BD137" s="269"/>
      <c r="BF137" s="194"/>
      <c r="BG137" s="61"/>
      <c r="BH137" s="61"/>
      <c r="BI137" s="81"/>
      <c r="BJ137" s="81"/>
      <c r="BK137" s="61"/>
      <c r="BL137" s="269"/>
    </row>
    <row r="138" ht="22.5" customHeight="1">
      <c r="A138" s="368"/>
      <c r="B138" s="444"/>
      <c r="C138" s="195"/>
      <c r="D138" s="195"/>
      <c r="E138" s="199"/>
      <c r="F138" s="199"/>
      <c r="G138" s="195"/>
      <c r="H138" s="371"/>
      <c r="J138" s="194"/>
      <c r="K138" s="61"/>
      <c r="L138" s="61"/>
      <c r="M138" s="81"/>
      <c r="N138" s="81"/>
      <c r="O138" s="61"/>
      <c r="P138" s="269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69"/>
      <c r="AH138" s="194"/>
      <c r="AI138" s="61"/>
      <c r="AJ138" s="373"/>
      <c r="AK138" s="81"/>
      <c r="AL138" s="81"/>
      <c r="AM138" s="61"/>
      <c r="AN138" s="269"/>
      <c r="AP138" s="194"/>
      <c r="AQ138" s="61"/>
      <c r="AR138" s="61"/>
      <c r="AS138" s="81"/>
      <c r="AT138" s="81"/>
      <c r="AU138" s="61"/>
      <c r="AV138" s="269"/>
      <c r="AX138" s="270"/>
      <c r="AY138" s="109"/>
      <c r="AZ138" s="373"/>
      <c r="BA138" s="58"/>
      <c r="BB138" s="344"/>
      <c r="BC138" s="61"/>
      <c r="BD138" s="269"/>
      <c r="BF138" s="194"/>
      <c r="BG138" s="61"/>
      <c r="BH138" s="61"/>
      <c r="BI138" s="81"/>
      <c r="BJ138" s="81"/>
      <c r="BK138" s="61"/>
      <c r="BL138" s="269"/>
    </row>
    <row r="139" ht="22.5" customHeight="1">
      <c r="A139" s="368"/>
      <c r="B139" s="444"/>
      <c r="C139" s="195"/>
      <c r="D139" s="195"/>
      <c r="E139" s="199"/>
      <c r="F139" s="199"/>
      <c r="G139" s="195"/>
      <c r="H139" s="371"/>
      <c r="J139" s="194"/>
      <c r="K139" s="61"/>
      <c r="L139" s="61"/>
      <c r="M139" s="81"/>
      <c r="N139" s="81"/>
      <c r="O139" s="61"/>
      <c r="P139" s="269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69"/>
      <c r="AH139" s="194"/>
      <c r="AI139" s="61"/>
      <c r="AJ139" s="373"/>
      <c r="AK139" s="81"/>
      <c r="AL139" s="81"/>
      <c r="AM139" s="61"/>
      <c r="AN139" s="269"/>
      <c r="AP139" s="194"/>
      <c r="AQ139" s="61"/>
      <c r="AR139" s="61"/>
      <c r="AS139" s="81"/>
      <c r="AT139" s="81"/>
      <c r="AU139" s="61"/>
      <c r="AV139" s="269"/>
      <c r="AX139" s="270"/>
      <c r="AY139" s="109"/>
      <c r="AZ139" s="373"/>
      <c r="BA139" s="58"/>
      <c r="BB139" s="344"/>
      <c r="BC139" s="109"/>
      <c r="BD139" s="269"/>
      <c r="BF139" s="194"/>
      <c r="BG139" s="61"/>
      <c r="BH139" s="61"/>
      <c r="BI139" s="81"/>
      <c r="BJ139" s="81"/>
      <c r="BK139" s="61"/>
      <c r="BL139" s="269"/>
    </row>
    <row r="140" ht="22.5" customHeight="1">
      <c r="A140" s="368"/>
      <c r="B140" s="444"/>
      <c r="C140" s="195"/>
      <c r="D140" s="195"/>
      <c r="E140" s="199"/>
      <c r="F140" s="199"/>
      <c r="G140" s="195"/>
      <c r="H140" s="371"/>
      <c r="J140" s="194"/>
      <c r="K140" s="61"/>
      <c r="L140" s="61"/>
      <c r="M140" s="81"/>
      <c r="N140" s="81"/>
      <c r="O140" s="61"/>
      <c r="P140" s="269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69"/>
      <c r="AH140" s="194"/>
      <c r="AI140" s="61"/>
      <c r="AJ140" s="373"/>
      <c r="AK140" s="81"/>
      <c r="AL140" s="81"/>
      <c r="AM140" s="61"/>
      <c r="AN140" s="269"/>
      <c r="AP140" s="194"/>
      <c r="AQ140" s="61"/>
      <c r="AR140" s="61"/>
      <c r="AS140" s="81"/>
      <c r="AT140" s="81"/>
      <c r="AU140" s="61"/>
      <c r="AV140" s="269"/>
      <c r="AX140" s="270"/>
      <c r="AY140" s="109"/>
      <c r="AZ140" s="373"/>
      <c r="BA140" s="58"/>
      <c r="BB140" s="344"/>
      <c r="BC140" s="61"/>
      <c r="BD140" s="269"/>
      <c r="BF140" s="194"/>
      <c r="BG140" s="61"/>
      <c r="BH140" s="61"/>
      <c r="BI140" s="81"/>
      <c r="BJ140" s="81"/>
      <c r="BK140" s="61"/>
      <c r="BL140" s="269"/>
    </row>
    <row r="141" ht="22.5" customHeight="1">
      <c r="A141" s="368"/>
      <c r="B141" s="444"/>
      <c r="C141" s="195"/>
      <c r="D141" s="195"/>
      <c r="E141" s="199"/>
      <c r="F141" s="199"/>
      <c r="G141" s="195"/>
      <c r="H141" s="371"/>
      <c r="J141" s="194"/>
      <c r="K141" s="61"/>
      <c r="L141" s="61"/>
      <c r="M141" s="81"/>
      <c r="N141" s="81"/>
      <c r="O141" s="61"/>
      <c r="P141" s="269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69"/>
      <c r="AH141" s="194"/>
      <c r="AI141" s="61"/>
      <c r="AJ141" s="373"/>
      <c r="AK141" s="81"/>
      <c r="AL141" s="81"/>
      <c r="AM141" s="61"/>
      <c r="AN141" s="269"/>
      <c r="AP141" s="194"/>
      <c r="AQ141" s="61"/>
      <c r="AR141" s="61"/>
      <c r="AS141" s="81"/>
      <c r="AT141" s="81"/>
      <c r="AU141" s="61"/>
      <c r="AV141" s="269"/>
      <c r="AX141" s="270"/>
      <c r="AY141" s="109"/>
      <c r="AZ141" s="373"/>
      <c r="BA141" s="58"/>
      <c r="BB141" s="344"/>
      <c r="BC141" s="61"/>
      <c r="BD141" s="269"/>
      <c r="BF141" s="194"/>
      <c r="BG141" s="61"/>
      <c r="BH141" s="61"/>
      <c r="BI141" s="81"/>
      <c r="BJ141" s="81"/>
      <c r="BK141" s="61"/>
      <c r="BL141" s="269"/>
    </row>
    <row r="142" ht="22.5" customHeight="1">
      <c r="A142" s="368"/>
      <c r="B142" s="444"/>
      <c r="C142" s="195"/>
      <c r="D142" s="195"/>
      <c r="E142" s="199"/>
      <c r="F142" s="199"/>
      <c r="G142" s="195"/>
      <c r="H142" s="371"/>
      <c r="J142" s="194"/>
      <c r="K142" s="61"/>
      <c r="L142" s="61"/>
      <c r="M142" s="81"/>
      <c r="N142" s="81"/>
      <c r="O142" s="61"/>
      <c r="P142" s="269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69"/>
      <c r="AH142" s="194"/>
      <c r="AI142" s="61"/>
      <c r="AJ142" s="373"/>
      <c r="AK142" s="81"/>
      <c r="AL142" s="81"/>
      <c r="AM142" s="61"/>
      <c r="AN142" s="269"/>
      <c r="AP142" s="194"/>
      <c r="AQ142" s="61"/>
      <c r="AR142" s="61"/>
      <c r="AS142" s="81"/>
      <c r="AT142" s="81"/>
      <c r="AU142" s="61"/>
      <c r="AV142" s="269"/>
      <c r="AX142" s="270"/>
      <c r="AY142" s="109"/>
      <c r="AZ142" s="373"/>
      <c r="BA142" s="58"/>
      <c r="BB142" s="344"/>
      <c r="BC142" s="61"/>
      <c r="BD142" s="269"/>
      <c r="BF142" s="194"/>
      <c r="BG142" s="61"/>
      <c r="BH142" s="61"/>
      <c r="BI142" s="81"/>
      <c r="BJ142" s="81"/>
      <c r="BK142" s="61"/>
      <c r="BL142" s="269"/>
    </row>
    <row r="143" ht="22.5" customHeight="1">
      <c r="A143" s="368"/>
      <c r="B143" s="444"/>
      <c r="C143" s="195"/>
      <c r="D143" s="195"/>
      <c r="E143" s="199"/>
      <c r="F143" s="199"/>
      <c r="G143" s="195"/>
      <c r="H143" s="371"/>
      <c r="J143" s="194"/>
      <c r="K143" s="61"/>
      <c r="L143" s="61"/>
      <c r="M143" s="81"/>
      <c r="N143" s="81"/>
      <c r="O143" s="61"/>
      <c r="P143" s="269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69"/>
      <c r="AH143" s="194"/>
      <c r="AI143" s="61"/>
      <c r="AJ143" s="373"/>
      <c r="AK143" s="81"/>
      <c r="AL143" s="81"/>
      <c r="AM143" s="61"/>
      <c r="AN143" s="269"/>
      <c r="AP143" s="194"/>
      <c r="AQ143" s="61"/>
      <c r="AR143" s="61"/>
      <c r="AS143" s="81"/>
      <c r="AT143" s="81"/>
      <c r="AU143" s="61"/>
      <c r="AV143" s="269"/>
      <c r="AX143" s="270"/>
      <c r="AY143" s="109"/>
      <c r="AZ143" s="373"/>
      <c r="BA143" s="58"/>
      <c r="BB143" s="344"/>
      <c r="BC143" s="61"/>
      <c r="BD143" s="269"/>
      <c r="BF143" s="194"/>
      <c r="BG143" s="61"/>
      <c r="BH143" s="61"/>
      <c r="BI143" s="81"/>
      <c r="BJ143" s="81"/>
      <c r="BK143" s="61"/>
      <c r="BL143" s="269"/>
    </row>
    <row r="144" ht="22.5" customHeight="1">
      <c r="A144" s="368"/>
      <c r="B144" s="444"/>
      <c r="C144" s="195"/>
      <c r="D144" s="195"/>
      <c r="E144" s="199"/>
      <c r="F144" s="199"/>
      <c r="G144" s="195"/>
      <c r="H144" s="371"/>
      <c r="J144" s="194"/>
      <c r="K144" s="61"/>
      <c r="L144" s="61"/>
      <c r="M144" s="81"/>
      <c r="N144" s="81"/>
      <c r="O144" s="61"/>
      <c r="P144" s="269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69"/>
      <c r="AH144" s="194"/>
      <c r="AI144" s="61"/>
      <c r="AJ144" s="373"/>
      <c r="AK144" s="81"/>
      <c r="AL144" s="81"/>
      <c r="AM144" s="61"/>
      <c r="AN144" s="269"/>
      <c r="AP144" s="194"/>
      <c r="AQ144" s="61"/>
      <c r="AR144" s="61"/>
      <c r="AS144" s="81"/>
      <c r="AT144" s="81"/>
      <c r="AU144" s="61"/>
      <c r="AV144" s="269"/>
      <c r="AX144" s="270"/>
      <c r="AY144" s="109"/>
      <c r="AZ144" s="373"/>
      <c r="BA144" s="58"/>
      <c r="BB144" s="344"/>
      <c r="BC144" s="61"/>
      <c r="BD144" s="269"/>
      <c r="BF144" s="194"/>
      <c r="BG144" s="61"/>
      <c r="BH144" s="61"/>
      <c r="BI144" s="81"/>
      <c r="BJ144" s="81"/>
      <c r="BK144" s="61"/>
      <c r="BL144" s="269"/>
    </row>
    <row r="145" ht="22.5" customHeight="1">
      <c r="A145" s="368"/>
      <c r="B145" s="444"/>
      <c r="C145" s="195"/>
      <c r="D145" s="195"/>
      <c r="E145" s="199"/>
      <c r="F145" s="199"/>
      <c r="G145" s="195"/>
      <c r="H145" s="371"/>
      <c r="J145" s="194"/>
      <c r="K145" s="61"/>
      <c r="L145" s="61"/>
      <c r="M145" s="81"/>
      <c r="N145" s="81"/>
      <c r="O145" s="61"/>
      <c r="P145" s="269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69"/>
      <c r="AH145" s="194"/>
      <c r="AI145" s="61"/>
      <c r="AJ145" s="373"/>
      <c r="AK145" s="81"/>
      <c r="AL145" s="81"/>
      <c r="AM145" s="61"/>
      <c r="AN145" s="269"/>
      <c r="AP145" s="194"/>
      <c r="AQ145" s="61"/>
      <c r="AR145" s="61"/>
      <c r="AS145" s="81"/>
      <c r="AT145" s="81"/>
      <c r="AU145" s="61"/>
      <c r="AV145" s="269"/>
      <c r="AX145" s="270"/>
      <c r="AY145" s="109"/>
      <c r="AZ145" s="373"/>
      <c r="BA145" s="58"/>
      <c r="BB145" s="344"/>
      <c r="BC145" s="61"/>
      <c r="BD145" s="269"/>
      <c r="BF145" s="194"/>
      <c r="BG145" s="61"/>
      <c r="BH145" s="61"/>
      <c r="BI145" s="81"/>
      <c r="BJ145" s="81"/>
      <c r="BK145" s="61"/>
      <c r="BL145" s="269"/>
    </row>
    <row r="146" ht="22.5" customHeight="1">
      <c r="A146" s="368"/>
      <c r="B146" s="444"/>
      <c r="C146" s="195"/>
      <c r="D146" s="195"/>
      <c r="E146" s="199"/>
      <c r="F146" s="199"/>
      <c r="G146" s="195"/>
      <c r="H146" s="371"/>
      <c r="J146" s="194"/>
      <c r="K146" s="61"/>
      <c r="L146" s="61"/>
      <c r="M146" s="81"/>
      <c r="N146" s="81"/>
      <c r="O146" s="61"/>
      <c r="P146" s="269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69"/>
      <c r="AH146" s="194"/>
      <c r="AI146" s="61"/>
      <c r="AJ146" s="373"/>
      <c r="AK146" s="81"/>
      <c r="AL146" s="81"/>
      <c r="AM146" s="61"/>
      <c r="AN146" s="269"/>
      <c r="AP146" s="194"/>
      <c r="AQ146" s="61"/>
      <c r="AR146" s="61"/>
      <c r="AS146" s="81"/>
      <c r="AT146" s="81"/>
      <c r="AU146" s="61"/>
      <c r="AV146" s="269"/>
      <c r="AX146" s="270"/>
      <c r="AY146" s="109"/>
      <c r="AZ146" s="373"/>
      <c r="BA146" s="58"/>
      <c r="BB146" s="344"/>
      <c r="BC146" s="61"/>
      <c r="BD146" s="269"/>
      <c r="BF146" s="194"/>
      <c r="BG146" s="61"/>
      <c r="BH146" s="61"/>
      <c r="BI146" s="81"/>
      <c r="BJ146" s="81"/>
      <c r="BK146" s="61"/>
      <c r="BL146" s="269"/>
    </row>
    <row r="147" ht="22.5" customHeight="1">
      <c r="A147" s="368"/>
      <c r="B147" s="444"/>
      <c r="C147" s="195"/>
      <c r="D147" s="195"/>
      <c r="E147" s="199"/>
      <c r="F147" s="199"/>
      <c r="G147" s="195"/>
      <c r="H147" s="371"/>
      <c r="J147" s="194"/>
      <c r="K147" s="61"/>
      <c r="L147" s="61"/>
      <c r="M147" s="81"/>
      <c r="N147" s="81"/>
      <c r="O147" s="61"/>
      <c r="P147" s="269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69"/>
      <c r="AH147" s="194"/>
      <c r="AI147" s="61"/>
      <c r="AJ147" s="373"/>
      <c r="AK147" s="81"/>
      <c r="AL147" s="81"/>
      <c r="AM147" s="61"/>
      <c r="AN147" s="269"/>
      <c r="AP147" s="194"/>
      <c r="AQ147" s="61"/>
      <c r="AR147" s="61"/>
      <c r="AS147" s="81"/>
      <c r="AT147" s="81"/>
      <c r="AU147" s="61"/>
      <c r="AV147" s="269"/>
      <c r="AX147" s="270"/>
      <c r="AY147" s="109"/>
      <c r="AZ147" s="373"/>
      <c r="BA147" s="58"/>
      <c r="BB147" s="344"/>
      <c r="BC147" s="61"/>
      <c r="BD147" s="269"/>
      <c r="BF147" s="194"/>
      <c r="BG147" s="61"/>
      <c r="BH147" s="61"/>
      <c r="BI147" s="81"/>
      <c r="BJ147" s="81"/>
      <c r="BK147" s="61"/>
      <c r="BL147" s="269"/>
    </row>
    <row r="148" ht="22.5" customHeight="1">
      <c r="A148" s="368"/>
      <c r="B148" s="444"/>
      <c r="C148" s="195"/>
      <c r="D148" s="195"/>
      <c r="E148" s="199"/>
      <c r="F148" s="199"/>
      <c r="G148" s="195"/>
      <c r="H148" s="371"/>
      <c r="J148" s="194"/>
      <c r="K148" s="61"/>
      <c r="L148" s="61"/>
      <c r="M148" s="81"/>
      <c r="N148" s="81"/>
      <c r="O148" s="61"/>
      <c r="P148" s="269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69"/>
      <c r="AH148" s="194"/>
      <c r="AI148" s="61"/>
      <c r="AJ148" s="373"/>
      <c r="AK148" s="81"/>
      <c r="AL148" s="81"/>
      <c r="AM148" s="61"/>
      <c r="AN148" s="269"/>
      <c r="AP148" s="194"/>
      <c r="AQ148" s="61"/>
      <c r="AR148" s="61"/>
      <c r="AS148" s="81"/>
      <c r="AT148" s="81"/>
      <c r="AU148" s="61"/>
      <c r="AV148" s="269"/>
      <c r="AX148" s="270"/>
      <c r="AY148" s="109"/>
      <c r="AZ148" s="373"/>
      <c r="BA148" s="58"/>
      <c r="BB148" s="344"/>
      <c r="BC148" s="61"/>
      <c r="BD148" s="269"/>
      <c r="BF148" s="194"/>
      <c r="BG148" s="61"/>
      <c r="BH148" s="61"/>
      <c r="BI148" s="81"/>
      <c r="BJ148" s="81"/>
      <c r="BK148" s="61"/>
      <c r="BL148" s="269"/>
    </row>
    <row r="149" ht="22.5" customHeight="1">
      <c r="A149" s="368"/>
      <c r="B149" s="444"/>
      <c r="C149" s="195"/>
      <c r="D149" s="195"/>
      <c r="E149" s="199"/>
      <c r="F149" s="199"/>
      <c r="G149" s="195"/>
      <c r="H149" s="371"/>
      <c r="J149" s="194"/>
      <c r="K149" s="61"/>
      <c r="L149" s="61"/>
      <c r="M149" s="81"/>
      <c r="N149" s="81"/>
      <c r="O149" s="61"/>
      <c r="P149" s="269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69"/>
      <c r="AH149" s="194"/>
      <c r="AI149" s="61"/>
      <c r="AJ149" s="373"/>
      <c r="AK149" s="81"/>
      <c r="AL149" s="81"/>
      <c r="AM149" s="61"/>
      <c r="AN149" s="269"/>
      <c r="AP149" s="194"/>
      <c r="AQ149" s="61"/>
      <c r="AR149" s="61"/>
      <c r="AS149" s="81"/>
      <c r="AT149" s="81"/>
      <c r="AU149" s="61"/>
      <c r="AV149" s="269"/>
      <c r="AX149" s="270"/>
      <c r="AY149" s="109"/>
      <c r="AZ149" s="373"/>
      <c r="BA149" s="58"/>
      <c r="BB149" s="344"/>
      <c r="BC149" s="61"/>
      <c r="BD149" s="269"/>
      <c r="BF149" s="194"/>
      <c r="BG149" s="61"/>
      <c r="BH149" s="61"/>
      <c r="BI149" s="81"/>
      <c r="BJ149" s="81"/>
      <c r="BK149" s="61"/>
      <c r="BL149" s="269"/>
    </row>
    <row r="150" ht="22.5" customHeight="1">
      <c r="A150" s="368"/>
      <c r="B150" s="444"/>
      <c r="C150" s="195"/>
      <c r="D150" s="195"/>
      <c r="E150" s="199"/>
      <c r="F150" s="199"/>
      <c r="G150" s="195"/>
      <c r="H150" s="371"/>
      <c r="J150" s="194"/>
      <c r="K150" s="61"/>
      <c r="L150" s="61"/>
      <c r="M150" s="81"/>
      <c r="N150" s="81"/>
      <c r="O150" s="61"/>
      <c r="P150" s="269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69"/>
      <c r="AH150" s="194"/>
      <c r="AI150" s="61"/>
      <c r="AJ150" s="373"/>
      <c r="AK150" s="81"/>
      <c r="AL150" s="81"/>
      <c r="AM150" s="61"/>
      <c r="AN150" s="269"/>
      <c r="AP150" s="194"/>
      <c r="AQ150" s="61"/>
      <c r="AR150" s="61"/>
      <c r="AS150" s="81"/>
      <c r="AT150" s="81"/>
      <c r="AU150" s="61"/>
      <c r="AV150" s="269"/>
      <c r="AX150" s="270"/>
      <c r="AY150" s="109"/>
      <c r="AZ150" s="373"/>
      <c r="BA150" s="58"/>
      <c r="BB150" s="344"/>
      <c r="BC150" s="109"/>
      <c r="BD150" s="269"/>
      <c r="BF150" s="194"/>
      <c r="BG150" s="61"/>
      <c r="BH150" s="61"/>
      <c r="BI150" s="81"/>
      <c r="BJ150" s="81"/>
      <c r="BK150" s="61"/>
      <c r="BL150" s="269"/>
    </row>
    <row r="151" ht="22.5" customHeight="1">
      <c r="A151" s="368"/>
      <c r="B151" s="444"/>
      <c r="C151" s="195"/>
      <c r="D151" s="195"/>
      <c r="E151" s="199"/>
      <c r="F151" s="199"/>
      <c r="G151" s="195"/>
      <c r="H151" s="371"/>
      <c r="J151" s="194"/>
      <c r="K151" s="61"/>
      <c r="L151" s="61"/>
      <c r="M151" s="81"/>
      <c r="N151" s="81"/>
      <c r="O151" s="61"/>
      <c r="P151" s="269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69"/>
      <c r="AH151" s="194"/>
      <c r="AI151" s="61"/>
      <c r="AJ151" s="373"/>
      <c r="AK151" s="81"/>
      <c r="AL151" s="81"/>
      <c r="AM151" s="61"/>
      <c r="AN151" s="269"/>
      <c r="AP151" s="194"/>
      <c r="AQ151" s="61"/>
      <c r="AR151" s="61"/>
      <c r="AS151" s="81"/>
      <c r="AT151" s="81"/>
      <c r="AU151" s="61"/>
      <c r="AV151" s="269"/>
      <c r="AX151" s="270"/>
      <c r="AY151" s="109"/>
      <c r="AZ151" s="373"/>
      <c r="BA151" s="58"/>
      <c r="BB151" s="344"/>
      <c r="BC151" s="61"/>
      <c r="BD151" s="269"/>
      <c r="BF151" s="194"/>
      <c r="BG151" s="61"/>
      <c r="BH151" s="61"/>
      <c r="BI151" s="81"/>
      <c r="BJ151" s="81"/>
      <c r="BK151" s="61"/>
      <c r="BL151" s="269"/>
    </row>
    <row r="152" ht="22.5" customHeight="1">
      <c r="A152" s="368"/>
      <c r="B152" s="444"/>
      <c r="C152" s="195"/>
      <c r="D152" s="195"/>
      <c r="E152" s="199"/>
      <c r="F152" s="199"/>
      <c r="G152" s="195"/>
      <c r="H152" s="371"/>
      <c r="J152" s="194"/>
      <c r="K152" s="61"/>
      <c r="L152" s="61"/>
      <c r="M152" s="81"/>
      <c r="N152" s="81"/>
      <c r="O152" s="61"/>
      <c r="P152" s="269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69"/>
      <c r="AH152" s="194"/>
      <c r="AI152" s="61"/>
      <c r="AJ152" s="373"/>
      <c r="AK152" s="81"/>
      <c r="AL152" s="81"/>
      <c r="AM152" s="61"/>
      <c r="AN152" s="269"/>
      <c r="AP152" s="194"/>
      <c r="AQ152" s="61"/>
      <c r="AR152" s="61"/>
      <c r="AS152" s="81"/>
      <c r="AT152" s="81"/>
      <c r="AU152" s="61"/>
      <c r="AV152" s="269"/>
      <c r="AX152" s="270"/>
      <c r="AY152" s="109"/>
      <c r="AZ152" s="373"/>
      <c r="BA152" s="58"/>
      <c r="BB152" s="344"/>
      <c r="BC152" s="61"/>
      <c r="BD152" s="269"/>
      <c r="BF152" s="194"/>
      <c r="BG152" s="61"/>
      <c r="BH152" s="61"/>
      <c r="BI152" s="81"/>
      <c r="BJ152" s="81"/>
      <c r="BK152" s="61"/>
      <c r="BL152" s="269"/>
    </row>
    <row r="153" ht="22.5" customHeight="1">
      <c r="A153" s="368"/>
      <c r="B153" s="444"/>
      <c r="C153" s="195"/>
      <c r="D153" s="195"/>
      <c r="E153" s="199"/>
      <c r="F153" s="199"/>
      <c r="G153" s="195"/>
      <c r="H153" s="371"/>
      <c r="J153" s="194"/>
      <c r="K153" s="61"/>
      <c r="L153" s="61"/>
      <c r="M153" s="81"/>
      <c r="N153" s="81"/>
      <c r="O153" s="61"/>
      <c r="P153" s="269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69"/>
      <c r="AH153" s="194"/>
      <c r="AI153" s="61"/>
      <c r="AJ153" s="373"/>
      <c r="AK153" s="81"/>
      <c r="AL153" s="81"/>
      <c r="AM153" s="61"/>
      <c r="AN153" s="269"/>
      <c r="AP153" s="194"/>
      <c r="AQ153" s="61"/>
      <c r="AR153" s="61"/>
      <c r="AS153" s="81"/>
      <c r="AT153" s="81"/>
      <c r="AU153" s="61"/>
      <c r="AV153" s="269"/>
      <c r="AX153" s="270"/>
      <c r="AY153" s="109"/>
      <c r="AZ153" s="373"/>
      <c r="BA153" s="58"/>
      <c r="BB153" s="344"/>
      <c r="BC153" s="61"/>
      <c r="BD153" s="269"/>
      <c r="BF153" s="194"/>
      <c r="BG153" s="61"/>
      <c r="BH153" s="61"/>
      <c r="BI153" s="81"/>
      <c r="BJ153" s="81"/>
      <c r="BK153" s="61"/>
      <c r="BL153" s="269"/>
    </row>
    <row r="154" ht="22.5" customHeight="1">
      <c r="A154" s="368"/>
      <c r="B154" s="444"/>
      <c r="C154" s="195"/>
      <c r="D154" s="195"/>
      <c r="E154" s="199"/>
      <c r="F154" s="199"/>
      <c r="G154" s="195"/>
      <c r="H154" s="371"/>
      <c r="J154" s="194"/>
      <c r="K154" s="61"/>
      <c r="L154" s="61"/>
      <c r="M154" s="81"/>
      <c r="N154" s="81"/>
      <c r="O154" s="61"/>
      <c r="P154" s="269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69"/>
      <c r="AH154" s="194"/>
      <c r="AI154" s="61"/>
      <c r="AJ154" s="373"/>
      <c r="AK154" s="81"/>
      <c r="AL154" s="81"/>
      <c r="AM154" s="61"/>
      <c r="AN154" s="269"/>
      <c r="AP154" s="194"/>
      <c r="AQ154" s="61"/>
      <c r="AR154" s="61"/>
      <c r="AS154" s="81"/>
      <c r="AT154" s="81"/>
      <c r="AU154" s="61"/>
      <c r="AV154" s="269"/>
      <c r="AX154" s="270"/>
      <c r="AY154" s="109"/>
      <c r="AZ154" s="373"/>
      <c r="BA154" s="58"/>
      <c r="BB154" s="344"/>
      <c r="BC154" s="61"/>
      <c r="BD154" s="269"/>
      <c r="BF154" s="194"/>
      <c r="BG154" s="61"/>
      <c r="BH154" s="61"/>
      <c r="BI154" s="81"/>
      <c r="BJ154" s="81"/>
      <c r="BK154" s="61"/>
      <c r="BL154" s="269"/>
    </row>
    <row r="155" ht="22.5" customHeight="1">
      <c r="A155" s="368"/>
      <c r="B155" s="444"/>
      <c r="C155" s="195"/>
      <c r="D155" s="195"/>
      <c r="E155" s="199"/>
      <c r="F155" s="199"/>
      <c r="G155" s="195"/>
      <c r="H155" s="371"/>
      <c r="J155" s="194"/>
      <c r="K155" s="61"/>
      <c r="L155" s="61"/>
      <c r="M155" s="81"/>
      <c r="N155" s="81"/>
      <c r="O155" s="61"/>
      <c r="P155" s="269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69"/>
      <c r="AH155" s="194"/>
      <c r="AI155" s="61"/>
      <c r="AJ155" s="373"/>
      <c r="AK155" s="81"/>
      <c r="AL155" s="81"/>
      <c r="AM155" s="61"/>
      <c r="AN155" s="269"/>
      <c r="AP155" s="194"/>
      <c r="AQ155" s="61"/>
      <c r="AR155" s="61"/>
      <c r="AS155" s="81"/>
      <c r="AT155" s="81"/>
      <c r="AU155" s="61"/>
      <c r="AV155" s="269"/>
      <c r="AX155" s="270"/>
      <c r="AY155" s="109"/>
      <c r="AZ155" s="373"/>
      <c r="BA155" s="58"/>
      <c r="BB155" s="344"/>
      <c r="BC155" s="61"/>
      <c r="BD155" s="269"/>
      <c r="BF155" s="194"/>
      <c r="BG155" s="61"/>
      <c r="BH155" s="61"/>
      <c r="BI155" s="81"/>
      <c r="BJ155" s="81"/>
      <c r="BK155" s="61"/>
      <c r="BL155" s="269"/>
    </row>
    <row r="156" ht="22.5" customHeight="1">
      <c r="A156" s="368"/>
      <c r="B156" s="444"/>
      <c r="C156" s="195"/>
      <c r="D156" s="195"/>
      <c r="E156" s="199"/>
      <c r="F156" s="199"/>
      <c r="G156" s="195"/>
      <c r="H156" s="371"/>
      <c r="J156" s="194"/>
      <c r="K156" s="61"/>
      <c r="L156" s="61"/>
      <c r="M156" s="81"/>
      <c r="N156" s="81"/>
      <c r="O156" s="61"/>
      <c r="P156" s="269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69"/>
      <c r="AH156" s="194"/>
      <c r="AI156" s="61"/>
      <c r="AJ156" s="373"/>
      <c r="AK156" s="81"/>
      <c r="AL156" s="81"/>
      <c r="AM156" s="61"/>
      <c r="AN156" s="269"/>
      <c r="AP156" s="194"/>
      <c r="AQ156" s="61"/>
      <c r="AR156" s="61"/>
      <c r="AS156" s="81"/>
      <c r="AT156" s="81"/>
      <c r="AU156" s="61"/>
      <c r="AV156" s="269"/>
      <c r="AX156" s="270"/>
      <c r="AY156" s="109"/>
      <c r="AZ156" s="373"/>
      <c r="BA156" s="58"/>
      <c r="BB156" s="344"/>
      <c r="BC156" s="61"/>
      <c r="BD156" s="269"/>
      <c r="BF156" s="194"/>
      <c r="BG156" s="61"/>
      <c r="BH156" s="61"/>
      <c r="BI156" s="81"/>
      <c r="BJ156" s="81"/>
      <c r="BK156" s="61"/>
      <c r="BL156" s="269"/>
    </row>
    <row r="157" ht="22.5" customHeight="1">
      <c r="A157" s="368"/>
      <c r="B157" s="444"/>
      <c r="C157" s="195"/>
      <c r="D157" s="195"/>
      <c r="E157" s="199"/>
      <c r="F157" s="199"/>
      <c r="G157" s="195"/>
      <c r="H157" s="371"/>
      <c r="J157" s="194"/>
      <c r="K157" s="61"/>
      <c r="L157" s="61"/>
      <c r="M157" s="81"/>
      <c r="N157" s="81"/>
      <c r="O157" s="61"/>
      <c r="P157" s="269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69"/>
      <c r="AH157" s="194"/>
      <c r="AI157" s="61"/>
      <c r="AJ157" s="373"/>
      <c r="AK157" s="81"/>
      <c r="AL157" s="81"/>
      <c r="AM157" s="61"/>
      <c r="AN157" s="269"/>
      <c r="AP157" s="194"/>
      <c r="AQ157" s="61"/>
      <c r="AR157" s="61"/>
      <c r="AS157" s="81"/>
      <c r="AT157" s="81"/>
      <c r="AU157" s="61"/>
      <c r="AV157" s="269"/>
      <c r="AX157" s="270"/>
      <c r="AY157" s="109"/>
      <c r="AZ157" s="373"/>
      <c r="BA157" s="58"/>
      <c r="BB157" s="344"/>
      <c r="BC157" s="61"/>
      <c r="BD157" s="269"/>
      <c r="BF157" s="194"/>
      <c r="BG157" s="61"/>
      <c r="BH157" s="61"/>
      <c r="BI157" s="81"/>
      <c r="BJ157" s="81"/>
      <c r="BK157" s="61"/>
      <c r="BL157" s="269"/>
    </row>
    <row r="158" ht="22.5" customHeight="1">
      <c r="A158" s="368"/>
      <c r="B158" s="444"/>
      <c r="C158" s="195"/>
      <c r="D158" s="195"/>
      <c r="E158" s="199"/>
      <c r="F158" s="199"/>
      <c r="G158" s="195"/>
      <c r="H158" s="371"/>
      <c r="J158" s="194"/>
      <c r="K158" s="61"/>
      <c r="L158" s="61"/>
      <c r="M158" s="81"/>
      <c r="N158" s="81"/>
      <c r="O158" s="61"/>
      <c r="P158" s="269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69"/>
      <c r="AH158" s="194"/>
      <c r="AI158" s="61"/>
      <c r="AJ158" s="373"/>
      <c r="AK158" s="81"/>
      <c r="AL158" s="81"/>
      <c r="AM158" s="61"/>
      <c r="AN158" s="269"/>
      <c r="AP158" s="194"/>
      <c r="AQ158" s="61"/>
      <c r="AR158" s="61"/>
      <c r="AS158" s="81"/>
      <c r="AT158" s="81"/>
      <c r="AU158" s="61"/>
      <c r="AV158" s="269"/>
      <c r="AX158" s="270"/>
      <c r="AY158" s="109"/>
      <c r="AZ158" s="373"/>
      <c r="BA158" s="58"/>
      <c r="BB158" s="344"/>
      <c r="BC158" s="61"/>
      <c r="BD158" s="269"/>
      <c r="BF158" s="194"/>
      <c r="BG158" s="61"/>
      <c r="BH158" s="61"/>
      <c r="BI158" s="81"/>
      <c r="BJ158" s="81"/>
      <c r="BK158" s="61"/>
      <c r="BL158" s="269"/>
    </row>
    <row r="159" ht="22.5" customHeight="1">
      <c r="A159" s="368"/>
      <c r="B159" s="444"/>
      <c r="C159" s="195"/>
      <c r="D159" s="195"/>
      <c r="E159" s="199"/>
      <c r="F159" s="199"/>
      <c r="G159" s="195"/>
      <c r="H159" s="371"/>
      <c r="J159" s="194"/>
      <c r="K159" s="61"/>
      <c r="L159" s="61"/>
      <c r="M159" s="81"/>
      <c r="N159" s="81"/>
      <c r="O159" s="61"/>
      <c r="P159" s="269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69"/>
      <c r="AH159" s="194"/>
      <c r="AI159" s="61"/>
      <c r="AJ159" s="373"/>
      <c r="AK159" s="81"/>
      <c r="AL159" s="81"/>
      <c r="AM159" s="61"/>
      <c r="AN159" s="269"/>
      <c r="AP159" s="194"/>
      <c r="AQ159" s="61"/>
      <c r="AR159" s="61"/>
      <c r="AS159" s="81"/>
      <c r="AT159" s="81"/>
      <c r="AU159" s="61"/>
      <c r="AV159" s="269"/>
      <c r="AX159" s="270"/>
      <c r="AY159" s="109"/>
      <c r="AZ159" s="373"/>
      <c r="BA159" s="58"/>
      <c r="BB159" s="344"/>
      <c r="BC159" s="61"/>
      <c r="BD159" s="269"/>
      <c r="BF159" s="194"/>
      <c r="BG159" s="61"/>
      <c r="BH159" s="61"/>
      <c r="BI159" s="81"/>
      <c r="BJ159" s="81"/>
      <c r="BK159" s="61"/>
      <c r="BL159" s="269"/>
    </row>
    <row r="160" ht="22.5" customHeight="1">
      <c r="A160" s="368"/>
      <c r="B160" s="444"/>
      <c r="C160" s="195"/>
      <c r="D160" s="195"/>
      <c r="E160" s="199"/>
      <c r="F160" s="199"/>
      <c r="G160" s="195"/>
      <c r="H160" s="371"/>
      <c r="J160" s="194"/>
      <c r="K160" s="61"/>
      <c r="L160" s="61"/>
      <c r="M160" s="81"/>
      <c r="N160" s="81"/>
      <c r="O160" s="61"/>
      <c r="P160" s="269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69"/>
      <c r="AH160" s="194"/>
      <c r="AI160" s="61"/>
      <c r="AJ160" s="373"/>
      <c r="AK160" s="81"/>
      <c r="AL160" s="81"/>
      <c r="AM160" s="61"/>
      <c r="AN160" s="269"/>
      <c r="AP160" s="194"/>
      <c r="AQ160" s="61"/>
      <c r="AR160" s="61"/>
      <c r="AS160" s="81"/>
      <c r="AT160" s="81"/>
      <c r="AU160" s="61"/>
      <c r="AV160" s="269"/>
      <c r="AX160" s="270"/>
      <c r="AY160" s="109"/>
      <c r="AZ160" s="373"/>
      <c r="BA160" s="58"/>
      <c r="BB160" s="344"/>
      <c r="BC160" s="61"/>
      <c r="BD160" s="269"/>
      <c r="BF160" s="194"/>
      <c r="BG160" s="61"/>
      <c r="BH160" s="61"/>
      <c r="BI160" s="81"/>
      <c r="BJ160" s="81"/>
      <c r="BK160" s="61"/>
      <c r="BL160" s="269"/>
    </row>
    <row r="161" ht="22.5" customHeight="1">
      <c r="A161" s="368"/>
      <c r="B161" s="444"/>
      <c r="C161" s="195"/>
      <c r="D161" s="195"/>
      <c r="E161" s="199"/>
      <c r="F161" s="199"/>
      <c r="G161" s="195"/>
      <c r="H161" s="371"/>
      <c r="J161" s="194"/>
      <c r="K161" s="61"/>
      <c r="L161" s="61"/>
      <c r="M161" s="81"/>
      <c r="N161" s="81"/>
      <c r="O161" s="61"/>
      <c r="P161" s="269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69"/>
      <c r="AH161" s="194"/>
      <c r="AI161" s="61"/>
      <c r="AJ161" s="373"/>
      <c r="AK161" s="81"/>
      <c r="AL161" s="81"/>
      <c r="AM161" s="61"/>
      <c r="AN161" s="269"/>
      <c r="AP161" s="194"/>
      <c r="AQ161" s="61"/>
      <c r="AR161" s="61"/>
      <c r="AS161" s="81"/>
      <c r="AT161" s="81"/>
      <c r="AU161" s="61"/>
      <c r="AV161" s="269"/>
      <c r="AX161" s="270"/>
      <c r="AY161" s="109"/>
      <c r="AZ161" s="373"/>
      <c r="BA161" s="58"/>
      <c r="BB161" s="344"/>
      <c r="BC161" s="61"/>
      <c r="BD161" s="269"/>
      <c r="BF161" s="194"/>
      <c r="BG161" s="61"/>
      <c r="BH161" s="61"/>
      <c r="BI161" s="81"/>
      <c r="BJ161" s="81"/>
      <c r="BK161" s="61"/>
      <c r="BL161" s="269"/>
    </row>
    <row r="162" ht="22.5" customHeight="1">
      <c r="A162" s="368"/>
      <c r="B162" s="444"/>
      <c r="C162" s="195"/>
      <c r="D162" s="195"/>
      <c r="E162" s="199"/>
      <c r="F162" s="199"/>
      <c r="G162" s="195"/>
      <c r="H162" s="371"/>
      <c r="J162" s="194"/>
      <c r="K162" s="61"/>
      <c r="L162" s="61"/>
      <c r="M162" s="81"/>
      <c r="N162" s="81"/>
      <c r="O162" s="61"/>
      <c r="P162" s="269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69"/>
      <c r="AH162" s="194"/>
      <c r="AI162" s="61"/>
      <c r="AJ162" s="373"/>
      <c r="AK162" s="81"/>
      <c r="AL162" s="81"/>
      <c r="AM162" s="61"/>
      <c r="AN162" s="269"/>
      <c r="AP162" s="194"/>
      <c r="AQ162" s="61"/>
      <c r="AR162" s="61"/>
      <c r="AS162" s="81"/>
      <c r="AT162" s="81"/>
      <c r="AU162" s="61"/>
      <c r="AV162" s="269"/>
      <c r="AX162" s="270"/>
      <c r="AY162" s="109"/>
      <c r="AZ162" s="373"/>
      <c r="BA162" s="58"/>
      <c r="BB162" s="344"/>
      <c r="BC162" s="61"/>
      <c r="BD162" s="269"/>
      <c r="BF162" s="194"/>
      <c r="BG162" s="61"/>
      <c r="BH162" s="61"/>
      <c r="BI162" s="81"/>
      <c r="BJ162" s="81"/>
      <c r="BK162" s="61"/>
      <c r="BL162" s="269"/>
    </row>
    <row r="163" ht="22.5" customHeight="1">
      <c r="A163" s="368"/>
      <c r="B163" s="444"/>
      <c r="C163" s="195"/>
      <c r="D163" s="195"/>
      <c r="E163" s="199"/>
      <c r="F163" s="199"/>
      <c r="G163" s="195"/>
      <c r="H163" s="371"/>
      <c r="J163" s="194"/>
      <c r="K163" s="61"/>
      <c r="L163" s="61"/>
      <c r="M163" s="81"/>
      <c r="N163" s="81"/>
      <c r="O163" s="61"/>
      <c r="P163" s="269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69"/>
      <c r="AH163" s="194"/>
      <c r="AI163" s="61"/>
      <c r="AJ163" s="373"/>
      <c r="AK163" s="81"/>
      <c r="AL163" s="81"/>
      <c r="AM163" s="61"/>
      <c r="AN163" s="269"/>
      <c r="AP163" s="194"/>
      <c r="AQ163" s="61"/>
      <c r="AR163" s="61"/>
      <c r="AS163" s="81"/>
      <c r="AT163" s="81"/>
      <c r="AU163" s="61"/>
      <c r="AV163" s="269"/>
      <c r="AX163" s="270"/>
      <c r="AY163" s="109"/>
      <c r="AZ163" s="373"/>
      <c r="BA163" s="58"/>
      <c r="BB163" s="344"/>
      <c r="BC163" s="61"/>
      <c r="BD163" s="269"/>
      <c r="BF163" s="194"/>
      <c r="BG163" s="61"/>
      <c r="BH163" s="61"/>
      <c r="BI163" s="81"/>
      <c r="BJ163" s="81"/>
      <c r="BK163" s="61"/>
      <c r="BL163" s="269"/>
    </row>
    <row r="164" ht="22.5" customHeight="1">
      <c r="A164" s="368"/>
      <c r="B164" s="444"/>
      <c r="C164" s="195"/>
      <c r="D164" s="195"/>
      <c r="E164" s="199"/>
      <c r="F164" s="199"/>
      <c r="G164" s="195"/>
      <c r="H164" s="371"/>
      <c r="J164" s="194"/>
      <c r="K164" s="61"/>
      <c r="L164" s="61"/>
      <c r="M164" s="81"/>
      <c r="N164" s="81"/>
      <c r="O164" s="61"/>
      <c r="P164" s="269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69"/>
      <c r="AH164" s="194"/>
      <c r="AI164" s="61"/>
      <c r="AJ164" s="373"/>
      <c r="AK164" s="81"/>
      <c r="AL164" s="81"/>
      <c r="AM164" s="61"/>
      <c r="AN164" s="269"/>
      <c r="AP164" s="194"/>
      <c r="AQ164" s="61"/>
      <c r="AR164" s="61"/>
      <c r="AS164" s="81"/>
      <c r="AT164" s="81"/>
      <c r="AU164" s="61"/>
      <c r="AV164" s="269"/>
      <c r="AX164" s="270"/>
      <c r="AY164" s="109"/>
      <c r="AZ164" s="373"/>
      <c r="BA164" s="58"/>
      <c r="BB164" s="344"/>
      <c r="BC164" s="61"/>
      <c r="BD164" s="269"/>
      <c r="BF164" s="194"/>
      <c r="BG164" s="61"/>
      <c r="BH164" s="61"/>
      <c r="BI164" s="81"/>
      <c r="BJ164" s="81"/>
      <c r="BK164" s="61"/>
      <c r="BL164" s="269"/>
    </row>
    <row r="165" ht="22.5" customHeight="1">
      <c r="A165" s="368"/>
      <c r="B165" s="444"/>
      <c r="C165" s="195"/>
      <c r="D165" s="195"/>
      <c r="E165" s="199"/>
      <c r="F165" s="199"/>
      <c r="G165" s="195"/>
      <c r="H165" s="371"/>
      <c r="J165" s="194"/>
      <c r="K165" s="61"/>
      <c r="L165" s="61"/>
      <c r="M165" s="81"/>
      <c r="N165" s="81"/>
      <c r="O165" s="61"/>
      <c r="P165" s="269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69"/>
      <c r="AH165" s="194"/>
      <c r="AI165" s="61"/>
      <c r="AJ165" s="373"/>
      <c r="AK165" s="81"/>
      <c r="AL165" s="81"/>
      <c r="AM165" s="61"/>
      <c r="AN165" s="269"/>
      <c r="AP165" s="194"/>
      <c r="AQ165" s="61"/>
      <c r="AR165" s="61"/>
      <c r="AS165" s="81"/>
      <c r="AT165" s="81"/>
      <c r="AU165" s="61"/>
      <c r="AV165" s="269"/>
      <c r="AX165" s="270"/>
      <c r="AY165" s="109"/>
      <c r="AZ165" s="373"/>
      <c r="BA165" s="58"/>
      <c r="BB165" s="344"/>
      <c r="BC165" s="61"/>
      <c r="BD165" s="269"/>
      <c r="BF165" s="194"/>
      <c r="BG165" s="61"/>
      <c r="BH165" s="61"/>
      <c r="BI165" s="81"/>
      <c r="BJ165" s="81"/>
      <c r="BK165" s="61"/>
      <c r="BL165" s="269"/>
    </row>
    <row r="166" ht="22.5" customHeight="1">
      <c r="A166" s="368"/>
      <c r="B166" s="444"/>
      <c r="C166" s="195"/>
      <c r="D166" s="195"/>
      <c r="E166" s="199"/>
      <c r="F166" s="199"/>
      <c r="G166" s="195"/>
      <c r="H166" s="371"/>
      <c r="J166" s="194"/>
      <c r="K166" s="61"/>
      <c r="L166" s="61"/>
      <c r="M166" s="81"/>
      <c r="N166" s="81"/>
      <c r="O166" s="61"/>
      <c r="P166" s="269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69"/>
      <c r="AH166" s="194"/>
      <c r="AI166" s="61"/>
      <c r="AJ166" s="373"/>
      <c r="AK166" s="81"/>
      <c r="AL166" s="81"/>
      <c r="AM166" s="61"/>
      <c r="AN166" s="269"/>
      <c r="AP166" s="194"/>
      <c r="AQ166" s="61"/>
      <c r="AR166" s="61"/>
      <c r="AS166" s="81"/>
      <c r="AT166" s="81"/>
      <c r="AU166" s="61"/>
      <c r="AV166" s="269"/>
      <c r="AX166" s="270"/>
      <c r="AY166" s="109"/>
      <c r="AZ166" s="373"/>
      <c r="BA166" s="58"/>
      <c r="BB166" s="344"/>
      <c r="BC166" s="61"/>
      <c r="BD166" s="269"/>
      <c r="BF166" s="194"/>
      <c r="BG166" s="61"/>
      <c r="BH166" s="61"/>
      <c r="BI166" s="81"/>
      <c r="BJ166" s="81"/>
      <c r="BK166" s="61"/>
      <c r="BL166" s="269"/>
    </row>
    <row r="167" ht="22.5" customHeight="1">
      <c r="A167" s="368"/>
      <c r="B167" s="444"/>
      <c r="C167" s="195"/>
      <c r="D167" s="195"/>
      <c r="E167" s="199"/>
      <c r="F167" s="199"/>
      <c r="G167" s="195"/>
      <c r="H167" s="371"/>
      <c r="J167" s="194"/>
      <c r="K167" s="61"/>
      <c r="L167" s="61"/>
      <c r="M167" s="81"/>
      <c r="N167" s="81"/>
      <c r="O167" s="61"/>
      <c r="P167" s="269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69"/>
      <c r="AH167" s="194"/>
      <c r="AI167" s="61"/>
      <c r="AJ167" s="373"/>
      <c r="AK167" s="81"/>
      <c r="AL167" s="81"/>
      <c r="AM167" s="61"/>
      <c r="AN167" s="269"/>
      <c r="AP167" s="194"/>
      <c r="AQ167" s="61"/>
      <c r="AR167" s="61"/>
      <c r="AS167" s="81"/>
      <c r="AT167" s="81"/>
      <c r="AU167" s="61"/>
      <c r="AV167" s="269"/>
      <c r="AX167" s="270"/>
      <c r="AY167" s="109"/>
      <c r="AZ167" s="373"/>
      <c r="BA167" s="58"/>
      <c r="BB167" s="344"/>
      <c r="BC167" s="61"/>
      <c r="BD167" s="269"/>
      <c r="BF167" s="194"/>
      <c r="BG167" s="61"/>
      <c r="BH167" s="61"/>
      <c r="BI167" s="81"/>
      <c r="BJ167" s="81"/>
      <c r="BK167" s="61"/>
      <c r="BL167" s="269"/>
    </row>
    <row r="168" ht="22.5" customHeight="1">
      <c r="A168" s="368"/>
      <c r="B168" s="444"/>
      <c r="C168" s="195"/>
      <c r="D168" s="195"/>
      <c r="E168" s="199"/>
      <c r="F168" s="199"/>
      <c r="G168" s="195"/>
      <c r="H168" s="371"/>
      <c r="J168" s="194"/>
      <c r="K168" s="61"/>
      <c r="L168" s="61"/>
      <c r="M168" s="81"/>
      <c r="N168" s="81"/>
      <c r="O168" s="61"/>
      <c r="P168" s="269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69"/>
      <c r="AH168" s="194"/>
      <c r="AI168" s="61"/>
      <c r="AJ168" s="373"/>
      <c r="AK168" s="81"/>
      <c r="AL168" s="81"/>
      <c r="AM168" s="61"/>
      <c r="AN168" s="269"/>
      <c r="AP168" s="194"/>
      <c r="AQ168" s="61"/>
      <c r="AR168" s="61"/>
      <c r="AS168" s="81"/>
      <c r="AT168" s="81"/>
      <c r="AU168" s="61"/>
      <c r="AV168" s="269"/>
      <c r="AX168" s="270"/>
      <c r="AY168" s="109"/>
      <c r="AZ168" s="373"/>
      <c r="BA168" s="58"/>
      <c r="BB168" s="344"/>
      <c r="BC168" s="61"/>
      <c r="BD168" s="269"/>
      <c r="BF168" s="194"/>
      <c r="BG168" s="61"/>
      <c r="BH168" s="61"/>
      <c r="BI168" s="81"/>
      <c r="BJ168" s="81"/>
      <c r="BK168" s="61"/>
      <c r="BL168" s="269"/>
    </row>
    <row r="169" ht="22.5" customHeight="1">
      <c r="A169" s="368"/>
      <c r="B169" s="444"/>
      <c r="C169" s="195"/>
      <c r="D169" s="195"/>
      <c r="E169" s="199"/>
      <c r="F169" s="199"/>
      <c r="G169" s="195"/>
      <c r="H169" s="371"/>
      <c r="J169" s="194"/>
      <c r="K169" s="61"/>
      <c r="L169" s="61"/>
      <c r="M169" s="81"/>
      <c r="N169" s="81"/>
      <c r="O169" s="61"/>
      <c r="P169" s="269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69"/>
      <c r="AH169" s="194"/>
      <c r="AI169" s="61"/>
      <c r="AJ169" s="373"/>
      <c r="AK169" s="81"/>
      <c r="AL169" s="81"/>
      <c r="AM169" s="61"/>
      <c r="AN169" s="269"/>
      <c r="AP169" s="194"/>
      <c r="AQ169" s="61"/>
      <c r="AR169" s="61"/>
      <c r="AS169" s="81"/>
      <c r="AT169" s="81"/>
      <c r="AU169" s="61"/>
      <c r="AV169" s="269"/>
      <c r="AX169" s="270"/>
      <c r="AY169" s="109"/>
      <c r="AZ169" s="373"/>
      <c r="BA169" s="58"/>
      <c r="BB169" s="344"/>
      <c r="BC169" s="61"/>
      <c r="BD169" s="269"/>
      <c r="BF169" s="194"/>
      <c r="BG169" s="61"/>
      <c r="BH169" s="61"/>
      <c r="BI169" s="81"/>
      <c r="BJ169" s="81"/>
      <c r="BK169" s="61"/>
      <c r="BL169" s="269"/>
    </row>
    <row r="170" ht="22.5" customHeight="1">
      <c r="A170" s="368"/>
      <c r="B170" s="444"/>
      <c r="C170" s="195"/>
      <c r="D170" s="195"/>
      <c r="E170" s="199"/>
      <c r="F170" s="199"/>
      <c r="G170" s="195"/>
      <c r="H170" s="371"/>
      <c r="J170" s="194"/>
      <c r="K170" s="61"/>
      <c r="L170" s="61"/>
      <c r="M170" s="81"/>
      <c r="N170" s="81"/>
      <c r="O170" s="61"/>
      <c r="P170" s="269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69"/>
      <c r="AH170" s="194"/>
      <c r="AI170" s="61"/>
      <c r="AJ170" s="373"/>
      <c r="AK170" s="81"/>
      <c r="AL170" s="81"/>
      <c r="AM170" s="61"/>
      <c r="AN170" s="269"/>
      <c r="AP170" s="194"/>
      <c r="AQ170" s="61"/>
      <c r="AR170" s="61"/>
      <c r="AS170" s="81"/>
      <c r="AT170" s="81"/>
      <c r="AU170" s="61"/>
      <c r="AV170" s="269"/>
      <c r="AX170" s="270"/>
      <c r="AY170" s="109"/>
      <c r="AZ170" s="373"/>
      <c r="BA170" s="58"/>
      <c r="BB170" s="344"/>
      <c r="BC170" s="61"/>
      <c r="BD170" s="269"/>
      <c r="BF170" s="194"/>
      <c r="BG170" s="61"/>
      <c r="BH170" s="61"/>
      <c r="BI170" s="81"/>
      <c r="BJ170" s="81"/>
      <c r="BK170" s="61"/>
      <c r="BL170" s="269"/>
    </row>
    <row r="171" ht="22.5" customHeight="1">
      <c r="A171" s="368"/>
      <c r="B171" s="444"/>
      <c r="C171" s="195"/>
      <c r="D171" s="195"/>
      <c r="E171" s="199"/>
      <c r="F171" s="199"/>
      <c r="G171" s="195"/>
      <c r="H171" s="371"/>
      <c r="J171" s="194"/>
      <c r="K171" s="61"/>
      <c r="L171" s="61"/>
      <c r="M171" s="81"/>
      <c r="N171" s="81"/>
      <c r="O171" s="61"/>
      <c r="P171" s="269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69"/>
      <c r="AH171" s="194"/>
      <c r="AI171" s="61"/>
      <c r="AJ171" s="373"/>
      <c r="AK171" s="81"/>
      <c r="AL171" s="81"/>
      <c r="AM171" s="61"/>
      <c r="AN171" s="269"/>
      <c r="AP171" s="194"/>
      <c r="AQ171" s="61"/>
      <c r="AR171" s="61"/>
      <c r="AS171" s="81"/>
      <c r="AT171" s="81"/>
      <c r="AU171" s="61"/>
      <c r="AV171" s="269"/>
      <c r="AX171" s="270"/>
      <c r="AY171" s="109"/>
      <c r="AZ171" s="373"/>
      <c r="BA171" s="58"/>
      <c r="BB171" s="344"/>
      <c r="BC171" s="61"/>
      <c r="BD171" s="269"/>
      <c r="BF171" s="194"/>
      <c r="BG171" s="61"/>
      <c r="BH171" s="61"/>
      <c r="BI171" s="81"/>
      <c r="BJ171" s="81"/>
      <c r="BK171" s="61"/>
      <c r="BL171" s="269"/>
    </row>
    <row r="172" ht="22.5" customHeight="1">
      <c r="A172" s="368"/>
      <c r="B172" s="444"/>
      <c r="C172" s="195"/>
      <c r="D172" s="195"/>
      <c r="E172" s="199"/>
      <c r="F172" s="199"/>
      <c r="G172" s="195"/>
      <c r="H172" s="371"/>
      <c r="J172" s="194"/>
      <c r="K172" s="61"/>
      <c r="L172" s="61"/>
      <c r="M172" s="81"/>
      <c r="N172" s="81"/>
      <c r="O172" s="61"/>
      <c r="P172" s="269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69"/>
      <c r="AH172" s="194"/>
      <c r="AI172" s="61"/>
      <c r="AJ172" s="373"/>
      <c r="AK172" s="81"/>
      <c r="AL172" s="81"/>
      <c r="AM172" s="61"/>
      <c r="AN172" s="269"/>
      <c r="AP172" s="194"/>
      <c r="AQ172" s="61"/>
      <c r="AR172" s="61"/>
      <c r="AS172" s="81"/>
      <c r="AT172" s="81"/>
      <c r="AU172" s="61"/>
      <c r="AV172" s="269"/>
      <c r="AX172" s="270"/>
      <c r="AY172" s="109"/>
      <c r="AZ172" s="373"/>
      <c r="BA172" s="58"/>
      <c r="BB172" s="344"/>
      <c r="BC172" s="61"/>
      <c r="BD172" s="269"/>
      <c r="BF172" s="194"/>
      <c r="BG172" s="61"/>
      <c r="BH172" s="61"/>
      <c r="BI172" s="81"/>
      <c r="BJ172" s="81"/>
      <c r="BK172" s="61"/>
      <c r="BL172" s="269"/>
    </row>
    <row r="173" ht="22.5" customHeight="1">
      <c r="A173" s="368"/>
      <c r="B173" s="444"/>
      <c r="C173" s="195"/>
      <c r="D173" s="195"/>
      <c r="E173" s="199"/>
      <c r="F173" s="199"/>
      <c r="G173" s="195"/>
      <c r="H173" s="371"/>
      <c r="J173" s="194"/>
      <c r="K173" s="61"/>
      <c r="L173" s="61"/>
      <c r="M173" s="81"/>
      <c r="N173" s="81"/>
      <c r="O173" s="61"/>
      <c r="P173" s="269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69"/>
      <c r="AH173" s="194"/>
      <c r="AI173" s="61"/>
      <c r="AJ173" s="373"/>
      <c r="AK173" s="81"/>
      <c r="AL173" s="81"/>
      <c r="AM173" s="61"/>
      <c r="AN173" s="269"/>
      <c r="AP173" s="194"/>
      <c r="AQ173" s="61"/>
      <c r="AR173" s="61"/>
      <c r="AS173" s="81"/>
      <c r="AT173" s="81"/>
      <c r="AU173" s="61"/>
      <c r="AV173" s="269"/>
      <c r="AX173" s="270"/>
      <c r="AY173" s="61"/>
      <c r="AZ173" s="373"/>
      <c r="BA173" s="58"/>
      <c r="BB173" s="344"/>
      <c r="BC173" s="61"/>
      <c r="BD173" s="269"/>
      <c r="BF173" s="194"/>
      <c r="BG173" s="61"/>
      <c r="BH173" s="61"/>
      <c r="BI173" s="81"/>
      <c r="BJ173" s="81"/>
      <c r="BK173" s="61"/>
      <c r="BL173" s="269"/>
    </row>
    <row r="174" ht="22.5" customHeight="1">
      <c r="A174" s="368"/>
      <c r="B174" s="444"/>
      <c r="C174" s="195"/>
      <c r="D174" s="195"/>
      <c r="E174" s="199"/>
      <c r="F174" s="199"/>
      <c r="G174" s="195"/>
      <c r="H174" s="371"/>
      <c r="J174" s="194"/>
      <c r="K174" s="61"/>
      <c r="L174" s="61"/>
      <c r="M174" s="81"/>
      <c r="N174" s="81"/>
      <c r="O174" s="61"/>
      <c r="P174" s="269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69"/>
      <c r="AH174" s="194"/>
      <c r="AI174" s="61"/>
      <c r="AJ174" s="373"/>
      <c r="AK174" s="81"/>
      <c r="AL174" s="81"/>
      <c r="AM174" s="61"/>
      <c r="AN174" s="269"/>
      <c r="AP174" s="194"/>
      <c r="AQ174" s="61"/>
      <c r="AR174" s="61"/>
      <c r="AS174" s="81"/>
      <c r="AT174" s="81"/>
      <c r="AU174" s="61"/>
      <c r="AV174" s="269"/>
      <c r="AX174" s="270"/>
      <c r="AY174" s="109"/>
      <c r="AZ174" s="373"/>
      <c r="BA174" s="58"/>
      <c r="BB174" s="344"/>
      <c r="BC174" s="61"/>
      <c r="BD174" s="269"/>
      <c r="BF174" s="194"/>
      <c r="BG174" s="61"/>
      <c r="BH174" s="61"/>
      <c r="BI174" s="81"/>
      <c r="BJ174" s="81"/>
      <c r="BK174" s="61"/>
      <c r="BL174" s="269"/>
    </row>
    <row r="175" ht="22.5" customHeight="1">
      <c r="A175" s="368"/>
      <c r="B175" s="444"/>
      <c r="C175" s="195"/>
      <c r="D175" s="195"/>
      <c r="E175" s="199"/>
      <c r="F175" s="199"/>
      <c r="G175" s="195"/>
      <c r="H175" s="371"/>
      <c r="J175" s="194"/>
      <c r="K175" s="61"/>
      <c r="L175" s="61"/>
      <c r="M175" s="81"/>
      <c r="N175" s="81"/>
      <c r="O175" s="61"/>
      <c r="P175" s="269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69"/>
      <c r="AH175" s="194"/>
      <c r="AI175" s="61"/>
      <c r="AJ175" s="373"/>
      <c r="AK175" s="81"/>
      <c r="AL175" s="81"/>
      <c r="AM175" s="61"/>
      <c r="AN175" s="269"/>
      <c r="AP175" s="194"/>
      <c r="AQ175" s="61"/>
      <c r="AR175" s="61"/>
      <c r="AS175" s="81"/>
      <c r="AT175" s="81"/>
      <c r="AU175" s="61"/>
      <c r="AV175" s="269"/>
      <c r="AX175" s="270"/>
      <c r="AY175" s="109"/>
      <c r="AZ175" s="373"/>
      <c r="BA175" s="58"/>
      <c r="BB175" s="344"/>
      <c r="BC175" s="61"/>
      <c r="BD175" s="269"/>
      <c r="BF175" s="194"/>
      <c r="BG175" s="61"/>
      <c r="BH175" s="61"/>
      <c r="BI175" s="81"/>
      <c r="BJ175" s="81"/>
      <c r="BK175" s="61"/>
      <c r="BL175" s="269"/>
    </row>
    <row r="176" ht="22.5" customHeight="1">
      <c r="A176" s="368"/>
      <c r="B176" s="444"/>
      <c r="C176" s="195"/>
      <c r="D176" s="195"/>
      <c r="E176" s="199"/>
      <c r="F176" s="199"/>
      <c r="G176" s="195"/>
      <c r="H176" s="371"/>
      <c r="J176" s="194"/>
      <c r="K176" s="61"/>
      <c r="L176" s="61"/>
      <c r="M176" s="81"/>
      <c r="N176" s="81"/>
      <c r="O176" s="61"/>
      <c r="P176" s="269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69"/>
      <c r="AH176" s="194"/>
      <c r="AI176" s="61"/>
      <c r="AJ176" s="373"/>
      <c r="AK176" s="81"/>
      <c r="AL176" s="81"/>
      <c r="AM176" s="61"/>
      <c r="AN176" s="269"/>
      <c r="AP176" s="194"/>
      <c r="AQ176" s="61"/>
      <c r="AR176" s="61"/>
      <c r="AS176" s="81"/>
      <c r="AT176" s="81"/>
      <c r="AU176" s="61"/>
      <c r="AV176" s="269"/>
      <c r="AX176" s="270"/>
      <c r="AY176" s="109"/>
      <c r="AZ176" s="373"/>
      <c r="BA176" s="58"/>
      <c r="BB176" s="344"/>
      <c r="BC176" s="61"/>
      <c r="BD176" s="269"/>
      <c r="BF176" s="194"/>
      <c r="BG176" s="61"/>
      <c r="BH176" s="61"/>
      <c r="BI176" s="81"/>
      <c r="BJ176" s="81"/>
      <c r="BK176" s="61"/>
      <c r="BL176" s="269"/>
    </row>
    <row r="177" ht="22.5" customHeight="1">
      <c r="A177" s="368"/>
      <c r="B177" s="444"/>
      <c r="C177" s="195"/>
      <c r="D177" s="195"/>
      <c r="E177" s="199"/>
      <c r="F177" s="199"/>
      <c r="G177" s="195"/>
      <c r="H177" s="371"/>
      <c r="J177" s="194"/>
      <c r="K177" s="61"/>
      <c r="L177" s="61"/>
      <c r="M177" s="81"/>
      <c r="N177" s="81"/>
      <c r="O177" s="61"/>
      <c r="P177" s="269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69"/>
      <c r="AH177" s="194"/>
      <c r="AI177" s="61"/>
      <c r="AJ177" s="373"/>
      <c r="AK177" s="81"/>
      <c r="AL177" s="81"/>
      <c r="AM177" s="61"/>
      <c r="AN177" s="269"/>
      <c r="AP177" s="194"/>
      <c r="AQ177" s="61"/>
      <c r="AR177" s="61"/>
      <c r="AS177" s="81"/>
      <c r="AT177" s="81"/>
      <c r="AU177" s="61"/>
      <c r="AV177" s="269"/>
      <c r="AX177" s="270"/>
      <c r="AY177" s="109"/>
      <c r="AZ177" s="373"/>
      <c r="BA177" s="58"/>
      <c r="BB177" s="344"/>
      <c r="BC177" s="61"/>
      <c r="BD177" s="269"/>
      <c r="BF177" s="194"/>
      <c r="BG177" s="61"/>
      <c r="BH177" s="61"/>
      <c r="BI177" s="81"/>
      <c r="BJ177" s="81"/>
      <c r="BK177" s="61"/>
      <c r="BL177" s="269"/>
    </row>
    <row r="178" ht="22.5" customHeight="1">
      <c r="A178" s="368"/>
      <c r="B178" s="444"/>
      <c r="C178" s="195"/>
      <c r="D178" s="195"/>
      <c r="E178" s="199"/>
      <c r="F178" s="199"/>
      <c r="G178" s="195"/>
      <c r="H178" s="371"/>
      <c r="J178" s="194"/>
      <c r="K178" s="61"/>
      <c r="L178" s="61"/>
      <c r="M178" s="81"/>
      <c r="N178" s="81"/>
      <c r="O178" s="61"/>
      <c r="P178" s="269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69"/>
      <c r="AH178" s="194"/>
      <c r="AI178" s="61"/>
      <c r="AJ178" s="373"/>
      <c r="AK178" s="81"/>
      <c r="AL178" s="81"/>
      <c r="AM178" s="61"/>
      <c r="AN178" s="269"/>
      <c r="AP178" s="194"/>
      <c r="AQ178" s="61"/>
      <c r="AR178" s="61"/>
      <c r="AS178" s="81"/>
      <c r="AT178" s="81"/>
      <c r="AU178" s="61"/>
      <c r="AV178" s="269"/>
      <c r="AX178" s="194"/>
      <c r="AY178" s="61"/>
      <c r="AZ178" s="373"/>
      <c r="BA178" s="81"/>
      <c r="BB178" s="81"/>
      <c r="BC178" s="61"/>
      <c r="BD178" s="269"/>
      <c r="BF178" s="194"/>
      <c r="BG178" s="61"/>
      <c r="BH178" s="61"/>
      <c r="BI178" s="81"/>
      <c r="BJ178" s="81"/>
      <c r="BK178" s="61"/>
      <c r="BL178" s="269"/>
    </row>
    <row r="179" ht="22.5" customHeight="1">
      <c r="A179" s="368"/>
      <c r="B179" s="444"/>
      <c r="C179" s="195"/>
      <c r="D179" s="195"/>
      <c r="E179" s="199"/>
      <c r="F179" s="199"/>
      <c r="G179" s="195"/>
      <c r="H179" s="371"/>
      <c r="J179" s="194"/>
      <c r="K179" s="61"/>
      <c r="L179" s="61"/>
      <c r="M179" s="81"/>
      <c r="N179" s="81"/>
      <c r="O179" s="61"/>
      <c r="P179" s="269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69"/>
      <c r="AH179" s="194"/>
      <c r="AI179" s="61"/>
      <c r="AJ179" s="373"/>
      <c r="AK179" s="81"/>
      <c r="AL179" s="81"/>
      <c r="AM179" s="61"/>
      <c r="AN179" s="269"/>
      <c r="AP179" s="194"/>
      <c r="AQ179" s="61"/>
      <c r="AR179" s="61"/>
      <c r="AS179" s="81"/>
      <c r="AT179" s="81"/>
      <c r="AU179" s="61"/>
      <c r="AV179" s="269"/>
      <c r="AX179" s="194"/>
      <c r="AY179" s="61"/>
      <c r="AZ179" s="373"/>
      <c r="BA179" s="81"/>
      <c r="BB179" s="81"/>
      <c r="BC179" s="61"/>
      <c r="BD179" s="269"/>
      <c r="BF179" s="194"/>
      <c r="BG179" s="61"/>
      <c r="BH179" s="61"/>
      <c r="BI179" s="81"/>
      <c r="BJ179" s="81"/>
      <c r="BK179" s="61"/>
      <c r="BL179" s="269"/>
    </row>
    <row r="180" ht="22.5" customHeight="1">
      <c r="A180" s="368"/>
      <c r="B180" s="444"/>
      <c r="C180" s="195"/>
      <c r="D180" s="195"/>
      <c r="E180" s="199"/>
      <c r="F180" s="199"/>
      <c r="G180" s="195"/>
      <c r="H180" s="371"/>
      <c r="J180" s="194"/>
      <c r="K180" s="61"/>
      <c r="L180" s="61"/>
      <c r="M180" s="81"/>
      <c r="N180" s="81"/>
      <c r="O180" s="61"/>
      <c r="P180" s="269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69"/>
      <c r="AH180" s="194"/>
      <c r="AI180" s="61"/>
      <c r="AJ180" s="373"/>
      <c r="AK180" s="81"/>
      <c r="AL180" s="81"/>
      <c r="AM180" s="61"/>
      <c r="AN180" s="269"/>
      <c r="AP180" s="194"/>
      <c r="AQ180" s="61"/>
      <c r="AR180" s="61"/>
      <c r="AS180" s="81"/>
      <c r="AT180" s="81"/>
      <c r="AU180" s="61"/>
      <c r="AV180" s="269"/>
      <c r="AX180" s="194"/>
      <c r="AY180" s="61"/>
      <c r="AZ180" s="373"/>
      <c r="BA180" s="81"/>
      <c r="BB180" s="81"/>
      <c r="BC180" s="61"/>
      <c r="BD180" s="269"/>
      <c r="BF180" s="194"/>
      <c r="BG180" s="61"/>
      <c r="BH180" s="61"/>
      <c r="BI180" s="81"/>
      <c r="BJ180" s="81"/>
      <c r="BK180" s="61"/>
      <c r="BL180" s="269"/>
    </row>
    <row r="181" ht="22.5" customHeight="1">
      <c r="A181" s="368"/>
      <c r="B181" s="444"/>
      <c r="C181" s="195"/>
      <c r="D181" s="195"/>
      <c r="E181" s="199"/>
      <c r="F181" s="199"/>
      <c r="G181" s="195"/>
      <c r="H181" s="371"/>
      <c r="J181" s="194"/>
      <c r="K181" s="61"/>
      <c r="L181" s="61"/>
      <c r="M181" s="81"/>
      <c r="N181" s="81"/>
      <c r="O181" s="61"/>
      <c r="P181" s="269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69"/>
      <c r="AH181" s="194"/>
      <c r="AI181" s="61"/>
      <c r="AJ181" s="373"/>
      <c r="AK181" s="81"/>
      <c r="AL181" s="81"/>
      <c r="AM181" s="61"/>
      <c r="AN181" s="269"/>
      <c r="AP181" s="194"/>
      <c r="AQ181" s="61"/>
      <c r="AR181" s="61"/>
      <c r="AS181" s="81"/>
      <c r="AT181" s="81"/>
      <c r="AU181" s="61"/>
      <c r="AV181" s="269"/>
      <c r="AX181" s="194"/>
      <c r="AY181" s="61"/>
      <c r="AZ181" s="373"/>
      <c r="BA181" s="81"/>
      <c r="BB181" s="81"/>
      <c r="BC181" s="61"/>
      <c r="BD181" s="269"/>
      <c r="BF181" s="194"/>
      <c r="BG181" s="61"/>
      <c r="BH181" s="61"/>
      <c r="BI181" s="81"/>
      <c r="BJ181" s="81"/>
      <c r="BK181" s="61"/>
      <c r="BL181" s="269"/>
    </row>
    <row r="182" ht="22.5" customHeight="1">
      <c r="A182" s="368"/>
      <c r="B182" s="444"/>
      <c r="C182" s="195"/>
      <c r="D182" s="195"/>
      <c r="E182" s="199"/>
      <c r="F182" s="199"/>
      <c r="G182" s="195"/>
      <c r="H182" s="371"/>
      <c r="J182" s="194"/>
      <c r="K182" s="61"/>
      <c r="L182" s="61"/>
      <c r="M182" s="81"/>
      <c r="N182" s="81"/>
      <c r="O182" s="61"/>
      <c r="P182" s="269"/>
      <c r="R182" s="194"/>
      <c r="S182" s="61"/>
      <c r="T182" s="61"/>
      <c r="U182" s="81"/>
      <c r="V182" s="81"/>
      <c r="W182" s="61"/>
      <c r="X182" s="298"/>
      <c r="Z182" s="194"/>
      <c r="AA182" s="61"/>
      <c r="AB182" s="61"/>
      <c r="AC182" s="81"/>
      <c r="AD182" s="81"/>
      <c r="AE182" s="61"/>
      <c r="AF182" s="269"/>
      <c r="AH182" s="194"/>
      <c r="AI182" s="61"/>
      <c r="AJ182" s="373"/>
      <c r="AK182" s="81"/>
      <c r="AL182" s="81"/>
      <c r="AM182" s="61"/>
      <c r="AN182" s="269"/>
      <c r="AP182" s="194"/>
      <c r="AQ182" s="61"/>
      <c r="AR182" s="61"/>
      <c r="AS182" s="81"/>
      <c r="AT182" s="81"/>
      <c r="AU182" s="61"/>
      <c r="AV182" s="269"/>
      <c r="AX182" s="194"/>
      <c r="AY182" s="61"/>
      <c r="AZ182" s="373"/>
      <c r="BA182" s="81"/>
      <c r="BB182" s="81"/>
      <c r="BC182" s="61"/>
      <c r="BD182" s="269"/>
      <c r="BF182" s="194"/>
      <c r="BG182" s="61"/>
      <c r="BH182" s="61"/>
      <c r="BI182" s="81"/>
      <c r="BJ182" s="81"/>
      <c r="BK182" s="61"/>
      <c r="BL182" s="269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 t="b">
        <v>0</v>
      </c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69"/>
      <c r="AP183" s="194"/>
      <c r="AQ183" s="61"/>
      <c r="AR183" s="61"/>
      <c r="AS183" s="81"/>
      <c r="AT183" s="81"/>
      <c r="AU183" s="61"/>
      <c r="AV183" s="269"/>
      <c r="AX183" s="194"/>
      <c r="AY183" s="61"/>
      <c r="AZ183" s="373"/>
      <c r="BA183" s="81"/>
      <c r="BB183" s="81"/>
      <c r="BC183" s="61"/>
      <c r="BD183" s="269"/>
      <c r="BF183" s="194"/>
      <c r="BG183" s="61"/>
      <c r="BH183" s="61"/>
      <c r="BI183" s="81"/>
      <c r="BJ183" s="81"/>
      <c r="BK183" s="61"/>
      <c r="BL183" s="269"/>
    </row>
    <row r="184" ht="22.5" customHeight="1">
      <c r="A184" s="368"/>
      <c r="B184" s="444"/>
      <c r="C184" s="195"/>
      <c r="D184" s="195"/>
      <c r="E184" s="199"/>
      <c r="F184" s="199"/>
      <c r="G184" s="195"/>
      <c r="H184" s="371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/>
      <c r="AO184" s="258"/>
      <c r="AP184" s="346"/>
      <c r="AQ184" s="300"/>
      <c r="AR184" s="300"/>
      <c r="AS184" s="345"/>
      <c r="AT184" s="345"/>
      <c r="AU184" s="300"/>
      <c r="AV184" s="286"/>
      <c r="AW184" s="258"/>
      <c r="AX184" s="349"/>
      <c r="AY184" s="290"/>
      <c r="AZ184" s="277"/>
      <c r="BA184" s="350"/>
      <c r="BB184" s="350"/>
      <c r="BC184" s="290"/>
      <c r="BD184" s="281"/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368"/>
      <c r="B185" s="444"/>
      <c r="C185" s="195"/>
      <c r="D185" s="195"/>
      <c r="E185" s="199"/>
      <c r="F185" s="199"/>
      <c r="G185" s="195"/>
      <c r="H185" s="371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/>
      <c r="AO185" s="258"/>
      <c r="AP185" s="346"/>
      <c r="AQ185" s="300"/>
      <c r="AR185" s="300"/>
      <c r="AS185" s="345"/>
      <c r="AT185" s="345"/>
      <c r="AU185" s="300"/>
      <c r="AV185" s="286"/>
      <c r="AW185" s="258"/>
      <c r="AX185" s="349"/>
      <c r="AY185" s="290"/>
      <c r="AZ185" s="277"/>
      <c r="BA185" s="350"/>
      <c r="BB185" s="350"/>
      <c r="BC185" s="290"/>
      <c r="BD185" s="281"/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368"/>
      <c r="B186" s="444"/>
      <c r="C186" s="195"/>
      <c r="D186" s="195"/>
      <c r="E186" s="199"/>
      <c r="F186" s="199"/>
      <c r="G186" s="195"/>
      <c r="H186" s="371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/>
      <c r="AO186" s="258"/>
      <c r="AP186" s="346"/>
      <c r="AQ186" s="300"/>
      <c r="AR186" s="300"/>
      <c r="AS186" s="345"/>
      <c r="AT186" s="345"/>
      <c r="AU186" s="300"/>
      <c r="AV186" s="286"/>
      <c r="AW186" s="258"/>
      <c r="AX186" s="349"/>
      <c r="AY186" s="290"/>
      <c r="AZ186" s="277"/>
      <c r="BA186" s="350"/>
      <c r="BB186" s="350"/>
      <c r="BC186" s="290"/>
      <c r="BD186" s="281"/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368"/>
      <c r="B187" s="444"/>
      <c r="C187" s="195"/>
      <c r="D187" s="195"/>
      <c r="E187" s="199"/>
      <c r="F187" s="199"/>
      <c r="G187" s="195"/>
      <c r="H187" s="371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/>
      <c r="AO187" s="258"/>
      <c r="AP187" s="346"/>
      <c r="AQ187" s="300"/>
      <c r="AR187" s="300"/>
      <c r="AS187" s="345"/>
      <c r="AT187" s="345"/>
      <c r="AU187" s="300"/>
      <c r="AV187" s="286"/>
      <c r="AW187" s="258"/>
      <c r="AX187" s="349"/>
      <c r="AY187" s="290"/>
      <c r="AZ187" s="277"/>
      <c r="BA187" s="350"/>
      <c r="BB187" s="350"/>
      <c r="BC187" s="290"/>
      <c r="BD187" s="281"/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368"/>
      <c r="B188" s="444"/>
      <c r="C188" s="195"/>
      <c r="D188" s="195"/>
      <c r="E188" s="199"/>
      <c r="F188" s="199"/>
      <c r="G188" s="195"/>
      <c r="H188" s="371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/>
      <c r="AO188" s="258"/>
      <c r="AP188" s="346"/>
      <c r="AQ188" s="300"/>
      <c r="AR188" s="300"/>
      <c r="AS188" s="345"/>
      <c r="AT188" s="345"/>
      <c r="AU188" s="300"/>
      <c r="AV188" s="286"/>
      <c r="AW188" s="258"/>
      <c r="AX188" s="349"/>
      <c r="AY188" s="290"/>
      <c r="AZ188" s="277"/>
      <c r="BA188" s="350"/>
      <c r="BB188" s="350"/>
      <c r="BC188" s="290"/>
      <c r="BD188" s="281"/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368"/>
      <c r="B189" s="444"/>
      <c r="C189" s="195"/>
      <c r="D189" s="195"/>
      <c r="E189" s="199"/>
      <c r="F189" s="199"/>
      <c r="G189" s="195"/>
      <c r="H189" s="371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/>
      <c r="AO189" s="258"/>
      <c r="AP189" s="346"/>
      <c r="AQ189" s="300"/>
      <c r="AR189" s="300"/>
      <c r="AS189" s="345"/>
      <c r="AT189" s="345"/>
      <c r="AU189" s="300"/>
      <c r="AV189" s="286"/>
      <c r="AW189" s="258"/>
      <c r="AX189" s="349"/>
      <c r="AY189" s="290"/>
      <c r="AZ189" s="277"/>
      <c r="BA189" s="350"/>
      <c r="BB189" s="350"/>
      <c r="BC189" s="290"/>
      <c r="BD189" s="281"/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368"/>
      <c r="B190" s="444"/>
      <c r="C190" s="195"/>
      <c r="D190" s="195"/>
      <c r="E190" s="199"/>
      <c r="F190" s="199"/>
      <c r="G190" s="195"/>
      <c r="H190" s="371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/>
      <c r="AO190" s="258"/>
      <c r="AP190" s="346"/>
      <c r="AQ190" s="300"/>
      <c r="AR190" s="300"/>
      <c r="AS190" s="345"/>
      <c r="AT190" s="345"/>
      <c r="AU190" s="300"/>
      <c r="AV190" s="286"/>
      <c r="AW190" s="258"/>
      <c r="AX190" s="349"/>
      <c r="AY190" s="290"/>
      <c r="AZ190" s="277"/>
      <c r="BA190" s="350"/>
      <c r="BB190" s="350"/>
      <c r="BC190" s="290"/>
      <c r="BD190" s="281"/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368"/>
      <c r="B191" s="444"/>
      <c r="C191" s="195"/>
      <c r="D191" s="195"/>
      <c r="E191" s="199"/>
      <c r="F191" s="199"/>
      <c r="G191" s="195"/>
      <c r="H191" s="371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/>
      <c r="AO191" s="258"/>
      <c r="AP191" s="346"/>
      <c r="AQ191" s="300"/>
      <c r="AR191" s="300"/>
      <c r="AS191" s="345"/>
      <c r="AT191" s="345"/>
      <c r="AU191" s="300"/>
      <c r="AV191" s="286"/>
      <c r="AW191" s="258"/>
      <c r="AX191" s="349"/>
      <c r="AY191" s="290"/>
      <c r="AZ191" s="277"/>
      <c r="BA191" s="350"/>
      <c r="BB191" s="350"/>
      <c r="BC191" s="290"/>
      <c r="BD191" s="281"/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368"/>
      <c r="B192" s="444"/>
      <c r="C192" s="195"/>
      <c r="D192" s="195"/>
      <c r="E192" s="199"/>
      <c r="F192" s="199"/>
      <c r="G192" s="195"/>
      <c r="H192" s="371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/>
      <c r="AO192" s="258"/>
      <c r="AP192" s="346"/>
      <c r="AQ192" s="300"/>
      <c r="AR192" s="300"/>
      <c r="AS192" s="345"/>
      <c r="AT192" s="345"/>
      <c r="AU192" s="300"/>
      <c r="AV192" s="286"/>
      <c r="AW192" s="258"/>
      <c r="AX192" s="349"/>
      <c r="AY192" s="290"/>
      <c r="AZ192" s="277"/>
      <c r="BA192" s="350"/>
      <c r="BB192" s="350"/>
      <c r="BC192" s="290"/>
      <c r="BD192" s="281"/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368"/>
      <c r="B193" s="444"/>
      <c r="C193" s="195"/>
      <c r="D193" s="195"/>
      <c r="E193" s="199"/>
      <c r="F193" s="199"/>
      <c r="G193" s="195"/>
      <c r="H193" s="371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/>
      <c r="AO193" s="258"/>
      <c r="AP193" s="346"/>
      <c r="AQ193" s="300"/>
      <c r="AR193" s="300"/>
      <c r="AS193" s="345"/>
      <c r="AT193" s="345"/>
      <c r="AU193" s="300"/>
      <c r="AV193" s="286"/>
      <c r="AW193" s="258"/>
      <c r="AX193" s="349"/>
      <c r="AY193" s="290"/>
      <c r="AZ193" s="277"/>
      <c r="BA193" s="350"/>
      <c r="BB193" s="350"/>
      <c r="BC193" s="290"/>
      <c r="BD193" s="281"/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368"/>
      <c r="B194" s="444"/>
      <c r="C194" s="195"/>
      <c r="D194" s="195"/>
      <c r="E194" s="199"/>
      <c r="F194" s="199"/>
      <c r="G194" s="195"/>
      <c r="H194" s="371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/>
      <c r="AO194" s="258"/>
      <c r="AP194" s="346"/>
      <c r="AQ194" s="300"/>
      <c r="AR194" s="300"/>
      <c r="AS194" s="345"/>
      <c r="AT194" s="345"/>
      <c r="AU194" s="300"/>
      <c r="AV194" s="286"/>
      <c r="AW194" s="258"/>
      <c r="AX194" s="349"/>
      <c r="AY194" s="290"/>
      <c r="AZ194" s="277"/>
      <c r="BA194" s="350"/>
      <c r="BB194" s="350"/>
      <c r="BC194" s="290"/>
      <c r="BD194" s="281"/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368"/>
      <c r="B195" s="444"/>
      <c r="C195" s="195"/>
      <c r="D195" s="195"/>
      <c r="E195" s="199"/>
      <c r="F195" s="199"/>
      <c r="G195" s="195"/>
      <c r="H195" s="371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/>
      <c r="AO195" s="258"/>
      <c r="AP195" s="346"/>
      <c r="AQ195" s="300"/>
      <c r="AR195" s="300"/>
      <c r="AS195" s="345"/>
      <c r="AT195" s="345"/>
      <c r="AU195" s="300"/>
      <c r="AV195" s="286"/>
      <c r="AW195" s="258"/>
      <c r="AX195" s="349"/>
      <c r="AY195" s="290"/>
      <c r="AZ195" s="277"/>
      <c r="BA195" s="350"/>
      <c r="BB195" s="350"/>
      <c r="BC195" s="290"/>
      <c r="BD195" s="281"/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368"/>
      <c r="B196" s="444"/>
      <c r="C196" s="195"/>
      <c r="D196" s="195"/>
      <c r="E196" s="199"/>
      <c r="F196" s="199"/>
      <c r="G196" s="195"/>
      <c r="H196" s="371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/>
      <c r="AO196" s="258"/>
      <c r="AP196" s="346"/>
      <c r="AQ196" s="300"/>
      <c r="AR196" s="300"/>
      <c r="AS196" s="345"/>
      <c r="AT196" s="345"/>
      <c r="AU196" s="300"/>
      <c r="AV196" s="286"/>
      <c r="AW196" s="258"/>
      <c r="AX196" s="349"/>
      <c r="AY196" s="290"/>
      <c r="AZ196" s="277"/>
      <c r="BA196" s="350"/>
      <c r="BB196" s="350"/>
      <c r="BC196" s="290"/>
      <c r="BD196" s="281"/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368"/>
      <c r="B197" s="444"/>
      <c r="C197" s="195"/>
      <c r="D197" s="195"/>
      <c r="E197" s="199"/>
      <c r="F197" s="199"/>
      <c r="G197" s="195"/>
      <c r="H197" s="371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/>
      <c r="AO197" s="258"/>
      <c r="AP197" s="346"/>
      <c r="AQ197" s="300"/>
      <c r="AR197" s="300"/>
      <c r="AS197" s="345"/>
      <c r="AT197" s="345"/>
      <c r="AU197" s="300"/>
      <c r="AV197" s="286"/>
      <c r="AW197" s="258"/>
      <c r="AX197" s="349"/>
      <c r="AY197" s="290"/>
      <c r="AZ197" s="277"/>
      <c r="BA197" s="350"/>
      <c r="BB197" s="350"/>
      <c r="BC197" s="290"/>
      <c r="BD197" s="281"/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368"/>
      <c r="B198" s="444"/>
      <c r="C198" s="195"/>
      <c r="D198" s="195"/>
      <c r="E198" s="199"/>
      <c r="F198" s="199"/>
      <c r="G198" s="195"/>
      <c r="H198" s="371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/>
      <c r="AO198" s="258"/>
      <c r="AP198" s="346"/>
      <c r="AQ198" s="300"/>
      <c r="AR198" s="300"/>
      <c r="AS198" s="345"/>
      <c r="AT198" s="345"/>
      <c r="AU198" s="300"/>
      <c r="AV198" s="286"/>
      <c r="AW198" s="258"/>
      <c r="AX198" s="349"/>
      <c r="AY198" s="290"/>
      <c r="AZ198" s="277"/>
      <c r="BA198" s="350"/>
      <c r="BB198" s="350"/>
      <c r="BC198" s="290"/>
      <c r="BD198" s="281"/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368"/>
      <c r="B199" s="444"/>
      <c r="C199" s="195"/>
      <c r="D199" s="195"/>
      <c r="E199" s="199"/>
      <c r="F199" s="199"/>
      <c r="G199" s="195"/>
      <c r="H199" s="371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/>
      <c r="AO199" s="258"/>
      <c r="AP199" s="346"/>
      <c r="AQ199" s="300"/>
      <c r="AR199" s="300"/>
      <c r="AS199" s="345"/>
      <c r="AT199" s="345"/>
      <c r="AU199" s="300"/>
      <c r="AV199" s="286"/>
      <c r="AW199" s="258"/>
      <c r="AX199" s="349"/>
      <c r="AY199" s="290"/>
      <c r="AZ199" s="277"/>
      <c r="BA199" s="350"/>
      <c r="BB199" s="350"/>
      <c r="BC199" s="290"/>
      <c r="BD199" s="281"/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368"/>
      <c r="B200" s="444"/>
      <c r="C200" s="195"/>
      <c r="D200" s="195"/>
      <c r="E200" s="199"/>
      <c r="F200" s="199"/>
      <c r="G200" s="195"/>
      <c r="H200" s="371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/>
      <c r="AO200" s="258"/>
      <c r="AP200" s="346"/>
      <c r="AQ200" s="300"/>
      <c r="AR200" s="300"/>
      <c r="AS200" s="345"/>
      <c r="AT200" s="345"/>
      <c r="AU200" s="300"/>
      <c r="AV200" s="286"/>
      <c r="AW200" s="258"/>
      <c r="AX200" s="349"/>
      <c r="AY200" s="290"/>
      <c r="AZ200" s="277"/>
      <c r="BA200" s="350"/>
      <c r="BB200" s="350"/>
      <c r="BC200" s="290"/>
      <c r="BD200" s="281"/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368"/>
      <c r="B201" s="444"/>
      <c r="C201" s="195"/>
      <c r="D201" s="195"/>
      <c r="E201" s="199"/>
      <c r="F201" s="199"/>
      <c r="G201" s="195"/>
      <c r="H201" s="371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/>
      <c r="AO201" s="258"/>
      <c r="AP201" s="346"/>
      <c r="AQ201" s="300"/>
      <c r="AR201" s="300"/>
      <c r="AS201" s="345"/>
      <c r="AT201" s="345"/>
      <c r="AU201" s="300"/>
      <c r="AV201" s="286"/>
      <c r="AW201" s="258"/>
      <c r="AX201" s="349"/>
      <c r="AY201" s="290"/>
      <c r="AZ201" s="277"/>
      <c r="BA201" s="350"/>
      <c r="BB201" s="350"/>
      <c r="BC201" s="290"/>
      <c r="BD201" s="281"/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368"/>
      <c r="B202" s="444"/>
      <c r="C202" s="195"/>
      <c r="D202" s="195"/>
      <c r="E202" s="199"/>
      <c r="F202" s="199"/>
      <c r="G202" s="195"/>
      <c r="H202" s="371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/>
      <c r="AO202" s="258"/>
      <c r="AP202" s="346"/>
      <c r="AQ202" s="300"/>
      <c r="AR202" s="300"/>
      <c r="AS202" s="345"/>
      <c r="AT202" s="345"/>
      <c r="AU202" s="300"/>
      <c r="AV202" s="286"/>
      <c r="AW202" s="258"/>
      <c r="AX202" s="349"/>
      <c r="AY202" s="290"/>
      <c r="AZ202" s="277"/>
      <c r="BA202" s="350"/>
      <c r="BB202" s="350"/>
      <c r="BC202" s="290"/>
      <c r="BD202" s="281"/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368"/>
      <c r="B203" s="444"/>
      <c r="C203" s="195"/>
      <c r="D203" s="195"/>
      <c r="E203" s="199"/>
      <c r="F203" s="199"/>
      <c r="G203" s="195"/>
      <c r="H203" s="371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/>
      <c r="AO203" s="258"/>
      <c r="AP203" s="346"/>
      <c r="AQ203" s="300"/>
      <c r="AR203" s="300"/>
      <c r="AS203" s="345"/>
      <c r="AT203" s="345"/>
      <c r="AU203" s="300"/>
      <c r="AV203" s="286"/>
      <c r="AW203" s="258"/>
      <c r="AX203" s="349"/>
      <c r="AY203" s="290"/>
      <c r="AZ203" s="277"/>
      <c r="BA203" s="350"/>
      <c r="BB203" s="350"/>
      <c r="BC203" s="290"/>
      <c r="BD203" s="281"/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368"/>
      <c r="B204" s="444"/>
      <c r="C204" s="195"/>
      <c r="D204" s="195"/>
      <c r="E204" s="199"/>
      <c r="F204" s="199"/>
      <c r="G204" s="195"/>
      <c r="H204" s="371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/>
      <c r="AO204" s="258"/>
      <c r="AP204" s="346"/>
      <c r="AQ204" s="300"/>
      <c r="AR204" s="300"/>
      <c r="AS204" s="345"/>
      <c r="AT204" s="345"/>
      <c r="AU204" s="300"/>
      <c r="AV204" s="286"/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368"/>
      <c r="B205" s="444"/>
      <c r="C205" s="195"/>
      <c r="D205" s="195"/>
      <c r="E205" s="199"/>
      <c r="F205" s="199"/>
      <c r="G205" s="195"/>
      <c r="H205" s="371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/>
      <c r="AO205" s="258"/>
      <c r="AP205" s="346"/>
      <c r="AQ205" s="300"/>
      <c r="AR205" s="300"/>
      <c r="AS205" s="345"/>
      <c r="AT205" s="345"/>
      <c r="AU205" s="300"/>
      <c r="AV205" s="286"/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368"/>
      <c r="B206" s="444"/>
      <c r="C206" s="195"/>
      <c r="D206" s="195"/>
      <c r="E206" s="199"/>
      <c r="F206" s="199"/>
      <c r="G206" s="195"/>
      <c r="H206" s="371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/>
      <c r="AO206" s="258"/>
      <c r="AP206" s="346"/>
      <c r="AQ206" s="300"/>
      <c r="AR206" s="300"/>
      <c r="AS206" s="345"/>
      <c r="AT206" s="345"/>
      <c r="AU206" s="300"/>
      <c r="AV206" s="286"/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368"/>
      <c r="B207" s="444"/>
      <c r="C207" s="195"/>
      <c r="D207" s="195"/>
      <c r="E207" s="199"/>
      <c r="F207" s="199"/>
      <c r="G207" s="195"/>
      <c r="H207" s="371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/>
      <c r="AO207" s="258"/>
      <c r="AP207" s="346"/>
      <c r="AQ207" s="300"/>
      <c r="AR207" s="300"/>
      <c r="AS207" s="345"/>
      <c r="AT207" s="345"/>
      <c r="AU207" s="300"/>
      <c r="AV207" s="286"/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368"/>
      <c r="B208" s="444"/>
      <c r="C208" s="195"/>
      <c r="D208" s="195"/>
      <c r="E208" s="199"/>
      <c r="F208" s="199"/>
      <c r="G208" s="195"/>
      <c r="H208" s="371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/>
      <c r="AO208" s="258"/>
      <c r="AP208" s="346"/>
      <c r="AQ208" s="300"/>
      <c r="AR208" s="300"/>
      <c r="AS208" s="345"/>
      <c r="AT208" s="345"/>
      <c r="AU208" s="300"/>
      <c r="AV208" s="286"/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368"/>
      <c r="B209" s="444"/>
      <c r="C209" s="195"/>
      <c r="D209" s="195"/>
      <c r="E209" s="199"/>
      <c r="F209" s="199"/>
      <c r="G209" s="195"/>
      <c r="H209" s="371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/>
      <c r="AO209" s="258"/>
      <c r="AP209" s="346"/>
      <c r="AQ209" s="300"/>
      <c r="AR209" s="300"/>
      <c r="AS209" s="345"/>
      <c r="AT209" s="345"/>
      <c r="AU209" s="300"/>
      <c r="AV209" s="286"/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368"/>
      <c r="B210" s="444"/>
      <c r="C210" s="195"/>
      <c r="D210" s="195"/>
      <c r="E210" s="199"/>
      <c r="F210" s="199"/>
      <c r="G210" s="195"/>
      <c r="H210" s="371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/>
      <c r="AO210" s="258"/>
      <c r="AP210" s="346"/>
      <c r="AQ210" s="300"/>
      <c r="AR210" s="300"/>
      <c r="AS210" s="345"/>
      <c r="AT210" s="345"/>
      <c r="AU210" s="300"/>
      <c r="AV210" s="286"/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368"/>
      <c r="B211" s="444"/>
      <c r="C211" s="195"/>
      <c r="D211" s="195"/>
      <c r="E211" s="199"/>
      <c r="F211" s="199"/>
      <c r="G211" s="195"/>
      <c r="H211" s="371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/>
      <c r="AO211" s="258"/>
      <c r="AP211" s="346"/>
      <c r="AQ211" s="300"/>
      <c r="AR211" s="300"/>
      <c r="AS211" s="345"/>
      <c r="AT211" s="345"/>
      <c r="AU211" s="300"/>
      <c r="AV211" s="286"/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368"/>
      <c r="B212" s="444"/>
      <c r="C212" s="195"/>
      <c r="D212" s="195"/>
      <c r="E212" s="199"/>
      <c r="F212" s="199"/>
      <c r="G212" s="195"/>
      <c r="H212" s="371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/>
      <c r="AO212" s="258"/>
      <c r="AP212" s="346"/>
      <c r="AQ212" s="300"/>
      <c r="AR212" s="300"/>
      <c r="AS212" s="345"/>
      <c r="AT212" s="345"/>
      <c r="AU212" s="300"/>
      <c r="AV212" s="286"/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368"/>
      <c r="B213" s="444"/>
      <c r="C213" s="195"/>
      <c r="D213" s="195"/>
      <c r="E213" s="199"/>
      <c r="F213" s="199"/>
      <c r="G213" s="195"/>
      <c r="H213" s="371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/>
      <c r="AO213" s="258"/>
      <c r="AP213" s="346"/>
      <c r="AQ213" s="300"/>
      <c r="AR213" s="300"/>
      <c r="AS213" s="345"/>
      <c r="AT213" s="345"/>
      <c r="AU213" s="300"/>
      <c r="AV213" s="286"/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368"/>
      <c r="B214" s="444"/>
      <c r="C214" s="195"/>
      <c r="D214" s="195"/>
      <c r="E214" s="199"/>
      <c r="F214" s="199"/>
      <c r="G214" s="195"/>
      <c r="H214" s="371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/>
      <c r="AO214" s="258"/>
      <c r="AP214" s="346"/>
      <c r="AQ214" s="300"/>
      <c r="AR214" s="300"/>
      <c r="AS214" s="345"/>
      <c r="AT214" s="345"/>
      <c r="AU214" s="300"/>
      <c r="AV214" s="286"/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368"/>
      <c r="B215" s="444"/>
      <c r="C215" s="195"/>
      <c r="D215" s="195"/>
      <c r="E215" s="199"/>
      <c r="F215" s="199"/>
      <c r="G215" s="195"/>
      <c r="H215" s="371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/>
      <c r="AO215" s="258"/>
      <c r="AP215" s="346"/>
      <c r="AQ215" s="300"/>
      <c r="AR215" s="300"/>
      <c r="AS215" s="345"/>
      <c r="AT215" s="345"/>
      <c r="AU215" s="300"/>
      <c r="AV215" s="286"/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368"/>
      <c r="B216" s="444"/>
      <c r="C216" s="195"/>
      <c r="D216" s="195"/>
      <c r="E216" s="199"/>
      <c r="F216" s="199"/>
      <c r="G216" s="195"/>
      <c r="H216" s="371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/>
      <c r="AO216" s="258"/>
      <c r="AP216" s="346"/>
      <c r="AQ216" s="300"/>
      <c r="AR216" s="300"/>
      <c r="AS216" s="345"/>
      <c r="AT216" s="345"/>
      <c r="AU216" s="300"/>
      <c r="AV216" s="286"/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368"/>
      <c r="B217" s="444"/>
      <c r="C217" s="195"/>
      <c r="D217" s="195"/>
      <c r="E217" s="199"/>
      <c r="F217" s="199"/>
      <c r="G217" s="195"/>
      <c r="H217" s="371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/>
      <c r="AO217" s="258"/>
      <c r="AP217" s="346"/>
      <c r="AQ217" s="300"/>
      <c r="AR217" s="300"/>
      <c r="AS217" s="345"/>
      <c r="AT217" s="345"/>
      <c r="AU217" s="300"/>
      <c r="AV217" s="286"/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368"/>
      <c r="B218" s="444"/>
      <c r="C218" s="195"/>
      <c r="D218" s="195"/>
      <c r="E218" s="199"/>
      <c r="F218" s="199"/>
      <c r="G218" s="195"/>
      <c r="H218" s="371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/>
      <c r="AO218" s="258"/>
      <c r="AP218" s="346"/>
      <c r="AQ218" s="300"/>
      <c r="AR218" s="300"/>
      <c r="AS218" s="345"/>
      <c r="AT218" s="345"/>
      <c r="AU218" s="300"/>
      <c r="AV218" s="286"/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368"/>
      <c r="B219" s="444"/>
      <c r="C219" s="195"/>
      <c r="D219" s="195"/>
      <c r="E219" s="199"/>
      <c r="F219" s="199"/>
      <c r="G219" s="195"/>
      <c r="H219" s="371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/>
      <c r="AO219" s="258"/>
      <c r="AP219" s="346"/>
      <c r="AQ219" s="300"/>
      <c r="AR219" s="300"/>
      <c r="AS219" s="345"/>
      <c r="AT219" s="345"/>
      <c r="AU219" s="300"/>
      <c r="AV219" s="286"/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368"/>
      <c r="B220" s="444"/>
      <c r="C220" s="195"/>
      <c r="D220" s="195"/>
      <c r="E220" s="199"/>
      <c r="F220" s="199"/>
      <c r="G220" s="195"/>
      <c r="H220" s="371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/>
      <c r="AO220" s="258"/>
      <c r="AP220" s="346"/>
      <c r="AQ220" s="300"/>
      <c r="AR220" s="300"/>
      <c r="AS220" s="345"/>
      <c r="AT220" s="345"/>
      <c r="AU220" s="300"/>
      <c r="AV220" s="286"/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368"/>
      <c r="B221" s="444"/>
      <c r="C221" s="195"/>
      <c r="D221" s="195"/>
      <c r="E221" s="199"/>
      <c r="F221" s="199"/>
      <c r="G221" s="195"/>
      <c r="H221" s="371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/>
      <c r="AO221" s="258"/>
      <c r="AP221" s="346"/>
      <c r="AQ221" s="300"/>
      <c r="AR221" s="300"/>
      <c r="AS221" s="345"/>
      <c r="AT221" s="345"/>
      <c r="AU221" s="300"/>
      <c r="AV221" s="286"/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368"/>
      <c r="B222" s="444"/>
      <c r="C222" s="195"/>
      <c r="D222" s="195"/>
      <c r="E222" s="199"/>
      <c r="F222" s="199"/>
      <c r="G222" s="195"/>
      <c r="H222" s="371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/>
      <c r="AO222" s="258"/>
      <c r="AP222" s="346"/>
      <c r="AQ222" s="300"/>
      <c r="AR222" s="300"/>
      <c r="AS222" s="345"/>
      <c r="AT222" s="345"/>
      <c r="AU222" s="300"/>
      <c r="AV222" s="286"/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368"/>
      <c r="B223" s="444"/>
      <c r="C223" s="195"/>
      <c r="D223" s="195"/>
      <c r="E223" s="199"/>
      <c r="F223" s="199"/>
      <c r="G223" s="195"/>
      <c r="H223" s="371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/>
      <c r="AO223" s="258"/>
      <c r="AP223" s="346"/>
      <c r="AQ223" s="300"/>
      <c r="AR223" s="300"/>
      <c r="AS223" s="345"/>
      <c r="AT223" s="345"/>
      <c r="AU223" s="300"/>
      <c r="AV223" s="286"/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368"/>
      <c r="B224" s="444"/>
      <c r="C224" s="195"/>
      <c r="D224" s="195"/>
      <c r="E224" s="199"/>
      <c r="F224" s="199"/>
      <c r="G224" s="195"/>
      <c r="H224" s="371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/>
      <c r="AO224" s="258"/>
      <c r="AP224" s="346"/>
      <c r="AQ224" s="300"/>
      <c r="AR224" s="300"/>
      <c r="AS224" s="345"/>
      <c r="AT224" s="345"/>
      <c r="AU224" s="300"/>
      <c r="AV224" s="286"/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368"/>
      <c r="B225" s="444"/>
      <c r="C225" s="195"/>
      <c r="D225" s="195"/>
      <c r="E225" s="199"/>
      <c r="F225" s="199"/>
      <c r="G225" s="195"/>
      <c r="H225" s="371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/>
      <c r="AO225" s="258"/>
      <c r="AP225" s="346"/>
      <c r="AQ225" s="300"/>
      <c r="AR225" s="300"/>
      <c r="AS225" s="345"/>
      <c r="AT225" s="345"/>
      <c r="AU225" s="300"/>
      <c r="AV225" s="286"/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368"/>
      <c r="B226" s="444"/>
      <c r="C226" s="195"/>
      <c r="D226" s="195"/>
      <c r="E226" s="199"/>
      <c r="F226" s="199"/>
      <c r="G226" s="195"/>
      <c r="H226" s="371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/>
      <c r="AO226" s="258"/>
      <c r="AP226" s="346"/>
      <c r="AQ226" s="300"/>
      <c r="AR226" s="300"/>
      <c r="AS226" s="345"/>
      <c r="AT226" s="345"/>
      <c r="AU226" s="300"/>
      <c r="AV226" s="286"/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368"/>
      <c r="B227" s="444"/>
      <c r="C227" s="195"/>
      <c r="D227" s="195"/>
      <c r="E227" s="199"/>
      <c r="F227" s="199"/>
      <c r="G227" s="195"/>
      <c r="H227" s="371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/>
      <c r="AO227" s="258"/>
      <c r="AP227" s="346"/>
      <c r="AQ227" s="300"/>
      <c r="AR227" s="300"/>
      <c r="AS227" s="345"/>
      <c r="AT227" s="345"/>
      <c r="AU227" s="300"/>
      <c r="AV227" s="286"/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368"/>
      <c r="B228" s="444"/>
      <c r="C228" s="195"/>
      <c r="D228" s="195"/>
      <c r="E228" s="199"/>
      <c r="F228" s="199"/>
      <c r="G228" s="195"/>
      <c r="H228" s="371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/>
      <c r="AO228" s="258"/>
      <c r="AP228" s="346"/>
      <c r="AQ228" s="300"/>
      <c r="AR228" s="300"/>
      <c r="AS228" s="345"/>
      <c r="AT228" s="345"/>
      <c r="AU228" s="300"/>
      <c r="AV228" s="286"/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368"/>
      <c r="B229" s="444"/>
      <c r="C229" s="195"/>
      <c r="D229" s="195"/>
      <c r="E229" s="199"/>
      <c r="F229" s="199"/>
      <c r="G229" s="195"/>
      <c r="H229" s="371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/>
      <c r="AO229" s="258"/>
      <c r="AP229" s="346"/>
      <c r="AQ229" s="300"/>
      <c r="AR229" s="300"/>
      <c r="AS229" s="345"/>
      <c r="AT229" s="345"/>
      <c r="AU229" s="300"/>
      <c r="AV229" s="286"/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368"/>
      <c r="B230" s="444"/>
      <c r="C230" s="195"/>
      <c r="D230" s="195"/>
      <c r="E230" s="199"/>
      <c r="F230" s="199"/>
      <c r="G230" s="195"/>
      <c r="H230" s="371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/>
      <c r="AO230" s="258"/>
      <c r="AP230" s="346"/>
      <c r="AQ230" s="300"/>
      <c r="AR230" s="300"/>
      <c r="AS230" s="345"/>
      <c r="AT230" s="345"/>
      <c r="AU230" s="300"/>
      <c r="AV230" s="286"/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368"/>
      <c r="B231" s="444"/>
      <c r="C231" s="195"/>
      <c r="D231" s="195"/>
      <c r="E231" s="199"/>
      <c r="F231" s="199"/>
      <c r="G231" s="195"/>
      <c r="H231" s="371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/>
      <c r="AO231" s="258"/>
      <c r="AP231" s="346"/>
      <c r="AQ231" s="300"/>
      <c r="AR231" s="300"/>
      <c r="AS231" s="345"/>
      <c r="AT231" s="345"/>
      <c r="AU231" s="300"/>
      <c r="AV231" s="286"/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368"/>
      <c r="B232" s="444"/>
      <c r="C232" s="195"/>
      <c r="D232" s="195"/>
      <c r="E232" s="199"/>
      <c r="F232" s="199"/>
      <c r="G232" s="195"/>
      <c r="H232" s="371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/>
      <c r="AO232" s="258"/>
      <c r="AP232" s="346"/>
      <c r="AQ232" s="300"/>
      <c r="AR232" s="300"/>
      <c r="AS232" s="345"/>
      <c r="AT232" s="345"/>
      <c r="AU232" s="300"/>
      <c r="AV232" s="286"/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368"/>
      <c r="B233" s="444"/>
      <c r="C233" s="195"/>
      <c r="D233" s="195"/>
      <c r="E233" s="199"/>
      <c r="F233" s="199"/>
      <c r="G233" s="195"/>
      <c r="H233" s="371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/>
      <c r="AO233" s="258"/>
      <c r="AP233" s="346"/>
      <c r="AQ233" s="300"/>
      <c r="AR233" s="300"/>
      <c r="AS233" s="345"/>
      <c r="AT233" s="345"/>
      <c r="AU233" s="300"/>
      <c r="AV233" s="286"/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368"/>
      <c r="B234" s="444"/>
      <c r="C234" s="195"/>
      <c r="D234" s="195"/>
      <c r="E234" s="199"/>
      <c r="F234" s="199"/>
      <c r="G234" s="195"/>
      <c r="H234" s="371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/>
      <c r="AO234" s="258"/>
      <c r="AP234" s="346"/>
      <c r="AQ234" s="300"/>
      <c r="AR234" s="300"/>
      <c r="AS234" s="345"/>
      <c r="AT234" s="345"/>
      <c r="AU234" s="300"/>
      <c r="AV234" s="286"/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368"/>
      <c r="B235" s="444"/>
      <c r="C235" s="195"/>
      <c r="D235" s="195"/>
      <c r="E235" s="199"/>
      <c r="F235" s="199"/>
      <c r="G235" s="195"/>
      <c r="H235" s="371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/>
      <c r="AO235" s="258"/>
      <c r="AP235" s="346"/>
      <c r="AQ235" s="300"/>
      <c r="AR235" s="300"/>
      <c r="AS235" s="345"/>
      <c r="AT235" s="345"/>
      <c r="AU235" s="300"/>
      <c r="AV235" s="286"/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368"/>
      <c r="B236" s="444"/>
      <c r="C236" s="195"/>
      <c r="D236" s="195"/>
      <c r="E236" s="199"/>
      <c r="F236" s="199"/>
      <c r="G236" s="195"/>
      <c r="H236" s="371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/>
      <c r="AO236" s="258"/>
      <c r="AP236" s="346"/>
      <c r="AQ236" s="300"/>
      <c r="AR236" s="300"/>
      <c r="AS236" s="345"/>
      <c r="AT236" s="345"/>
      <c r="AU236" s="300"/>
      <c r="AV236" s="286"/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368"/>
      <c r="B237" s="444"/>
      <c r="C237" s="195"/>
      <c r="D237" s="195"/>
      <c r="E237" s="199"/>
      <c r="F237" s="199"/>
      <c r="G237" s="195"/>
      <c r="H237" s="371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/>
      <c r="AO237" s="258"/>
      <c r="AP237" s="346"/>
      <c r="AQ237" s="300"/>
      <c r="AR237" s="300"/>
      <c r="AS237" s="345"/>
      <c r="AT237" s="345"/>
      <c r="AU237" s="300"/>
      <c r="AV237" s="286"/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368"/>
      <c r="B238" s="444"/>
      <c r="C238" s="195"/>
      <c r="D238" s="195"/>
      <c r="E238" s="199"/>
      <c r="F238" s="199"/>
      <c r="G238" s="195"/>
      <c r="H238" s="371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/>
      <c r="AO238" s="258"/>
      <c r="AP238" s="346"/>
      <c r="AQ238" s="300"/>
      <c r="AR238" s="300"/>
      <c r="AS238" s="345"/>
      <c r="AT238" s="345"/>
      <c r="AU238" s="300"/>
      <c r="AV238" s="286"/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368"/>
      <c r="B239" s="444"/>
      <c r="C239" s="195"/>
      <c r="D239" s="195"/>
      <c r="E239" s="199"/>
      <c r="F239" s="199"/>
      <c r="G239" s="195"/>
      <c r="H239" s="371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/>
      <c r="AO239" s="258"/>
      <c r="AP239" s="346"/>
      <c r="AQ239" s="300"/>
      <c r="AR239" s="300"/>
      <c r="AS239" s="345"/>
      <c r="AT239" s="345"/>
      <c r="AU239" s="300"/>
      <c r="AV239" s="286"/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368"/>
      <c r="B240" s="444"/>
      <c r="C240" s="195"/>
      <c r="D240" s="195"/>
      <c r="E240" s="199"/>
      <c r="F240" s="199"/>
      <c r="G240" s="195"/>
      <c r="H240" s="371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/>
      <c r="AO240" s="258"/>
      <c r="AP240" s="346"/>
      <c r="AQ240" s="300"/>
      <c r="AR240" s="300"/>
      <c r="AS240" s="345"/>
      <c r="AT240" s="345"/>
      <c r="AU240" s="300"/>
      <c r="AV240" s="286"/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368"/>
      <c r="B241" s="444"/>
      <c r="C241" s="195"/>
      <c r="D241" s="195"/>
      <c r="E241" s="199"/>
      <c r="F241" s="199"/>
      <c r="G241" s="195"/>
      <c r="H241" s="371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/>
      <c r="AO241" s="258"/>
      <c r="AP241" s="346"/>
      <c r="AQ241" s="300"/>
      <c r="AR241" s="300"/>
      <c r="AS241" s="345"/>
      <c r="AT241" s="345"/>
      <c r="AU241" s="300"/>
      <c r="AV241" s="286"/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/>
      <c r="AO242" s="258"/>
      <c r="AP242" s="346"/>
      <c r="AQ242" s="300"/>
      <c r="AR242" s="300"/>
      <c r="AS242" s="345"/>
      <c r="AT242" s="345"/>
      <c r="AU242" s="300"/>
      <c r="AV242" s="286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/>
      <c r="AO243" s="258"/>
      <c r="AP243" s="346"/>
      <c r="AQ243" s="300"/>
      <c r="AR243" s="300"/>
      <c r="AS243" s="345"/>
      <c r="AT243" s="345"/>
      <c r="AU243" s="300"/>
      <c r="AV243" s="286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/>
      <c r="AO244" s="258"/>
      <c r="AP244" s="346"/>
      <c r="AQ244" s="300"/>
      <c r="AR244" s="300"/>
      <c r="AS244" s="345"/>
      <c r="AT244" s="345"/>
      <c r="AU244" s="300"/>
      <c r="AV244" s="286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/>
      <c r="AO245" s="258"/>
      <c r="AP245" s="346"/>
      <c r="AQ245" s="300"/>
      <c r="AR245" s="300"/>
      <c r="AS245" s="345"/>
      <c r="AT245" s="345"/>
      <c r="AU245" s="300"/>
      <c r="AV245" s="286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/>
      <c r="AO246" s="258"/>
      <c r="AP246" s="346"/>
      <c r="AQ246" s="300"/>
      <c r="AR246" s="300"/>
      <c r="AS246" s="345"/>
      <c r="AT246" s="345"/>
      <c r="AU246" s="300"/>
      <c r="AV246" s="286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/>
      <c r="AO247" s="258"/>
      <c r="AP247" s="346"/>
      <c r="AQ247" s="300"/>
      <c r="AR247" s="300"/>
      <c r="AS247" s="345"/>
      <c r="AT247" s="345"/>
      <c r="AU247" s="300"/>
      <c r="AV247" s="286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/>
      <c r="AO248" s="258"/>
      <c r="AP248" s="346"/>
      <c r="AQ248" s="300"/>
      <c r="AR248" s="300"/>
      <c r="AS248" s="345"/>
      <c r="AT248" s="345"/>
      <c r="AU248" s="300"/>
      <c r="AV248" s="286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/>
      <c r="AO249" s="258"/>
      <c r="AP249" s="346"/>
      <c r="AQ249" s="300"/>
      <c r="AR249" s="300"/>
      <c r="AS249" s="345"/>
      <c r="AT249" s="345"/>
      <c r="AU249" s="300"/>
      <c r="AV249" s="286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/>
      <c r="AO250" s="258"/>
      <c r="AP250" s="346"/>
      <c r="AQ250" s="300"/>
      <c r="AR250" s="300"/>
      <c r="AS250" s="345"/>
      <c r="AT250" s="345"/>
      <c r="AU250" s="300"/>
      <c r="AV250" s="286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/>
      <c r="AO251" s="258"/>
      <c r="AP251" s="346"/>
      <c r="AQ251" s="300"/>
      <c r="AR251" s="300"/>
      <c r="AS251" s="345"/>
      <c r="AT251" s="345"/>
      <c r="AU251" s="300"/>
      <c r="AV251" s="286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/>
      <c r="AO252" s="258"/>
      <c r="AP252" s="346"/>
      <c r="AQ252" s="300"/>
      <c r="AR252" s="300"/>
      <c r="AS252" s="345"/>
      <c r="AT252" s="345"/>
      <c r="AU252" s="300"/>
      <c r="AV252" s="286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/>
      <c r="AO253" s="258"/>
      <c r="AP253" s="346"/>
      <c r="AQ253" s="300"/>
      <c r="AR253" s="300"/>
      <c r="AS253" s="345"/>
      <c r="AT253" s="345"/>
      <c r="AU253" s="300"/>
      <c r="AV253" s="286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/>
      <c r="AO254" s="258"/>
      <c r="AP254" s="346"/>
      <c r="AQ254" s="300"/>
      <c r="AR254" s="300"/>
      <c r="AS254" s="345"/>
      <c r="AT254" s="345"/>
      <c r="AU254" s="300"/>
      <c r="AV254" s="286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/>
      <c r="AO255" s="258"/>
      <c r="AP255" s="346"/>
      <c r="AQ255" s="300"/>
      <c r="AR255" s="300"/>
      <c r="AS255" s="345"/>
      <c r="AT255" s="345"/>
      <c r="AU255" s="300"/>
      <c r="AV255" s="286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/>
      <c r="AO256" s="258"/>
      <c r="AP256" s="346"/>
      <c r="AQ256" s="300"/>
      <c r="AR256" s="300"/>
      <c r="AS256" s="345"/>
      <c r="AT256" s="345"/>
      <c r="AU256" s="300"/>
      <c r="AV256" s="286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/>
      <c r="AO257" s="258"/>
      <c r="AP257" s="346"/>
      <c r="AQ257" s="300"/>
      <c r="AR257" s="300"/>
      <c r="AS257" s="345"/>
      <c r="AT257" s="345"/>
      <c r="AU257" s="300"/>
      <c r="AV257" s="286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/>
      <c r="AO258" s="258"/>
      <c r="AP258" s="346"/>
      <c r="AQ258" s="300"/>
      <c r="AR258" s="300"/>
      <c r="AS258" s="345"/>
      <c r="AT258" s="345"/>
      <c r="AU258" s="300"/>
      <c r="AV258" s="286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/>
      <c r="AO259" s="258"/>
      <c r="AP259" s="346"/>
      <c r="AQ259" s="300"/>
      <c r="AR259" s="300"/>
      <c r="AS259" s="345"/>
      <c r="AT259" s="345"/>
      <c r="AU259" s="300"/>
      <c r="AV259" s="286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/>
      <c r="AO260" s="258"/>
      <c r="AP260" s="346"/>
      <c r="AQ260" s="300"/>
      <c r="AR260" s="300"/>
      <c r="AS260" s="345"/>
      <c r="AT260" s="345"/>
      <c r="AU260" s="300"/>
      <c r="AV260" s="286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/>
      <c r="AO261" s="258"/>
      <c r="AP261" s="346"/>
      <c r="AQ261" s="300"/>
      <c r="AR261" s="300"/>
      <c r="AS261" s="345"/>
      <c r="AT261" s="345"/>
      <c r="AU261" s="300"/>
      <c r="AV261" s="286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/>
      <c r="AO262" s="258"/>
      <c r="AP262" s="346"/>
      <c r="AQ262" s="300"/>
      <c r="AR262" s="300"/>
      <c r="AS262" s="345"/>
      <c r="AT262" s="345"/>
      <c r="AU262" s="300"/>
      <c r="AV262" s="286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/>
      <c r="AO263" s="258"/>
      <c r="AP263" s="346"/>
      <c r="AQ263" s="300"/>
      <c r="AR263" s="300"/>
      <c r="AS263" s="345"/>
      <c r="AT263" s="345"/>
      <c r="AU263" s="300"/>
      <c r="AV263" s="286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/>
      <c r="AO264" s="258"/>
      <c r="AP264" s="346"/>
      <c r="AQ264" s="300"/>
      <c r="AR264" s="300"/>
      <c r="AS264" s="345"/>
      <c r="AT264" s="345"/>
      <c r="AU264" s="300"/>
      <c r="AV264" s="286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/>
      <c r="AO265" s="258"/>
      <c r="AP265" s="346"/>
      <c r="AQ265" s="300"/>
      <c r="AR265" s="300"/>
      <c r="AS265" s="345"/>
      <c r="AT265" s="345"/>
      <c r="AU265" s="300"/>
      <c r="AV265" s="286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/>
      <c r="AO266" s="258"/>
      <c r="AP266" s="346"/>
      <c r="AQ266" s="300"/>
      <c r="AR266" s="300"/>
      <c r="AS266" s="345"/>
      <c r="AT266" s="345"/>
      <c r="AU266" s="300"/>
      <c r="AV266" s="286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/>
      <c r="AO267" s="258"/>
      <c r="AP267" s="346"/>
      <c r="AQ267" s="300"/>
      <c r="AR267" s="300"/>
      <c r="AS267" s="345"/>
      <c r="AT267" s="345"/>
      <c r="AU267" s="300"/>
      <c r="AV267" s="286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/>
      <c r="AO268" s="258"/>
      <c r="AP268" s="346"/>
      <c r="AQ268" s="300"/>
      <c r="AR268" s="300"/>
      <c r="AS268" s="345"/>
      <c r="AT268" s="345"/>
      <c r="AU268" s="300"/>
      <c r="AV268" s="286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/>
      <c r="AO269" s="258"/>
      <c r="AP269" s="346"/>
      <c r="AQ269" s="300"/>
      <c r="AR269" s="300"/>
      <c r="AS269" s="345"/>
      <c r="AT269" s="345"/>
      <c r="AU269" s="300"/>
      <c r="AV269" s="286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/>
      <c r="AO270" s="258"/>
      <c r="AP270" s="346"/>
      <c r="AQ270" s="300"/>
      <c r="AR270" s="300"/>
      <c r="AS270" s="345"/>
      <c r="AT270" s="345"/>
      <c r="AU270" s="300"/>
      <c r="AV270" s="286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/>
      <c r="AO271" s="258"/>
      <c r="AP271" s="346"/>
      <c r="AQ271" s="300"/>
      <c r="AR271" s="300"/>
      <c r="AS271" s="345"/>
      <c r="AT271" s="345"/>
      <c r="AU271" s="300"/>
      <c r="AV271" s="286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/>
      <c r="AO272" s="258"/>
      <c r="AP272" s="346"/>
      <c r="AQ272" s="300"/>
      <c r="AR272" s="300"/>
      <c r="AS272" s="345"/>
      <c r="AT272" s="345"/>
      <c r="AU272" s="300"/>
      <c r="AV272" s="286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/>
      <c r="AO273" s="258"/>
      <c r="AP273" s="346"/>
      <c r="AQ273" s="300"/>
      <c r="AR273" s="300"/>
      <c r="AS273" s="345"/>
      <c r="AT273" s="345"/>
      <c r="AU273" s="300"/>
      <c r="AV273" s="286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/>
      <c r="AO274" s="258"/>
      <c r="AP274" s="346"/>
      <c r="AQ274" s="300"/>
      <c r="AR274" s="300"/>
      <c r="AS274" s="345"/>
      <c r="AT274" s="345"/>
      <c r="AU274" s="300"/>
      <c r="AV274" s="286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/>
      <c r="AO275" s="258"/>
      <c r="AP275" s="346"/>
      <c r="AQ275" s="300"/>
      <c r="AR275" s="300"/>
      <c r="AS275" s="345"/>
      <c r="AT275" s="345"/>
      <c r="AU275" s="300"/>
      <c r="AV275" s="286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/>
      <c r="AO276" s="258"/>
      <c r="AP276" s="346"/>
      <c r="AQ276" s="300"/>
      <c r="AR276" s="300"/>
      <c r="AS276" s="345"/>
      <c r="AT276" s="345"/>
      <c r="AU276" s="300"/>
      <c r="AV276" s="286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/>
      <c r="AO277" s="258"/>
      <c r="AP277" s="346"/>
      <c r="AQ277" s="300"/>
      <c r="AR277" s="300"/>
      <c r="AS277" s="345"/>
      <c r="AT277" s="345"/>
      <c r="AU277" s="300"/>
      <c r="AV277" s="286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/>
      <c r="AO278" s="258"/>
      <c r="AP278" s="346"/>
      <c r="AQ278" s="300"/>
      <c r="AR278" s="300"/>
      <c r="AS278" s="345"/>
      <c r="AT278" s="345"/>
      <c r="AU278" s="300"/>
      <c r="AV278" s="286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/>
      <c r="AO279" s="258"/>
      <c r="AP279" s="346"/>
      <c r="AQ279" s="300"/>
      <c r="AR279" s="300"/>
      <c r="AS279" s="345"/>
      <c r="AT279" s="345"/>
      <c r="AU279" s="300"/>
      <c r="AV279" s="286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/>
      <c r="AO280" s="258"/>
      <c r="AP280" s="346"/>
      <c r="AQ280" s="300"/>
      <c r="AR280" s="300"/>
      <c r="AS280" s="345"/>
      <c r="AT280" s="345"/>
      <c r="AU280" s="300"/>
      <c r="AV280" s="286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/>
      <c r="AO281" s="258"/>
      <c r="AP281" s="346"/>
      <c r="AQ281" s="300"/>
      <c r="AR281" s="300"/>
      <c r="AS281" s="345"/>
      <c r="AT281" s="345"/>
      <c r="AU281" s="300"/>
      <c r="AV281" s="286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/>
      <c r="AO282" s="258"/>
      <c r="AP282" s="346"/>
      <c r="AQ282" s="300"/>
      <c r="AR282" s="300"/>
      <c r="AS282" s="345"/>
      <c r="AT282" s="345"/>
      <c r="AU282" s="300"/>
      <c r="AV282" s="286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/>
      <c r="AO283" s="258"/>
      <c r="AP283" s="346"/>
      <c r="AQ283" s="300"/>
      <c r="AR283" s="300"/>
      <c r="AS283" s="345"/>
      <c r="AT283" s="345"/>
      <c r="AU283" s="300"/>
      <c r="AV283" s="286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/>
      <c r="AO284" s="258"/>
      <c r="AP284" s="346"/>
      <c r="AQ284" s="300"/>
      <c r="AR284" s="300"/>
      <c r="AS284" s="345"/>
      <c r="AT284" s="345"/>
      <c r="AU284" s="300"/>
      <c r="AV284" s="286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/>
      <c r="AO285" s="258"/>
      <c r="AP285" s="346"/>
      <c r="AQ285" s="300"/>
      <c r="AR285" s="300"/>
      <c r="AS285" s="345"/>
      <c r="AT285" s="345"/>
      <c r="AU285" s="300"/>
      <c r="AV285" s="286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/>
      <c r="AO286" s="258"/>
      <c r="AP286" s="346"/>
      <c r="AQ286" s="300"/>
      <c r="AR286" s="300"/>
      <c r="AS286" s="345"/>
      <c r="AT286" s="345"/>
      <c r="AU286" s="300"/>
      <c r="AV286" s="286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/>
      <c r="AO287" s="258"/>
      <c r="AP287" s="346"/>
      <c r="AQ287" s="300"/>
      <c r="AR287" s="300"/>
      <c r="AS287" s="345"/>
      <c r="AT287" s="345"/>
      <c r="AU287" s="300"/>
      <c r="AV287" s="286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/>
      <c r="AO288" s="258"/>
      <c r="AP288" s="346"/>
      <c r="AQ288" s="300"/>
      <c r="AR288" s="300"/>
      <c r="AS288" s="345"/>
      <c r="AT288" s="345"/>
      <c r="AU288" s="300"/>
      <c r="AV288" s="286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/>
      <c r="AO289" s="258"/>
      <c r="AP289" s="346"/>
      <c r="AQ289" s="300"/>
      <c r="AR289" s="300"/>
      <c r="AS289" s="345"/>
      <c r="AT289" s="345"/>
      <c r="AU289" s="300"/>
      <c r="AV289" s="286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/>
      <c r="AO290" s="258"/>
      <c r="AP290" s="346"/>
      <c r="AQ290" s="300"/>
      <c r="AR290" s="300"/>
      <c r="AS290" s="345"/>
      <c r="AT290" s="345"/>
      <c r="AU290" s="300"/>
      <c r="AV290" s="286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/>
      <c r="AO291" s="258"/>
      <c r="AP291" s="346"/>
      <c r="AQ291" s="300"/>
      <c r="AR291" s="300"/>
      <c r="AS291" s="345"/>
      <c r="AT291" s="345"/>
      <c r="AU291" s="300"/>
      <c r="AV291" s="286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/>
      <c r="AO292" s="258"/>
      <c r="AP292" s="346"/>
      <c r="AQ292" s="300"/>
      <c r="AR292" s="300"/>
      <c r="AS292" s="345"/>
      <c r="AT292" s="345"/>
      <c r="AU292" s="300"/>
      <c r="AV292" s="286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/>
      <c r="AO293" s="258"/>
      <c r="AP293" s="346"/>
      <c r="AQ293" s="300"/>
      <c r="AR293" s="300"/>
      <c r="AS293" s="345"/>
      <c r="AT293" s="345"/>
      <c r="AU293" s="300"/>
      <c r="AV293" s="286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/>
      <c r="AO294" s="258"/>
      <c r="AP294" s="346"/>
      <c r="AQ294" s="300"/>
      <c r="AR294" s="300"/>
      <c r="AS294" s="345"/>
      <c r="AT294" s="345"/>
      <c r="AU294" s="300"/>
      <c r="AV294" s="286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/>
      <c r="AO295" s="258"/>
      <c r="AP295" s="346"/>
      <c r="AQ295" s="300"/>
      <c r="AR295" s="300"/>
      <c r="AS295" s="345"/>
      <c r="AT295" s="345"/>
      <c r="AU295" s="300"/>
      <c r="AV295" s="286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/>
      <c r="AO296" s="258"/>
      <c r="AP296" s="346"/>
      <c r="AQ296" s="300"/>
      <c r="AR296" s="300"/>
      <c r="AS296" s="345"/>
      <c r="AT296" s="345"/>
      <c r="AU296" s="300"/>
      <c r="AV296" s="286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/>
      <c r="AO297" s="258"/>
      <c r="AP297" s="346"/>
      <c r="AQ297" s="300"/>
      <c r="AR297" s="300"/>
      <c r="AS297" s="345"/>
      <c r="AT297" s="345"/>
      <c r="AU297" s="300"/>
      <c r="AV297" s="286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/>
      <c r="AO298" s="258"/>
      <c r="AP298" s="346"/>
      <c r="AQ298" s="300"/>
      <c r="AR298" s="300"/>
      <c r="AS298" s="345"/>
      <c r="AT298" s="345"/>
      <c r="AU298" s="300"/>
      <c r="AV298" s="286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/>
      <c r="AO299" s="258"/>
      <c r="AP299" s="346"/>
      <c r="AQ299" s="300"/>
      <c r="AR299" s="300"/>
      <c r="AS299" s="345"/>
      <c r="AT299" s="345"/>
      <c r="AU299" s="300"/>
      <c r="AV299" s="286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/>
      <c r="AO300" s="258"/>
      <c r="AP300" s="346"/>
      <c r="AQ300" s="300"/>
      <c r="AR300" s="300"/>
      <c r="AS300" s="345"/>
      <c r="AT300" s="345"/>
      <c r="AU300" s="300"/>
      <c r="AV300" s="286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/>
      <c r="AO301" s="258"/>
      <c r="AP301" s="346"/>
      <c r="AQ301" s="300"/>
      <c r="AR301" s="300"/>
      <c r="AS301" s="345"/>
      <c r="AT301" s="345"/>
      <c r="AU301" s="300"/>
      <c r="AV301" s="286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/>
      <c r="AO302" s="258"/>
      <c r="AP302" s="346"/>
      <c r="AQ302" s="300"/>
      <c r="AR302" s="300"/>
      <c r="AS302" s="345"/>
      <c r="AT302" s="345"/>
      <c r="AU302" s="300"/>
      <c r="AV302" s="286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/>
      <c r="AO303" s="258"/>
      <c r="AP303" s="346"/>
      <c r="AQ303" s="300"/>
      <c r="AR303" s="300"/>
      <c r="AS303" s="345"/>
      <c r="AT303" s="345"/>
      <c r="AU303" s="300"/>
      <c r="AV303" s="286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/>
      <c r="AO304" s="258"/>
      <c r="AP304" s="346"/>
      <c r="AQ304" s="300"/>
      <c r="AR304" s="300"/>
      <c r="AS304" s="345"/>
      <c r="AT304" s="345"/>
      <c r="AU304" s="300"/>
      <c r="AV304" s="286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/>
      <c r="AO305" s="258"/>
      <c r="AP305" s="346"/>
      <c r="AQ305" s="300"/>
      <c r="AR305" s="300"/>
      <c r="AS305" s="345"/>
      <c r="AT305" s="345"/>
      <c r="AU305" s="300"/>
      <c r="AV305" s="286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/>
      <c r="AO306" s="258"/>
      <c r="AP306" s="346"/>
      <c r="AQ306" s="300"/>
      <c r="AR306" s="300"/>
      <c r="AS306" s="345"/>
      <c r="AT306" s="345"/>
      <c r="AU306" s="300"/>
      <c r="AV306" s="286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/>
      <c r="AO307" s="258"/>
      <c r="AP307" s="346"/>
      <c r="AQ307" s="300"/>
      <c r="AR307" s="300"/>
      <c r="AS307" s="345"/>
      <c r="AT307" s="345"/>
      <c r="AU307" s="300"/>
      <c r="AV307" s="286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/>
      <c r="AO308" s="258"/>
      <c r="AP308" s="346"/>
      <c r="AQ308" s="300"/>
      <c r="AR308" s="300"/>
      <c r="AS308" s="345"/>
      <c r="AT308" s="345"/>
      <c r="AU308" s="300"/>
      <c r="AV308" s="286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/>
      <c r="AO309" s="258"/>
      <c r="AP309" s="346"/>
      <c r="AQ309" s="300"/>
      <c r="AR309" s="300"/>
      <c r="AS309" s="345"/>
      <c r="AT309" s="345"/>
      <c r="AU309" s="300"/>
      <c r="AV309" s="286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/>
      <c r="AO310" s="258"/>
      <c r="AP310" s="346"/>
      <c r="AQ310" s="300"/>
      <c r="AR310" s="300"/>
      <c r="AS310" s="345"/>
      <c r="AT310" s="345"/>
      <c r="AU310" s="300"/>
      <c r="AV310" s="286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/>
      <c r="AO311" s="258"/>
      <c r="AP311" s="346"/>
      <c r="AQ311" s="300"/>
      <c r="AR311" s="300"/>
      <c r="AS311" s="345"/>
      <c r="AT311" s="345"/>
      <c r="AU311" s="300"/>
      <c r="AV311" s="286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/>
      <c r="AO312" s="258"/>
      <c r="AP312" s="346"/>
      <c r="AQ312" s="300"/>
      <c r="AR312" s="300"/>
      <c r="AS312" s="345"/>
      <c r="AT312" s="345"/>
      <c r="AU312" s="300"/>
      <c r="AV312" s="286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/>
      <c r="AO313" s="258"/>
      <c r="AP313" s="346"/>
      <c r="AQ313" s="300"/>
      <c r="AR313" s="300"/>
      <c r="AS313" s="345"/>
      <c r="AT313" s="345"/>
      <c r="AU313" s="300"/>
      <c r="AV313" s="286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/>
      <c r="AO314" s="258"/>
      <c r="AP314" s="346"/>
      <c r="AQ314" s="300"/>
      <c r="AR314" s="300"/>
      <c r="AS314" s="345"/>
      <c r="AT314" s="345"/>
      <c r="AU314" s="300"/>
      <c r="AV314" s="286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/>
      <c r="AO315" s="258"/>
      <c r="AP315" s="346"/>
      <c r="AQ315" s="300"/>
      <c r="AR315" s="300"/>
      <c r="AS315" s="345"/>
      <c r="AT315" s="345"/>
      <c r="AU315" s="300"/>
      <c r="AV315" s="286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/>
      <c r="AO316" s="258"/>
      <c r="AP316" s="346"/>
      <c r="AQ316" s="300"/>
      <c r="AR316" s="300"/>
      <c r="AS316" s="345"/>
      <c r="AT316" s="345"/>
      <c r="AU316" s="300"/>
      <c r="AV316" s="286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/>
      <c r="AO317" s="258"/>
      <c r="AP317" s="346"/>
      <c r="AQ317" s="300"/>
      <c r="AR317" s="300"/>
      <c r="AS317" s="345"/>
      <c r="AT317" s="345"/>
      <c r="AU317" s="300"/>
      <c r="AV317" s="286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/>
      <c r="AO318" s="258"/>
      <c r="AP318" s="346"/>
      <c r="AQ318" s="300"/>
      <c r="AR318" s="300"/>
      <c r="AS318" s="345"/>
      <c r="AT318" s="345"/>
      <c r="AU318" s="300"/>
      <c r="AV318" s="286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/>
      <c r="AO319" s="258"/>
      <c r="AP319" s="346"/>
      <c r="AQ319" s="300"/>
      <c r="AR319" s="300"/>
      <c r="AS319" s="345"/>
      <c r="AT319" s="345"/>
      <c r="AU319" s="300"/>
      <c r="AV319" s="286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/>
      <c r="AO320" s="258"/>
      <c r="AP320" s="346"/>
      <c r="AQ320" s="300"/>
      <c r="AR320" s="300"/>
      <c r="AS320" s="345"/>
      <c r="AT320" s="345"/>
      <c r="AU320" s="300"/>
      <c r="AV320" s="286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/>
      <c r="AO321" s="258"/>
      <c r="AP321" s="346"/>
      <c r="AQ321" s="300"/>
      <c r="AR321" s="300"/>
      <c r="AS321" s="345"/>
      <c r="AT321" s="345"/>
      <c r="AU321" s="300"/>
      <c r="AV321" s="286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/>
      <c r="AO322" s="258"/>
      <c r="AP322" s="346"/>
      <c r="AQ322" s="300"/>
      <c r="AR322" s="300"/>
      <c r="AS322" s="345"/>
      <c r="AT322" s="345"/>
      <c r="AU322" s="300"/>
      <c r="AV322" s="286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/>
      <c r="AO323" s="258"/>
      <c r="AP323" s="346"/>
      <c r="AQ323" s="300"/>
      <c r="AR323" s="300"/>
      <c r="AS323" s="345"/>
      <c r="AT323" s="345"/>
      <c r="AU323" s="300"/>
      <c r="AV323" s="286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/>
      <c r="AO324" s="258"/>
      <c r="AP324" s="346"/>
      <c r="AQ324" s="300"/>
      <c r="AR324" s="300"/>
      <c r="AS324" s="345"/>
      <c r="AT324" s="345"/>
      <c r="AU324" s="300"/>
      <c r="AV324" s="286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/>
      <c r="AO325" s="258"/>
      <c r="AP325" s="346"/>
      <c r="AQ325" s="300"/>
      <c r="AR325" s="300"/>
      <c r="AS325" s="345"/>
      <c r="AT325" s="345"/>
      <c r="AU325" s="300"/>
      <c r="AV325" s="286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/>
      <c r="AO326" s="258"/>
      <c r="AP326" s="346"/>
      <c r="AQ326" s="300"/>
      <c r="AR326" s="300"/>
      <c r="AS326" s="345"/>
      <c r="AT326" s="345"/>
      <c r="AU326" s="300"/>
      <c r="AV326" s="286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/>
      <c r="AO327" s="258"/>
      <c r="AP327" s="346"/>
      <c r="AQ327" s="300"/>
      <c r="AR327" s="300"/>
      <c r="AS327" s="345"/>
      <c r="AT327" s="345"/>
      <c r="AU327" s="300"/>
      <c r="AV327" s="286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/>
      <c r="AO328" s="258"/>
      <c r="AP328" s="346"/>
      <c r="AQ328" s="300"/>
      <c r="AR328" s="300"/>
      <c r="AS328" s="345"/>
      <c r="AT328" s="345"/>
      <c r="AU328" s="300"/>
      <c r="AV328" s="286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/>
      <c r="AO329" s="258"/>
      <c r="AP329" s="346"/>
      <c r="AQ329" s="300"/>
      <c r="AR329" s="300"/>
      <c r="AS329" s="345"/>
      <c r="AT329" s="345"/>
      <c r="AU329" s="300"/>
      <c r="AV329" s="286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/>
      <c r="AO330" s="258"/>
      <c r="AP330" s="346"/>
      <c r="AQ330" s="300"/>
      <c r="AR330" s="300"/>
      <c r="AS330" s="345"/>
      <c r="AT330" s="345"/>
      <c r="AU330" s="300"/>
      <c r="AV330" s="286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/>
      <c r="AO331" s="258"/>
      <c r="AP331" s="346"/>
      <c r="AQ331" s="300"/>
      <c r="AR331" s="300"/>
      <c r="AS331" s="345"/>
      <c r="AT331" s="345"/>
      <c r="AU331" s="300"/>
      <c r="AV331" s="286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/>
      <c r="AO332" s="258"/>
      <c r="AP332" s="346"/>
      <c r="AQ332" s="300"/>
      <c r="AR332" s="300"/>
      <c r="AS332" s="345"/>
      <c r="AT332" s="345"/>
      <c r="AU332" s="300"/>
      <c r="AV332" s="286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/>
      <c r="AO333" s="258"/>
      <c r="AP333" s="346"/>
      <c r="AQ333" s="300"/>
      <c r="AR333" s="300"/>
      <c r="AS333" s="345"/>
      <c r="AT333" s="345"/>
      <c r="AU333" s="300"/>
      <c r="AV333" s="286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/>
      <c r="AO334" s="258"/>
      <c r="AP334" s="346"/>
      <c r="AQ334" s="300"/>
      <c r="AR334" s="300"/>
      <c r="AS334" s="345"/>
      <c r="AT334" s="345"/>
      <c r="AU334" s="300"/>
      <c r="AV334" s="286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/>
      <c r="AO335" s="258"/>
      <c r="AP335" s="346"/>
      <c r="AQ335" s="300"/>
      <c r="AR335" s="300"/>
      <c r="AS335" s="345"/>
      <c r="AT335" s="345"/>
      <c r="AU335" s="300"/>
      <c r="AV335" s="286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/>
      <c r="AO336" s="258"/>
      <c r="AP336" s="346"/>
      <c r="AQ336" s="300"/>
      <c r="AR336" s="300"/>
      <c r="AS336" s="345"/>
      <c r="AT336" s="345"/>
      <c r="AU336" s="300"/>
      <c r="AV336" s="286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/>
      <c r="AO337" s="258"/>
      <c r="AP337" s="346"/>
      <c r="AQ337" s="300"/>
      <c r="AR337" s="300"/>
      <c r="AS337" s="345"/>
      <c r="AT337" s="345"/>
      <c r="AU337" s="300"/>
      <c r="AV337" s="286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/>
      <c r="AO338" s="258"/>
      <c r="AP338" s="346"/>
      <c r="AQ338" s="300"/>
      <c r="AR338" s="300"/>
      <c r="AS338" s="345"/>
      <c r="AT338" s="345"/>
      <c r="AU338" s="300"/>
      <c r="AV338" s="286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/>
      <c r="AO339" s="258"/>
      <c r="AP339" s="346"/>
      <c r="AQ339" s="300"/>
      <c r="AR339" s="300"/>
      <c r="AS339" s="345"/>
      <c r="AT339" s="345"/>
      <c r="AU339" s="300"/>
      <c r="AV339" s="286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/>
      <c r="AO340" s="258"/>
      <c r="AP340" s="346"/>
      <c r="AQ340" s="300"/>
      <c r="AR340" s="300"/>
      <c r="AS340" s="345"/>
      <c r="AT340" s="345"/>
      <c r="AU340" s="300"/>
      <c r="AV340" s="286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/>
      <c r="AO341" s="258"/>
      <c r="AP341" s="346"/>
      <c r="AQ341" s="300"/>
      <c r="AR341" s="300"/>
      <c r="AS341" s="345"/>
      <c r="AT341" s="345"/>
      <c r="AU341" s="300"/>
      <c r="AV341" s="286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/>
      <c r="AO342" s="258"/>
      <c r="AP342" s="346"/>
      <c r="AQ342" s="300"/>
      <c r="AR342" s="300"/>
      <c r="AS342" s="345"/>
      <c r="AT342" s="345"/>
      <c r="AU342" s="300"/>
      <c r="AV342" s="286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/>
      <c r="AO343" s="258"/>
      <c r="AP343" s="346"/>
      <c r="AQ343" s="300"/>
      <c r="AR343" s="300"/>
      <c r="AS343" s="345"/>
      <c r="AT343" s="345"/>
      <c r="AU343" s="300"/>
      <c r="AV343" s="286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/>
      <c r="AO344" s="258"/>
      <c r="AP344" s="346"/>
      <c r="AQ344" s="300"/>
      <c r="AR344" s="300"/>
      <c r="AS344" s="345"/>
      <c r="AT344" s="345"/>
      <c r="AU344" s="300"/>
      <c r="AV344" s="286"/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/>
      <c r="AO345" s="258"/>
      <c r="AP345" s="346"/>
      <c r="AQ345" s="300"/>
      <c r="AR345" s="300"/>
      <c r="AS345" s="345"/>
      <c r="AT345" s="345"/>
      <c r="AU345" s="300"/>
      <c r="AV345" s="286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/>
      <c r="AO346" s="258"/>
      <c r="AP346" s="346"/>
      <c r="AQ346" s="300"/>
      <c r="AR346" s="300"/>
      <c r="AS346" s="345"/>
      <c r="AT346" s="345"/>
      <c r="AU346" s="300"/>
      <c r="AV346" s="286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/>
      <c r="AO347" s="258"/>
      <c r="AP347" s="346"/>
      <c r="AQ347" s="300"/>
      <c r="AR347" s="300"/>
      <c r="AS347" s="345"/>
      <c r="AT347" s="345"/>
      <c r="AU347" s="300"/>
      <c r="AV347" s="286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/>
      <c r="AO348" s="258"/>
      <c r="AP348" s="346"/>
      <c r="AQ348" s="300"/>
      <c r="AR348" s="300"/>
      <c r="AS348" s="345"/>
      <c r="AT348" s="345"/>
      <c r="AU348" s="300"/>
      <c r="AV348" s="286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/>
      <c r="AO349" s="258"/>
      <c r="AP349" s="346"/>
      <c r="AQ349" s="300"/>
      <c r="AR349" s="300"/>
      <c r="AS349" s="345"/>
      <c r="AT349" s="345"/>
      <c r="AU349" s="300"/>
      <c r="AV349" s="286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/>
      <c r="AO350" s="258"/>
      <c r="AP350" s="346"/>
      <c r="AQ350" s="300"/>
      <c r="AR350" s="300"/>
      <c r="AS350" s="345"/>
      <c r="AT350" s="345"/>
      <c r="AU350" s="300"/>
      <c r="AV350" s="286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/>
      <c r="AO351" s="258"/>
      <c r="AP351" s="346"/>
      <c r="AQ351" s="300"/>
      <c r="AR351" s="300"/>
      <c r="AS351" s="345"/>
      <c r="AT351" s="345"/>
      <c r="AU351" s="300"/>
      <c r="AV351" s="286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/>
      <c r="AO352" s="258"/>
      <c r="AP352" s="346"/>
      <c r="AQ352" s="300"/>
      <c r="AR352" s="300"/>
      <c r="AS352" s="345"/>
      <c r="AT352" s="345"/>
      <c r="AU352" s="300"/>
      <c r="AV352" s="286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/>
      <c r="AO353" s="258"/>
      <c r="AP353" s="346"/>
      <c r="AQ353" s="300"/>
      <c r="AR353" s="300"/>
      <c r="AS353" s="345"/>
      <c r="AT353" s="345"/>
      <c r="AU353" s="300"/>
      <c r="AV353" s="286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/>
      <c r="AO354" s="258"/>
      <c r="AP354" s="346"/>
      <c r="AQ354" s="300"/>
      <c r="AR354" s="300"/>
      <c r="AS354" s="345"/>
      <c r="AT354" s="345"/>
      <c r="AU354" s="300"/>
      <c r="AV354" s="286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/>
      <c r="AO355" s="258"/>
      <c r="AP355" s="346"/>
      <c r="AQ355" s="300"/>
      <c r="AR355" s="300"/>
      <c r="AS355" s="345"/>
      <c r="AT355" s="345"/>
      <c r="AU355" s="300"/>
      <c r="AV355" s="286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/>
      <c r="AO356" s="258"/>
      <c r="AP356" s="346"/>
      <c r="AQ356" s="300"/>
      <c r="AR356" s="300"/>
      <c r="AS356" s="345"/>
      <c r="AT356" s="345"/>
      <c r="AU356" s="300"/>
      <c r="AV356" s="286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/>
      <c r="AO357" s="258"/>
      <c r="AP357" s="346"/>
      <c r="AQ357" s="300"/>
      <c r="AR357" s="300"/>
      <c r="AS357" s="345"/>
      <c r="AT357" s="345"/>
      <c r="AU357" s="300"/>
      <c r="AV357" s="286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/>
      <c r="AO358" s="258"/>
      <c r="AP358" s="346"/>
      <c r="AQ358" s="300"/>
      <c r="AR358" s="300"/>
      <c r="AS358" s="345"/>
      <c r="AT358" s="345"/>
      <c r="AU358" s="300"/>
      <c r="AV358" s="286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/>
      <c r="AO359" s="258"/>
      <c r="AP359" s="346"/>
      <c r="AQ359" s="300"/>
      <c r="AR359" s="300"/>
      <c r="AS359" s="345"/>
      <c r="AT359" s="345"/>
      <c r="AU359" s="300"/>
      <c r="AV359" s="286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/>
      <c r="AO360" s="258"/>
      <c r="AP360" s="346"/>
      <c r="AQ360" s="300"/>
      <c r="AR360" s="300"/>
      <c r="AS360" s="345"/>
      <c r="AT360" s="345"/>
      <c r="AU360" s="300"/>
      <c r="AV360" s="286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/>
      <c r="AO361" s="258"/>
      <c r="AP361" s="346"/>
      <c r="AQ361" s="300"/>
      <c r="AR361" s="300"/>
      <c r="AS361" s="345"/>
      <c r="AT361" s="345"/>
      <c r="AU361" s="300"/>
      <c r="AV361" s="286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/>
      <c r="AO362" s="258"/>
      <c r="AP362" s="346"/>
      <c r="AQ362" s="300"/>
      <c r="AR362" s="300"/>
      <c r="AS362" s="345"/>
      <c r="AT362" s="345"/>
      <c r="AU362" s="300"/>
      <c r="AV362" s="286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281"/>
      <c r="AO363" s="258"/>
      <c r="AP363" s="346"/>
      <c r="AQ363" s="300"/>
      <c r="AR363" s="300"/>
      <c r="AS363" s="345"/>
      <c r="AT363" s="345"/>
      <c r="AU363" s="300"/>
      <c r="AV363" s="286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281"/>
      <c r="AO364" s="258"/>
      <c r="AP364" s="346"/>
      <c r="AQ364" s="300"/>
      <c r="AR364" s="300"/>
      <c r="AS364" s="345"/>
      <c r="AT364" s="345"/>
      <c r="AU364" s="300"/>
      <c r="AV364" s="286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281"/>
      <c r="AO365" s="258"/>
      <c r="AP365" s="346"/>
      <c r="AQ365" s="300"/>
      <c r="AR365" s="300"/>
      <c r="AS365" s="345"/>
      <c r="AT365" s="345"/>
      <c r="AU365" s="300"/>
      <c r="AV365" s="286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281"/>
      <c r="AO366" s="258"/>
      <c r="AP366" s="346"/>
      <c r="AQ366" s="300"/>
      <c r="AR366" s="300"/>
      <c r="AS366" s="345"/>
      <c r="AT366" s="345"/>
      <c r="AU366" s="300"/>
      <c r="AV366" s="286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/>
      <c r="AO367" s="258"/>
      <c r="AP367" s="346"/>
      <c r="AQ367" s="300"/>
      <c r="AR367" s="300"/>
      <c r="AS367" s="345"/>
      <c r="AT367" s="345"/>
      <c r="AU367" s="300"/>
      <c r="AV367" s="286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/>
      <c r="AO368" s="258"/>
      <c r="AP368" s="346"/>
      <c r="AQ368" s="300"/>
      <c r="AR368" s="300"/>
      <c r="AS368" s="345"/>
      <c r="AT368" s="345"/>
      <c r="AU368" s="300"/>
      <c r="AV368" s="286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/>
      <c r="AO369" s="258"/>
      <c r="AP369" s="346"/>
      <c r="AQ369" s="300"/>
      <c r="AR369" s="300"/>
      <c r="AS369" s="345"/>
      <c r="AT369" s="345"/>
      <c r="AU369" s="300"/>
      <c r="AV369" s="286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/>
      <c r="AO370" s="258"/>
      <c r="AP370" s="346"/>
      <c r="AQ370" s="300"/>
      <c r="AR370" s="300"/>
      <c r="AS370" s="345"/>
      <c r="AT370" s="345"/>
      <c r="AU370" s="300"/>
      <c r="AV370" s="286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/>
      <c r="AO371" s="258"/>
      <c r="AP371" s="346"/>
      <c r="AQ371" s="300"/>
      <c r="AR371" s="300"/>
      <c r="AS371" s="345"/>
      <c r="AT371" s="345"/>
      <c r="AU371" s="300"/>
      <c r="AV371" s="286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/>
      <c r="AO372" s="258"/>
      <c r="AP372" s="346"/>
      <c r="AQ372" s="300"/>
      <c r="AR372" s="300"/>
      <c r="AS372" s="345"/>
      <c r="AT372" s="345"/>
      <c r="AU372" s="300"/>
      <c r="AV372" s="286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/>
      <c r="AO373" s="258"/>
      <c r="AP373" s="346"/>
      <c r="AQ373" s="300"/>
      <c r="AR373" s="300"/>
      <c r="AS373" s="345"/>
      <c r="AT373" s="345"/>
      <c r="AU373" s="300"/>
      <c r="AV373" s="286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/>
      <c r="AO374" s="258"/>
      <c r="AP374" s="346"/>
      <c r="AQ374" s="300"/>
      <c r="AR374" s="300"/>
      <c r="AS374" s="345"/>
      <c r="AT374" s="345"/>
      <c r="AU374" s="300"/>
      <c r="AV374" s="286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/>
      <c r="AO375" s="258"/>
      <c r="AP375" s="346"/>
      <c r="AQ375" s="300"/>
      <c r="AR375" s="300"/>
      <c r="AS375" s="345"/>
      <c r="AT375" s="345"/>
      <c r="AU375" s="300"/>
      <c r="AV375" s="286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/>
      <c r="AO376" s="258"/>
      <c r="AP376" s="346"/>
      <c r="AQ376" s="300"/>
      <c r="AR376" s="300"/>
      <c r="AS376" s="345"/>
      <c r="AT376" s="345"/>
      <c r="AU376" s="300"/>
      <c r="AV376" s="286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/>
      <c r="AO377" s="258"/>
      <c r="AP377" s="346"/>
      <c r="AQ377" s="300"/>
      <c r="AR377" s="300"/>
      <c r="AS377" s="345"/>
      <c r="AT377" s="345"/>
      <c r="AU377" s="300"/>
      <c r="AV377" s="286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/>
      <c r="AO378" s="258"/>
      <c r="AP378" s="346"/>
      <c r="AQ378" s="300"/>
      <c r="AR378" s="300"/>
      <c r="AS378" s="345"/>
      <c r="AT378" s="345"/>
      <c r="AU378" s="300"/>
      <c r="AV378" s="286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/>
      <c r="AO379" s="258"/>
      <c r="AP379" s="346"/>
      <c r="AQ379" s="300"/>
      <c r="AR379" s="300"/>
      <c r="AS379" s="345"/>
      <c r="AT379" s="345"/>
      <c r="AU379" s="300"/>
      <c r="AV379" s="286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/>
      <c r="AO380" s="258"/>
      <c r="AP380" s="346"/>
      <c r="AQ380" s="300"/>
      <c r="AR380" s="300"/>
      <c r="AS380" s="345"/>
      <c r="AT380" s="345"/>
      <c r="AU380" s="300"/>
      <c r="AV380" s="286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/>
      <c r="AO381" s="258"/>
      <c r="AP381" s="346"/>
      <c r="AQ381" s="300"/>
      <c r="AR381" s="300"/>
      <c r="AS381" s="345"/>
      <c r="AT381" s="345"/>
      <c r="AU381" s="300"/>
      <c r="AV381" s="286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/>
      <c r="AO382" s="258"/>
      <c r="AP382" s="346"/>
      <c r="AQ382" s="300"/>
      <c r="AR382" s="300"/>
      <c r="AS382" s="345"/>
      <c r="AT382" s="345"/>
      <c r="AU382" s="300"/>
      <c r="AV382" s="286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/>
      <c r="AO383" s="258"/>
      <c r="AP383" s="346"/>
      <c r="AQ383" s="300"/>
      <c r="AR383" s="300"/>
      <c r="AS383" s="345"/>
      <c r="AT383" s="345"/>
      <c r="AU383" s="300"/>
      <c r="AV383" s="286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/>
      <c r="AO384" s="258"/>
      <c r="AP384" s="346"/>
      <c r="AQ384" s="300"/>
      <c r="AR384" s="300"/>
      <c r="AS384" s="345"/>
      <c r="AT384" s="345"/>
      <c r="AU384" s="300"/>
      <c r="AV384" s="286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/>
      <c r="AO385" s="258"/>
      <c r="AP385" s="346"/>
      <c r="AQ385" s="300"/>
      <c r="AR385" s="300"/>
      <c r="AS385" s="345"/>
      <c r="AT385" s="345"/>
      <c r="AU385" s="300"/>
      <c r="AV385" s="286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/>
      <c r="AO386" s="258"/>
      <c r="AP386" s="346"/>
      <c r="AQ386" s="300"/>
      <c r="AR386" s="300"/>
      <c r="AS386" s="345"/>
      <c r="AT386" s="345"/>
      <c r="AU386" s="300"/>
      <c r="AV386" s="286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/>
      <c r="AO387" s="258"/>
      <c r="AP387" s="346"/>
      <c r="AQ387" s="300"/>
      <c r="AR387" s="300"/>
      <c r="AS387" s="345"/>
      <c r="AT387" s="345"/>
      <c r="AU387" s="300"/>
      <c r="AV387" s="286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/>
      <c r="AO388" s="258"/>
      <c r="AP388" s="346"/>
      <c r="AQ388" s="300"/>
      <c r="AR388" s="300"/>
      <c r="AS388" s="345"/>
      <c r="AT388" s="345"/>
      <c r="AU388" s="300"/>
      <c r="AV388" s="286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/>
      <c r="AO389" s="258"/>
      <c r="AP389" s="346"/>
      <c r="AQ389" s="300"/>
      <c r="AR389" s="300"/>
      <c r="AS389" s="345"/>
      <c r="AT389" s="345"/>
      <c r="AU389" s="300"/>
      <c r="AV389" s="286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/>
      <c r="AO390" s="258"/>
      <c r="AP390" s="346"/>
      <c r="AQ390" s="300"/>
      <c r="AR390" s="300"/>
      <c r="AS390" s="345"/>
      <c r="AT390" s="345"/>
      <c r="AU390" s="300"/>
      <c r="AV390" s="286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/>
      <c r="AO391" s="258"/>
      <c r="AP391" s="346"/>
      <c r="AQ391" s="300"/>
      <c r="AR391" s="300"/>
      <c r="AS391" s="345"/>
      <c r="AT391" s="345"/>
      <c r="AU391" s="300"/>
      <c r="AV391" s="286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/>
      <c r="AO392" s="258"/>
      <c r="AP392" s="346"/>
      <c r="AQ392" s="300"/>
      <c r="AR392" s="300"/>
      <c r="AS392" s="345"/>
      <c r="AT392" s="345"/>
      <c r="AU392" s="300"/>
      <c r="AV392" s="286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/>
      <c r="AO393" s="258"/>
      <c r="AP393" s="346"/>
      <c r="AQ393" s="300"/>
      <c r="AR393" s="300"/>
      <c r="AS393" s="345"/>
      <c r="AT393" s="345"/>
      <c r="AU393" s="300"/>
      <c r="AV393" s="286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/>
      <c r="AO394" s="258"/>
      <c r="AP394" s="346"/>
      <c r="AQ394" s="300"/>
      <c r="AR394" s="300"/>
      <c r="AS394" s="345"/>
      <c r="AT394" s="345"/>
      <c r="AU394" s="300"/>
      <c r="AV394" s="286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/>
      <c r="AO395" s="258"/>
      <c r="AP395" s="346"/>
      <c r="AQ395" s="300"/>
      <c r="AR395" s="300"/>
      <c r="AS395" s="345"/>
      <c r="AT395" s="345"/>
      <c r="AU395" s="300"/>
      <c r="AV395" s="286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/>
      <c r="AO396" s="258"/>
      <c r="AP396" s="346"/>
      <c r="AQ396" s="300"/>
      <c r="AR396" s="300"/>
      <c r="AS396" s="345"/>
      <c r="AT396" s="345"/>
      <c r="AU396" s="300"/>
      <c r="AV396" s="286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/>
      <c r="AO397" s="258"/>
      <c r="AP397" s="346"/>
      <c r="AQ397" s="300"/>
      <c r="AR397" s="300"/>
      <c r="AS397" s="345"/>
      <c r="AT397" s="345"/>
      <c r="AU397" s="300"/>
      <c r="AV397" s="286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/>
      <c r="AO398" s="258"/>
      <c r="AP398" s="346"/>
      <c r="AQ398" s="300"/>
      <c r="AR398" s="300"/>
      <c r="AS398" s="345"/>
      <c r="AT398" s="345"/>
      <c r="AU398" s="300"/>
      <c r="AV398" s="286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/>
      <c r="AO399" s="258"/>
      <c r="AP399" s="346"/>
      <c r="AQ399" s="300"/>
      <c r="AR399" s="300"/>
      <c r="AS399" s="345"/>
      <c r="AT399" s="345"/>
      <c r="AU399" s="300"/>
      <c r="AV399" s="286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/>
      <c r="AO400" s="258"/>
      <c r="AP400" s="346"/>
      <c r="AQ400" s="300"/>
      <c r="AR400" s="300"/>
      <c r="AS400" s="345"/>
      <c r="AT400" s="345"/>
      <c r="AU400" s="300"/>
      <c r="AV400" s="286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/>
      <c r="AO401" s="258"/>
      <c r="AP401" s="346"/>
      <c r="AQ401" s="300"/>
      <c r="AR401" s="300"/>
      <c r="AS401" s="345"/>
      <c r="AT401" s="345"/>
      <c r="AU401" s="300"/>
      <c r="AV401" s="286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/>
      <c r="AO402" s="258"/>
      <c r="AP402" s="346"/>
      <c r="AQ402" s="300"/>
      <c r="AR402" s="300"/>
      <c r="AS402" s="345"/>
      <c r="AT402" s="345"/>
      <c r="AU402" s="300"/>
      <c r="AV402" s="286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/>
      <c r="AO403" s="258"/>
      <c r="AP403" s="346"/>
      <c r="AQ403" s="300"/>
      <c r="AR403" s="300"/>
      <c r="AS403" s="345"/>
      <c r="AT403" s="345"/>
      <c r="AU403" s="300"/>
      <c r="AV403" s="286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/>
      <c r="AO404" s="258"/>
      <c r="AP404" s="346"/>
      <c r="AQ404" s="300"/>
      <c r="AR404" s="300"/>
      <c r="AS404" s="345"/>
      <c r="AT404" s="345"/>
      <c r="AU404" s="300"/>
      <c r="AV404" s="286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/>
      <c r="AO405" s="258"/>
      <c r="AP405" s="346"/>
      <c r="AQ405" s="300"/>
      <c r="AR405" s="300"/>
      <c r="AS405" s="345"/>
      <c r="AT405" s="345"/>
      <c r="AU405" s="300"/>
      <c r="AV405" s="286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/>
      <c r="AO406" s="258"/>
      <c r="AP406" s="346"/>
      <c r="AQ406" s="300"/>
      <c r="AR406" s="300"/>
      <c r="AS406" s="345"/>
      <c r="AT406" s="345"/>
      <c r="AU406" s="300"/>
      <c r="AV406" s="286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/>
      <c r="AO407" s="258"/>
      <c r="AP407" s="346"/>
      <c r="AQ407" s="300"/>
      <c r="AR407" s="300"/>
      <c r="AS407" s="345"/>
      <c r="AT407" s="345"/>
      <c r="AU407" s="300"/>
      <c r="AV407" s="286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/>
      <c r="AO408" s="258"/>
      <c r="AP408" s="346"/>
      <c r="AQ408" s="300"/>
      <c r="AR408" s="300"/>
      <c r="AS408" s="345"/>
      <c r="AT408" s="345"/>
      <c r="AU408" s="300"/>
      <c r="AV408" s="286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/>
      <c r="AO409" s="258"/>
      <c r="AP409" s="346"/>
      <c r="AQ409" s="300"/>
      <c r="AR409" s="300"/>
      <c r="AS409" s="345"/>
      <c r="AT409" s="345"/>
      <c r="AU409" s="300"/>
      <c r="AV409" s="286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/>
      <c r="AO410" s="258"/>
      <c r="AP410" s="346"/>
      <c r="AQ410" s="300"/>
      <c r="AR410" s="300"/>
      <c r="AS410" s="345"/>
      <c r="AT410" s="345"/>
      <c r="AU410" s="300"/>
      <c r="AV410" s="286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/>
      <c r="AO411" s="258"/>
      <c r="AP411" s="346"/>
      <c r="AQ411" s="300"/>
      <c r="AR411" s="300"/>
      <c r="AS411" s="345"/>
      <c r="AT411" s="345"/>
      <c r="AU411" s="300"/>
      <c r="AV411" s="286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/>
      <c r="AO412" s="258"/>
      <c r="AP412" s="346"/>
      <c r="AQ412" s="300"/>
      <c r="AR412" s="300"/>
      <c r="AS412" s="345"/>
      <c r="AT412" s="345"/>
      <c r="AU412" s="300"/>
      <c r="AV412" s="286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/>
      <c r="AO413" s="258"/>
      <c r="AP413" s="346"/>
      <c r="AQ413" s="300"/>
      <c r="AR413" s="300"/>
      <c r="AS413" s="345"/>
      <c r="AT413" s="345"/>
      <c r="AU413" s="300"/>
      <c r="AV413" s="286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/>
      <c r="AO414" s="258"/>
      <c r="AP414" s="346"/>
      <c r="AQ414" s="300"/>
      <c r="AR414" s="300"/>
      <c r="AS414" s="345"/>
      <c r="AT414" s="345"/>
      <c r="AU414" s="300"/>
      <c r="AV414" s="286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/>
      <c r="AO415" s="258"/>
      <c r="AP415" s="346"/>
      <c r="AQ415" s="300"/>
      <c r="AR415" s="300"/>
      <c r="AS415" s="345"/>
      <c r="AT415" s="345"/>
      <c r="AU415" s="300"/>
      <c r="AV415" s="286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/>
      <c r="AO416" s="258"/>
      <c r="AP416" s="346"/>
      <c r="AQ416" s="300"/>
      <c r="AR416" s="300"/>
      <c r="AS416" s="345"/>
      <c r="AT416" s="345"/>
      <c r="AU416" s="300"/>
      <c r="AV416" s="286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/>
      <c r="AO417" s="258"/>
      <c r="AP417" s="346"/>
      <c r="AQ417" s="300"/>
      <c r="AR417" s="300"/>
      <c r="AS417" s="345"/>
      <c r="AT417" s="345"/>
      <c r="AU417" s="300"/>
      <c r="AV417" s="286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/>
      <c r="AO418" s="258"/>
      <c r="AP418" s="346"/>
      <c r="AQ418" s="300"/>
      <c r="AR418" s="300"/>
      <c r="AS418" s="345"/>
      <c r="AT418" s="345"/>
      <c r="AU418" s="300"/>
      <c r="AV418" s="286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/>
      <c r="AO419" s="258"/>
      <c r="AP419" s="346"/>
      <c r="AQ419" s="300"/>
      <c r="AR419" s="300"/>
      <c r="AS419" s="345"/>
      <c r="AT419" s="345"/>
      <c r="AU419" s="300"/>
      <c r="AV419" s="286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/>
      <c r="AO420" s="258"/>
      <c r="AP420" s="346"/>
      <c r="AQ420" s="300"/>
      <c r="AR420" s="300"/>
      <c r="AS420" s="345"/>
      <c r="AT420" s="345"/>
      <c r="AU420" s="300"/>
      <c r="AV420" s="286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/>
      <c r="AO421" s="258"/>
      <c r="AP421" s="346"/>
      <c r="AQ421" s="300"/>
      <c r="AR421" s="300"/>
      <c r="AS421" s="345"/>
      <c r="AT421" s="345"/>
      <c r="AU421" s="300"/>
      <c r="AV421" s="286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/>
      <c r="AO422" s="258"/>
      <c r="AP422" s="346"/>
      <c r="AQ422" s="300"/>
      <c r="AR422" s="300"/>
      <c r="AS422" s="345"/>
      <c r="AT422" s="345"/>
      <c r="AU422" s="300"/>
      <c r="AV422" s="286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/>
      <c r="AO423" s="258"/>
      <c r="AP423" s="346"/>
      <c r="AQ423" s="300"/>
      <c r="AR423" s="300"/>
      <c r="AS423" s="345"/>
      <c r="AT423" s="345"/>
      <c r="AU423" s="300"/>
      <c r="AV423" s="286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/>
      <c r="AO424" s="258"/>
      <c r="AP424" s="346"/>
      <c r="AQ424" s="300"/>
      <c r="AR424" s="300"/>
      <c r="AS424" s="345"/>
      <c r="AT424" s="345"/>
      <c r="AU424" s="300"/>
      <c r="AV424" s="286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/>
      <c r="AO425" s="258"/>
      <c r="AP425" s="346"/>
      <c r="AQ425" s="300"/>
      <c r="AR425" s="300"/>
      <c r="AS425" s="345"/>
      <c r="AT425" s="345"/>
      <c r="AU425" s="300"/>
      <c r="AV425" s="286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/>
      <c r="AO426" s="258"/>
      <c r="AP426" s="346"/>
      <c r="AQ426" s="300"/>
      <c r="AR426" s="300"/>
      <c r="AS426" s="345"/>
      <c r="AT426" s="345"/>
      <c r="AU426" s="300"/>
      <c r="AV426" s="286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/>
      <c r="AO427" s="258"/>
      <c r="AP427" s="346"/>
      <c r="AQ427" s="300"/>
      <c r="AR427" s="300"/>
      <c r="AS427" s="345"/>
      <c r="AT427" s="345"/>
      <c r="AU427" s="300"/>
      <c r="AV427" s="286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/>
      <c r="AO428" s="258"/>
      <c r="AP428" s="346"/>
      <c r="AQ428" s="300"/>
      <c r="AR428" s="300"/>
      <c r="AS428" s="345"/>
      <c r="AT428" s="345"/>
      <c r="AU428" s="300"/>
      <c r="AV428" s="286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/>
      <c r="AO429" s="258"/>
      <c r="AP429" s="346"/>
      <c r="AQ429" s="300"/>
      <c r="AR429" s="300"/>
      <c r="AS429" s="345"/>
      <c r="AT429" s="345"/>
      <c r="AU429" s="300"/>
      <c r="AV429" s="286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/>
      <c r="AO430" s="258"/>
      <c r="AP430" s="346"/>
      <c r="AQ430" s="300"/>
      <c r="AR430" s="300"/>
      <c r="AS430" s="345"/>
      <c r="AT430" s="345"/>
      <c r="AU430" s="300"/>
      <c r="AV430" s="286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/>
      <c r="AO431" s="258"/>
      <c r="AP431" s="346"/>
      <c r="AQ431" s="300"/>
      <c r="AR431" s="300"/>
      <c r="AS431" s="345"/>
      <c r="AT431" s="345"/>
      <c r="AU431" s="300"/>
      <c r="AV431" s="286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/>
      <c r="AO432" s="258"/>
      <c r="AP432" s="346"/>
      <c r="AQ432" s="300"/>
      <c r="AR432" s="300"/>
      <c r="AS432" s="345"/>
      <c r="AT432" s="345"/>
      <c r="AU432" s="300"/>
      <c r="AV432" s="286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/>
      <c r="AO433" s="258"/>
      <c r="AP433" s="346"/>
      <c r="AQ433" s="300"/>
      <c r="AR433" s="300"/>
      <c r="AS433" s="345"/>
      <c r="AT433" s="345"/>
      <c r="AU433" s="300"/>
      <c r="AV433" s="286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/>
      <c r="AO434" s="258"/>
      <c r="AP434" s="346"/>
      <c r="AQ434" s="300"/>
      <c r="AR434" s="300"/>
      <c r="AS434" s="345"/>
      <c r="AT434" s="345"/>
      <c r="AU434" s="300"/>
      <c r="AV434" s="286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/>
      <c r="AO435" s="258"/>
      <c r="AP435" s="346"/>
      <c r="AQ435" s="300"/>
      <c r="AR435" s="300"/>
      <c r="AS435" s="345"/>
      <c r="AT435" s="345"/>
      <c r="AU435" s="300"/>
      <c r="AV435" s="286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/>
      <c r="AO436" s="258"/>
      <c r="AP436" s="346"/>
      <c r="AQ436" s="300"/>
      <c r="AR436" s="300"/>
      <c r="AS436" s="345"/>
      <c r="AT436" s="345"/>
      <c r="AU436" s="300"/>
      <c r="AV436" s="286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/>
      <c r="AO437" s="258"/>
      <c r="AP437" s="346"/>
      <c r="AQ437" s="300"/>
      <c r="AR437" s="300"/>
      <c r="AS437" s="345"/>
      <c r="AT437" s="345"/>
      <c r="AU437" s="300"/>
      <c r="AV437" s="286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/>
      <c r="AO438" s="258"/>
      <c r="AP438" s="346"/>
      <c r="AQ438" s="300"/>
      <c r="AR438" s="300"/>
      <c r="AS438" s="345"/>
      <c r="AT438" s="345"/>
      <c r="AU438" s="300"/>
      <c r="AV438" s="286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/>
      <c r="AO439" s="258"/>
      <c r="AP439" s="346"/>
      <c r="AQ439" s="300"/>
      <c r="AR439" s="300"/>
      <c r="AS439" s="345"/>
      <c r="AT439" s="345"/>
      <c r="AU439" s="300"/>
      <c r="AV439" s="286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/>
      <c r="AO440" s="258"/>
      <c r="AP440" s="346"/>
      <c r="AQ440" s="300"/>
      <c r="AR440" s="300"/>
      <c r="AS440" s="345"/>
      <c r="AT440" s="345"/>
      <c r="AU440" s="300"/>
      <c r="AV440" s="286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/>
      <c r="AO441" s="258"/>
      <c r="AP441" s="346"/>
      <c r="AQ441" s="300"/>
      <c r="AR441" s="300"/>
      <c r="AS441" s="345"/>
      <c r="AT441" s="345"/>
      <c r="AU441" s="300"/>
      <c r="AV441" s="286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/>
      <c r="AO442" s="258"/>
      <c r="AP442" s="346"/>
      <c r="AQ442" s="300"/>
      <c r="AR442" s="300"/>
      <c r="AS442" s="345"/>
      <c r="AT442" s="345"/>
      <c r="AU442" s="300"/>
      <c r="AV442" s="286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/>
      <c r="AO443" s="258"/>
      <c r="AP443" s="346"/>
      <c r="AQ443" s="300"/>
      <c r="AR443" s="300"/>
      <c r="AS443" s="345"/>
      <c r="AT443" s="345"/>
      <c r="AU443" s="300"/>
      <c r="AV443" s="286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/>
      <c r="AO444" s="258"/>
      <c r="AP444" s="346"/>
      <c r="AQ444" s="300"/>
      <c r="AR444" s="300"/>
      <c r="AS444" s="345"/>
      <c r="AT444" s="345"/>
      <c r="AU444" s="300"/>
      <c r="AV444" s="286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/>
      <c r="AO445" s="258"/>
      <c r="AP445" s="346"/>
      <c r="AQ445" s="300"/>
      <c r="AR445" s="300"/>
      <c r="AS445" s="345"/>
      <c r="AT445" s="345"/>
      <c r="AU445" s="300"/>
      <c r="AV445" s="286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/>
      <c r="AO446" s="258"/>
      <c r="AP446" s="346"/>
      <c r="AQ446" s="300"/>
      <c r="AR446" s="300"/>
      <c r="AS446" s="345"/>
      <c r="AT446" s="345"/>
      <c r="AU446" s="300"/>
      <c r="AV446" s="286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/>
      <c r="AO447" s="258"/>
      <c r="AP447" s="346"/>
      <c r="AQ447" s="300"/>
      <c r="AR447" s="300"/>
      <c r="AS447" s="345"/>
      <c r="AT447" s="345"/>
      <c r="AU447" s="300"/>
      <c r="AV447" s="286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/>
      <c r="AO448" s="258"/>
      <c r="AP448" s="346"/>
      <c r="AQ448" s="300"/>
      <c r="AR448" s="300"/>
      <c r="AS448" s="345"/>
      <c r="AT448" s="345"/>
      <c r="AU448" s="300"/>
      <c r="AV448" s="286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/>
      <c r="AO449" s="258"/>
      <c r="AP449" s="346"/>
      <c r="AQ449" s="300"/>
      <c r="AR449" s="300"/>
      <c r="AS449" s="345"/>
      <c r="AT449" s="345"/>
      <c r="AU449" s="300"/>
      <c r="AV449" s="286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/>
      <c r="AO450" s="258"/>
      <c r="AP450" s="346"/>
      <c r="AQ450" s="300"/>
      <c r="AR450" s="300"/>
      <c r="AS450" s="345"/>
      <c r="AT450" s="345"/>
      <c r="AU450" s="300"/>
      <c r="AV450" s="286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/>
      <c r="AO451" s="258"/>
      <c r="AP451" s="346"/>
      <c r="AQ451" s="300"/>
      <c r="AR451" s="300"/>
      <c r="AS451" s="345"/>
      <c r="AT451" s="345"/>
      <c r="AU451" s="300"/>
      <c r="AV451" s="286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/>
      <c r="AO452" s="258"/>
      <c r="AP452" s="346"/>
      <c r="AQ452" s="300"/>
      <c r="AR452" s="300"/>
      <c r="AS452" s="345"/>
      <c r="AT452" s="345"/>
      <c r="AU452" s="300"/>
      <c r="AV452" s="286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/>
      <c r="AO453" s="258"/>
      <c r="AP453" s="346"/>
      <c r="AQ453" s="300"/>
      <c r="AR453" s="300"/>
      <c r="AS453" s="345"/>
      <c r="AT453" s="345"/>
      <c r="AU453" s="300"/>
      <c r="AV453" s="286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/>
      <c r="AO454" s="258"/>
      <c r="AP454" s="346"/>
      <c r="AQ454" s="300"/>
      <c r="AR454" s="300"/>
      <c r="AS454" s="345"/>
      <c r="AT454" s="345"/>
      <c r="AU454" s="300"/>
      <c r="AV454" s="286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/>
      <c r="AO455" s="258"/>
      <c r="AP455" s="346"/>
      <c r="AQ455" s="300"/>
      <c r="AR455" s="300"/>
      <c r="AS455" s="345"/>
      <c r="AT455" s="345"/>
      <c r="AU455" s="300"/>
      <c r="AV455" s="286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/>
      <c r="AO456" s="258"/>
      <c r="AP456" s="346"/>
      <c r="AQ456" s="300"/>
      <c r="AR456" s="300"/>
      <c r="AS456" s="345"/>
      <c r="AT456" s="345"/>
      <c r="AU456" s="300"/>
      <c r="AV456" s="286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/>
      <c r="AO457" s="258"/>
      <c r="AP457" s="346"/>
      <c r="AQ457" s="300"/>
      <c r="AR457" s="300"/>
      <c r="AS457" s="345"/>
      <c r="AT457" s="345"/>
      <c r="AU457" s="300"/>
      <c r="AV457" s="286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/>
      <c r="AO458" s="258"/>
      <c r="AP458" s="346"/>
      <c r="AQ458" s="300"/>
      <c r="AR458" s="300"/>
      <c r="AS458" s="345"/>
      <c r="AT458" s="345"/>
      <c r="AU458" s="300"/>
      <c r="AV458" s="286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/>
      <c r="AO459" s="258"/>
      <c r="AP459" s="346"/>
      <c r="AQ459" s="300"/>
      <c r="AR459" s="300"/>
      <c r="AS459" s="345"/>
      <c r="AT459" s="345"/>
      <c r="AU459" s="300"/>
      <c r="AV459" s="286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/>
      <c r="AO460" s="258"/>
      <c r="AP460" s="346"/>
      <c r="AQ460" s="300"/>
      <c r="AR460" s="300"/>
      <c r="AS460" s="345"/>
      <c r="AT460" s="345"/>
      <c r="AU460" s="300"/>
      <c r="AV460" s="286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/>
      <c r="AO461" s="258"/>
      <c r="AP461" s="346"/>
      <c r="AQ461" s="300"/>
      <c r="AR461" s="300"/>
      <c r="AS461" s="345"/>
      <c r="AT461" s="345"/>
      <c r="AU461" s="300"/>
      <c r="AV461" s="286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/>
      <c r="AO462" s="258"/>
      <c r="AP462" s="346"/>
      <c r="AQ462" s="300"/>
      <c r="AR462" s="300"/>
      <c r="AS462" s="345"/>
      <c r="AT462" s="345"/>
      <c r="AU462" s="300"/>
      <c r="AV462" s="286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/>
      <c r="AO463" s="258"/>
      <c r="AP463" s="346"/>
      <c r="AQ463" s="300"/>
      <c r="AR463" s="300"/>
      <c r="AS463" s="345"/>
      <c r="AT463" s="345"/>
      <c r="AU463" s="300"/>
      <c r="AV463" s="286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/>
      <c r="AO464" s="258"/>
      <c r="AP464" s="346"/>
      <c r="AQ464" s="300"/>
      <c r="AR464" s="300"/>
      <c r="AS464" s="345"/>
      <c r="AT464" s="345"/>
      <c r="AU464" s="300"/>
      <c r="AV464" s="286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/>
      <c r="AO465" s="258"/>
      <c r="AP465" s="346"/>
      <c r="AQ465" s="300"/>
      <c r="AR465" s="300"/>
      <c r="AS465" s="345"/>
      <c r="AT465" s="345"/>
      <c r="AU465" s="300"/>
      <c r="AV465" s="286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/>
      <c r="AO466" s="258"/>
      <c r="AP466" s="346"/>
      <c r="AQ466" s="300"/>
      <c r="AR466" s="300"/>
      <c r="AS466" s="345"/>
      <c r="AT466" s="345"/>
      <c r="AU466" s="300"/>
      <c r="AV466" s="286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/>
      <c r="AO467" s="258"/>
      <c r="AP467" s="346"/>
      <c r="AQ467" s="300"/>
      <c r="AR467" s="300"/>
      <c r="AS467" s="345"/>
      <c r="AT467" s="345"/>
      <c r="AU467" s="300"/>
      <c r="AV467" s="286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/>
      <c r="AO468" s="258"/>
      <c r="AP468" s="346"/>
      <c r="AQ468" s="300"/>
      <c r="AR468" s="300"/>
      <c r="AS468" s="345"/>
      <c r="AT468" s="345"/>
      <c r="AU468" s="300"/>
      <c r="AV468" s="286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/>
      <c r="AO469" s="258"/>
      <c r="AP469" s="346"/>
      <c r="AQ469" s="300"/>
      <c r="AR469" s="300"/>
      <c r="AS469" s="345"/>
      <c r="AT469" s="345"/>
      <c r="AU469" s="300"/>
      <c r="AV469" s="286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/>
      <c r="AO470" s="258"/>
      <c r="AP470" s="346"/>
      <c r="AQ470" s="300"/>
      <c r="AR470" s="300"/>
      <c r="AS470" s="345"/>
      <c r="AT470" s="345"/>
      <c r="AU470" s="300"/>
      <c r="AV470" s="286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/>
      <c r="AO471" s="258"/>
      <c r="AP471" s="346"/>
      <c r="AQ471" s="300"/>
      <c r="AR471" s="300"/>
      <c r="AS471" s="345"/>
      <c r="AT471" s="345"/>
      <c r="AU471" s="300"/>
      <c r="AV471" s="286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/>
      <c r="AO472" s="258"/>
      <c r="AP472" s="346"/>
      <c r="AQ472" s="300"/>
      <c r="AR472" s="300"/>
      <c r="AS472" s="345"/>
      <c r="AT472" s="345"/>
      <c r="AU472" s="300"/>
      <c r="AV472" s="286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/>
      <c r="AO473" s="258"/>
      <c r="AP473" s="346"/>
      <c r="AQ473" s="300"/>
      <c r="AR473" s="300"/>
      <c r="AS473" s="345"/>
      <c r="AT473" s="345"/>
      <c r="AU473" s="300"/>
      <c r="AV473" s="286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/>
      <c r="AO474" s="258"/>
      <c r="AP474" s="346"/>
      <c r="AQ474" s="300"/>
      <c r="AR474" s="300"/>
      <c r="AS474" s="345"/>
      <c r="AT474" s="345"/>
      <c r="AU474" s="300"/>
      <c r="AV474" s="286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/>
      <c r="AO475" s="258"/>
      <c r="AP475" s="346"/>
      <c r="AQ475" s="300"/>
      <c r="AR475" s="300"/>
      <c r="AS475" s="345"/>
      <c r="AT475" s="345"/>
      <c r="AU475" s="300"/>
      <c r="AV475" s="286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/>
      <c r="AO476" s="258"/>
      <c r="AP476" s="346"/>
      <c r="AQ476" s="300"/>
      <c r="AR476" s="300"/>
      <c r="AS476" s="345"/>
      <c r="AT476" s="345"/>
      <c r="AU476" s="300"/>
      <c r="AV476" s="286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/>
      <c r="AO477" s="258"/>
      <c r="AP477" s="346"/>
      <c r="AQ477" s="300"/>
      <c r="AR477" s="300"/>
      <c r="AS477" s="345"/>
      <c r="AT477" s="345"/>
      <c r="AU477" s="300"/>
      <c r="AV477" s="286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/>
      <c r="AO478" s="258"/>
      <c r="AP478" s="346"/>
      <c r="AQ478" s="300"/>
      <c r="AR478" s="300"/>
      <c r="AS478" s="345"/>
      <c r="AT478" s="345"/>
      <c r="AU478" s="300"/>
      <c r="AV478" s="286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/>
      <c r="AO479" s="258"/>
      <c r="AP479" s="346"/>
      <c r="AQ479" s="300"/>
      <c r="AR479" s="300"/>
      <c r="AS479" s="345"/>
      <c r="AT479" s="345"/>
      <c r="AU479" s="300"/>
      <c r="AV479" s="286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/>
      <c r="AO480" s="258"/>
      <c r="AP480" s="346"/>
      <c r="AQ480" s="300"/>
      <c r="AR480" s="300"/>
      <c r="AS480" s="345"/>
      <c r="AT480" s="345"/>
      <c r="AU480" s="300"/>
      <c r="AV480" s="286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/>
      <c r="AO481" s="258"/>
      <c r="AP481" s="346"/>
      <c r="AQ481" s="300"/>
      <c r="AR481" s="300"/>
      <c r="AS481" s="345"/>
      <c r="AT481" s="345"/>
      <c r="AU481" s="300"/>
      <c r="AV481" s="286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/>
      <c r="AO482" s="258"/>
      <c r="AP482" s="346"/>
      <c r="AQ482" s="300"/>
      <c r="AR482" s="300"/>
      <c r="AS482" s="345"/>
      <c r="AT482" s="345"/>
      <c r="AU482" s="300"/>
      <c r="AV482" s="286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/>
      <c r="AO483" s="258"/>
      <c r="AP483" s="346"/>
      <c r="AQ483" s="300"/>
      <c r="AR483" s="300"/>
      <c r="AS483" s="345"/>
      <c r="AT483" s="345"/>
      <c r="AU483" s="300"/>
      <c r="AV483" s="286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/>
      <c r="AO484" s="258"/>
      <c r="AP484" s="346"/>
      <c r="AQ484" s="300"/>
      <c r="AR484" s="300"/>
      <c r="AS484" s="345"/>
      <c r="AT484" s="345"/>
      <c r="AU484" s="300"/>
      <c r="AV484" s="286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/>
      <c r="AO485" s="258"/>
      <c r="AP485" s="346"/>
      <c r="AQ485" s="300"/>
      <c r="AR485" s="300"/>
      <c r="AS485" s="345"/>
      <c r="AT485" s="345"/>
      <c r="AU485" s="300"/>
      <c r="AV485" s="286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/>
      <c r="AO486" s="258"/>
      <c r="AP486" s="346"/>
      <c r="AQ486" s="300"/>
      <c r="AR486" s="300"/>
      <c r="AS486" s="345"/>
      <c r="AT486" s="345"/>
      <c r="AU486" s="300"/>
      <c r="AV486" s="286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/>
      <c r="AO487" s="258"/>
      <c r="AP487" s="346"/>
      <c r="AQ487" s="300"/>
      <c r="AR487" s="300"/>
      <c r="AS487" s="345"/>
      <c r="AT487" s="345"/>
      <c r="AU487" s="300"/>
      <c r="AV487" s="286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/>
      <c r="AO488" s="258"/>
      <c r="AP488" s="346"/>
      <c r="AQ488" s="300"/>
      <c r="AR488" s="300"/>
      <c r="AS488" s="345"/>
      <c r="AT488" s="345"/>
      <c r="AU488" s="300"/>
      <c r="AV488" s="286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/>
      <c r="AO489" s="258"/>
      <c r="AP489" s="346"/>
      <c r="AQ489" s="300"/>
      <c r="AR489" s="300"/>
      <c r="AS489" s="345"/>
      <c r="AT489" s="345"/>
      <c r="AU489" s="300"/>
      <c r="AV489" s="286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/>
      <c r="AO490" s="258"/>
      <c r="AP490" s="346"/>
      <c r="AQ490" s="300"/>
      <c r="AR490" s="300"/>
      <c r="AS490" s="345"/>
      <c r="AT490" s="345"/>
      <c r="AU490" s="300"/>
      <c r="AV490" s="286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/>
      <c r="AO491" s="258"/>
      <c r="AP491" s="346"/>
      <c r="AQ491" s="300"/>
      <c r="AR491" s="300"/>
      <c r="AS491" s="345"/>
      <c r="AT491" s="345"/>
      <c r="AU491" s="300"/>
      <c r="AV491" s="286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/>
      <c r="AO492" s="258"/>
      <c r="AP492" s="346"/>
      <c r="AQ492" s="300"/>
      <c r="AR492" s="300"/>
      <c r="AS492" s="345"/>
      <c r="AT492" s="345"/>
      <c r="AU492" s="300"/>
      <c r="AV492" s="286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/>
      <c r="AO493" s="258"/>
      <c r="AP493" s="346"/>
      <c r="AQ493" s="300"/>
      <c r="AR493" s="300"/>
      <c r="AS493" s="345"/>
      <c r="AT493" s="345"/>
      <c r="AU493" s="300"/>
      <c r="AV493" s="286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/>
      <c r="AO494" s="258"/>
      <c r="AP494" s="346"/>
      <c r="AQ494" s="300"/>
      <c r="AR494" s="300"/>
      <c r="AS494" s="345"/>
      <c r="AT494" s="345"/>
      <c r="AU494" s="300"/>
      <c r="AV494" s="286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/>
      <c r="AO495" s="258"/>
      <c r="AP495" s="346"/>
      <c r="AQ495" s="300"/>
      <c r="AR495" s="300"/>
      <c r="AS495" s="345"/>
      <c r="AT495" s="345"/>
      <c r="AU495" s="300"/>
      <c r="AV495" s="286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/>
      <c r="AO496" s="258"/>
      <c r="AP496" s="346"/>
      <c r="AQ496" s="300"/>
      <c r="AR496" s="300"/>
      <c r="AS496" s="345"/>
      <c r="AT496" s="345"/>
      <c r="AU496" s="300"/>
      <c r="AV496" s="286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/>
      <c r="AO497" s="258"/>
      <c r="AP497" s="346"/>
      <c r="AQ497" s="300"/>
      <c r="AR497" s="300"/>
      <c r="AS497" s="345"/>
      <c r="AT497" s="345"/>
      <c r="AU497" s="300"/>
      <c r="AV497" s="286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/>
      <c r="AO498" s="258"/>
      <c r="AP498" s="346"/>
      <c r="AQ498" s="300"/>
      <c r="AR498" s="300"/>
      <c r="AS498" s="345"/>
      <c r="AT498" s="345"/>
      <c r="AU498" s="300"/>
      <c r="AV498" s="286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/>
      <c r="AO499" s="258"/>
      <c r="AP499" s="346"/>
      <c r="AQ499" s="300"/>
      <c r="AR499" s="300"/>
      <c r="AS499" s="345"/>
      <c r="AT499" s="345"/>
      <c r="AU499" s="300"/>
      <c r="AV499" s="286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/>
      <c r="AO500" s="258"/>
      <c r="AP500" s="346"/>
      <c r="AQ500" s="300"/>
      <c r="AR500" s="300"/>
      <c r="AS500" s="345"/>
      <c r="AT500" s="345"/>
      <c r="AU500" s="300"/>
      <c r="AV500" s="286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/>
      <c r="AO501" s="258"/>
      <c r="AP501" s="346"/>
      <c r="AQ501" s="300"/>
      <c r="AR501" s="300"/>
      <c r="AS501" s="345"/>
      <c r="AT501" s="345"/>
      <c r="AU501" s="300"/>
      <c r="AV501" s="286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/>
      <c r="AO502" s="258"/>
      <c r="AP502" s="346"/>
      <c r="AQ502" s="300"/>
      <c r="AR502" s="300"/>
      <c r="AS502" s="345"/>
      <c r="AT502" s="345"/>
      <c r="AU502" s="300"/>
      <c r="AV502" s="286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/>
      <c r="AO503" s="258"/>
      <c r="AP503" s="346"/>
      <c r="AQ503" s="300"/>
      <c r="AR503" s="300"/>
      <c r="AS503" s="345"/>
      <c r="AT503" s="345"/>
      <c r="AU503" s="300"/>
      <c r="AV503" s="286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/>
      <c r="AO504" s="258"/>
      <c r="AP504" s="346"/>
      <c r="AQ504" s="300"/>
      <c r="AR504" s="300"/>
      <c r="AS504" s="345"/>
      <c r="AT504" s="345"/>
      <c r="AU504" s="300"/>
      <c r="AV504" s="286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/>
      <c r="AO505" s="258"/>
      <c r="AP505" s="346"/>
      <c r="AQ505" s="300"/>
      <c r="AR505" s="300"/>
      <c r="AS505" s="345"/>
      <c r="AT505" s="345"/>
      <c r="AU505" s="300"/>
      <c r="AV505" s="286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/>
      <c r="AO506" s="258"/>
      <c r="AP506" s="346"/>
      <c r="AQ506" s="300"/>
      <c r="AR506" s="300"/>
      <c r="AS506" s="345"/>
      <c r="AT506" s="345"/>
      <c r="AU506" s="300"/>
      <c r="AV506" s="286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/>
      <c r="AO507" s="258"/>
      <c r="AP507" s="346"/>
      <c r="AQ507" s="300"/>
      <c r="AR507" s="300"/>
      <c r="AS507" s="345"/>
      <c r="AT507" s="345"/>
      <c r="AU507" s="300"/>
      <c r="AV507" s="286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/>
      <c r="AO508" s="258"/>
      <c r="AP508" s="346"/>
      <c r="AQ508" s="300"/>
      <c r="AR508" s="300"/>
      <c r="AS508" s="345"/>
      <c r="AT508" s="345"/>
      <c r="AU508" s="300"/>
      <c r="AV508" s="286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/>
      <c r="AO509" s="258"/>
      <c r="AP509" s="346"/>
      <c r="AQ509" s="300"/>
      <c r="AR509" s="300"/>
      <c r="AS509" s="345"/>
      <c r="AT509" s="345"/>
      <c r="AU509" s="300"/>
      <c r="AV509" s="286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/>
      <c r="AO510" s="258"/>
      <c r="AP510" s="346"/>
      <c r="AQ510" s="300"/>
      <c r="AR510" s="300"/>
      <c r="AS510" s="345"/>
      <c r="AT510" s="345"/>
      <c r="AU510" s="300"/>
      <c r="AV510" s="286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/>
      <c r="AO511" s="258"/>
      <c r="AP511" s="346"/>
      <c r="AQ511" s="300"/>
      <c r="AR511" s="300"/>
      <c r="AS511" s="345"/>
      <c r="AT511" s="345"/>
      <c r="AU511" s="300"/>
      <c r="AV511" s="286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/>
      <c r="AO512" s="258"/>
      <c r="AP512" s="346"/>
      <c r="AQ512" s="300"/>
      <c r="AR512" s="300"/>
      <c r="AS512" s="345"/>
      <c r="AT512" s="345"/>
      <c r="AU512" s="300"/>
      <c r="AV512" s="286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/>
      <c r="AO513" s="258"/>
      <c r="AP513" s="346"/>
      <c r="AQ513" s="300"/>
      <c r="AR513" s="300"/>
      <c r="AS513" s="345"/>
      <c r="AT513" s="345"/>
      <c r="AU513" s="300"/>
      <c r="AV513" s="286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/>
      <c r="AO514" s="258"/>
      <c r="AP514" s="346"/>
      <c r="AQ514" s="300"/>
      <c r="AR514" s="300"/>
      <c r="AS514" s="345"/>
      <c r="AT514" s="345"/>
      <c r="AU514" s="300"/>
      <c r="AV514" s="286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/>
      <c r="AO515" s="258"/>
      <c r="AP515" s="346"/>
      <c r="AQ515" s="300"/>
      <c r="AR515" s="300"/>
      <c r="AS515" s="345"/>
      <c r="AT515" s="345"/>
      <c r="AU515" s="300"/>
      <c r="AV515" s="286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/>
      <c r="AO516" s="258"/>
      <c r="AP516" s="346"/>
      <c r="AQ516" s="300"/>
      <c r="AR516" s="300"/>
      <c r="AS516" s="345"/>
      <c r="AT516" s="345"/>
      <c r="AU516" s="300"/>
      <c r="AV516" s="286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/>
      <c r="AO517" s="258"/>
      <c r="AP517" s="346"/>
      <c r="AQ517" s="300"/>
      <c r="AR517" s="300"/>
      <c r="AS517" s="345"/>
      <c r="AT517" s="345"/>
      <c r="AU517" s="300"/>
      <c r="AV517" s="286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/>
      <c r="AO518" s="258"/>
      <c r="AP518" s="346"/>
      <c r="AQ518" s="300"/>
      <c r="AR518" s="300"/>
      <c r="AS518" s="345"/>
      <c r="AT518" s="345"/>
      <c r="AU518" s="300"/>
      <c r="AV518" s="286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/>
      <c r="AO519" s="258"/>
      <c r="AP519" s="346"/>
      <c r="AQ519" s="300"/>
      <c r="AR519" s="300"/>
      <c r="AS519" s="345"/>
      <c r="AT519" s="345"/>
      <c r="AU519" s="300"/>
      <c r="AV519" s="286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/>
      <c r="AO520" s="258"/>
      <c r="AP520" s="346"/>
      <c r="AQ520" s="300"/>
      <c r="AR520" s="300"/>
      <c r="AS520" s="345"/>
      <c r="AT520" s="345"/>
      <c r="AU520" s="300"/>
      <c r="AV520" s="286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/>
      <c r="AO521" s="258"/>
      <c r="AP521" s="346"/>
      <c r="AQ521" s="300"/>
      <c r="AR521" s="300"/>
      <c r="AS521" s="345"/>
      <c r="AT521" s="345"/>
      <c r="AU521" s="300"/>
      <c r="AV521" s="286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/>
      <c r="AO522" s="258"/>
      <c r="AP522" s="346"/>
      <c r="AQ522" s="300"/>
      <c r="AR522" s="300"/>
      <c r="AS522" s="345"/>
      <c r="AT522" s="345"/>
      <c r="AU522" s="300"/>
      <c r="AV522" s="286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/>
      <c r="AO523" s="258"/>
      <c r="AP523" s="346"/>
      <c r="AQ523" s="300"/>
      <c r="AR523" s="300"/>
      <c r="AS523" s="345"/>
      <c r="AT523" s="345"/>
      <c r="AU523" s="300"/>
      <c r="AV523" s="286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/>
      <c r="AO524" s="258"/>
      <c r="AP524" s="346"/>
      <c r="AQ524" s="300"/>
      <c r="AR524" s="300"/>
      <c r="AS524" s="345"/>
      <c r="AT524" s="345"/>
      <c r="AU524" s="300"/>
      <c r="AV524" s="286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/>
      <c r="AO525" s="258"/>
      <c r="AP525" s="346"/>
      <c r="AQ525" s="300"/>
      <c r="AR525" s="300"/>
      <c r="AS525" s="345"/>
      <c r="AT525" s="345"/>
      <c r="AU525" s="300"/>
      <c r="AV525" s="286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/>
      <c r="AO526" s="258"/>
      <c r="AP526" s="346"/>
      <c r="AQ526" s="300"/>
      <c r="AR526" s="300"/>
      <c r="AS526" s="345"/>
      <c r="AT526" s="345"/>
      <c r="AU526" s="300"/>
      <c r="AV526" s="286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/>
      <c r="AO527" s="258"/>
      <c r="AP527" s="346"/>
      <c r="AQ527" s="300"/>
      <c r="AR527" s="300"/>
      <c r="AS527" s="345"/>
      <c r="AT527" s="345"/>
      <c r="AU527" s="300"/>
      <c r="AV527" s="286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/>
      <c r="AO528" s="258"/>
      <c r="AP528" s="346"/>
      <c r="AQ528" s="300"/>
      <c r="AR528" s="300"/>
      <c r="AS528" s="345"/>
      <c r="AT528" s="345"/>
      <c r="AU528" s="300"/>
      <c r="AV528" s="286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/>
      <c r="AO529" s="258"/>
      <c r="AP529" s="346"/>
      <c r="AQ529" s="300"/>
      <c r="AR529" s="300"/>
      <c r="AS529" s="345"/>
      <c r="AT529" s="345"/>
      <c r="AU529" s="300"/>
      <c r="AV529" s="286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/>
      <c r="AO530" s="258"/>
      <c r="AP530" s="346"/>
      <c r="AQ530" s="300"/>
      <c r="AR530" s="300"/>
      <c r="AS530" s="345"/>
      <c r="AT530" s="345"/>
      <c r="AU530" s="300"/>
      <c r="AV530" s="286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/>
      <c r="AO531" s="258"/>
      <c r="AP531" s="346"/>
      <c r="AQ531" s="300"/>
      <c r="AR531" s="300"/>
      <c r="AS531" s="345"/>
      <c r="AT531" s="345"/>
      <c r="AU531" s="300"/>
      <c r="AV531" s="286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/>
      <c r="AO532" s="258"/>
      <c r="AP532" s="346"/>
      <c r="AQ532" s="300"/>
      <c r="AR532" s="300"/>
      <c r="AS532" s="345"/>
      <c r="AT532" s="345"/>
      <c r="AU532" s="300"/>
      <c r="AV532" s="286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/>
      <c r="AO533" s="258"/>
      <c r="AP533" s="346"/>
      <c r="AQ533" s="300"/>
      <c r="AR533" s="300"/>
      <c r="AS533" s="345"/>
      <c r="AT533" s="345"/>
      <c r="AU533" s="300"/>
      <c r="AV533" s="286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/>
      <c r="AO534" s="258"/>
      <c r="AP534" s="346"/>
      <c r="AQ534" s="300"/>
      <c r="AR534" s="300"/>
      <c r="AS534" s="345"/>
      <c r="AT534" s="345"/>
      <c r="AU534" s="300"/>
      <c r="AV534" s="286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/>
      <c r="AO535" s="258"/>
      <c r="AP535" s="346"/>
      <c r="AQ535" s="300"/>
      <c r="AR535" s="300"/>
      <c r="AS535" s="345"/>
      <c r="AT535" s="345"/>
      <c r="AU535" s="300"/>
      <c r="AV535" s="286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/>
      <c r="AO536" s="258"/>
      <c r="AP536" s="346"/>
      <c r="AQ536" s="300"/>
      <c r="AR536" s="300"/>
      <c r="AS536" s="345"/>
      <c r="AT536" s="345"/>
      <c r="AU536" s="300"/>
      <c r="AV536" s="286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/>
      <c r="AO537" s="258"/>
      <c r="AP537" s="346"/>
      <c r="AQ537" s="300"/>
      <c r="AR537" s="300"/>
      <c r="AS537" s="345"/>
      <c r="AT537" s="345"/>
      <c r="AU537" s="300"/>
      <c r="AV537" s="286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/>
      <c r="AO538" s="258"/>
      <c r="AP538" s="346"/>
      <c r="AQ538" s="300"/>
      <c r="AR538" s="300"/>
      <c r="AS538" s="345"/>
      <c r="AT538" s="345"/>
      <c r="AU538" s="300"/>
      <c r="AV538" s="286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/>
      <c r="AO539" s="258"/>
      <c r="AP539" s="346"/>
      <c r="AQ539" s="300"/>
      <c r="AR539" s="300"/>
      <c r="AS539" s="345"/>
      <c r="AT539" s="345"/>
      <c r="AU539" s="300"/>
      <c r="AV539" s="286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/>
      <c r="AO540" s="258"/>
      <c r="AP540" s="346"/>
      <c r="AQ540" s="300"/>
      <c r="AR540" s="300"/>
      <c r="AS540" s="345"/>
      <c r="AT540" s="345"/>
      <c r="AU540" s="300"/>
      <c r="AV540" s="286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/>
      <c r="AO541" s="258"/>
      <c r="AP541" s="346"/>
      <c r="AQ541" s="300"/>
      <c r="AR541" s="300"/>
      <c r="AS541" s="345"/>
      <c r="AT541" s="345"/>
      <c r="AU541" s="300"/>
      <c r="AV541" s="286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/>
      <c r="AO542" s="258"/>
      <c r="AP542" s="346"/>
      <c r="AQ542" s="300"/>
      <c r="AR542" s="300"/>
      <c r="AS542" s="345"/>
      <c r="AT542" s="345"/>
      <c r="AU542" s="300"/>
      <c r="AV542" s="286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/>
      <c r="AO543" s="258"/>
      <c r="AP543" s="346"/>
      <c r="AQ543" s="300"/>
      <c r="AR543" s="300"/>
      <c r="AS543" s="345"/>
      <c r="AT543" s="345"/>
      <c r="AU543" s="300"/>
      <c r="AV543" s="286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/>
      <c r="AO544" s="258"/>
      <c r="AP544" s="346"/>
      <c r="AQ544" s="300"/>
      <c r="AR544" s="300"/>
      <c r="AS544" s="345"/>
      <c r="AT544" s="345"/>
      <c r="AU544" s="300"/>
      <c r="AV544" s="286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/>
      <c r="AO545" s="258"/>
      <c r="AP545" s="346"/>
      <c r="AQ545" s="300"/>
      <c r="AR545" s="300"/>
      <c r="AS545" s="345"/>
      <c r="AT545" s="345"/>
      <c r="AU545" s="300"/>
      <c r="AV545" s="286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/>
      <c r="AO546" s="258"/>
      <c r="AP546" s="346"/>
      <c r="AQ546" s="300"/>
      <c r="AR546" s="300"/>
      <c r="AS546" s="345"/>
      <c r="AT546" s="345"/>
      <c r="AU546" s="300"/>
      <c r="AV546" s="286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/>
      <c r="AO547" s="258"/>
      <c r="AP547" s="346"/>
      <c r="AQ547" s="300"/>
      <c r="AR547" s="300"/>
      <c r="AS547" s="345"/>
      <c r="AT547" s="345"/>
      <c r="AU547" s="300"/>
      <c r="AV547" s="286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/>
      <c r="AO548" s="258"/>
      <c r="AP548" s="346"/>
      <c r="AQ548" s="300"/>
      <c r="AR548" s="300"/>
      <c r="AS548" s="345"/>
      <c r="AT548" s="345"/>
      <c r="AU548" s="300"/>
      <c r="AV548" s="286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/>
      <c r="AO549" s="258"/>
      <c r="AP549" s="346"/>
      <c r="AQ549" s="300"/>
      <c r="AR549" s="300"/>
      <c r="AS549" s="345"/>
      <c r="AT549" s="345"/>
      <c r="AU549" s="300"/>
      <c r="AV549" s="286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/>
      <c r="AO550" s="258"/>
      <c r="AP550" s="346"/>
      <c r="AQ550" s="300"/>
      <c r="AR550" s="300"/>
      <c r="AS550" s="345"/>
      <c r="AT550" s="345"/>
      <c r="AU550" s="300"/>
      <c r="AV550" s="286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/>
      <c r="AO551" s="258"/>
      <c r="AP551" s="346"/>
      <c r="AQ551" s="300"/>
      <c r="AR551" s="300"/>
      <c r="AS551" s="345"/>
      <c r="AT551" s="345"/>
      <c r="AU551" s="300"/>
      <c r="AV551" s="286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/>
      <c r="AO552" s="258"/>
      <c r="AP552" s="346"/>
      <c r="AQ552" s="300"/>
      <c r="AR552" s="300"/>
      <c r="AS552" s="345"/>
      <c r="AT552" s="345"/>
      <c r="AU552" s="300"/>
      <c r="AV552" s="286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/>
      <c r="AO553" s="258"/>
      <c r="AP553" s="346"/>
      <c r="AQ553" s="300"/>
      <c r="AR553" s="300"/>
      <c r="AS553" s="345"/>
      <c r="AT553" s="345"/>
      <c r="AU553" s="300"/>
      <c r="AV553" s="286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/>
      <c r="AO554" s="258"/>
      <c r="AP554" s="346"/>
      <c r="AQ554" s="300"/>
      <c r="AR554" s="300"/>
      <c r="AS554" s="345"/>
      <c r="AT554" s="345"/>
      <c r="AU554" s="300"/>
      <c r="AV554" s="286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/>
      <c r="AO555" s="258"/>
      <c r="AP555" s="346"/>
      <c r="AQ555" s="300"/>
      <c r="AR555" s="300"/>
      <c r="AS555" s="345"/>
      <c r="AT555" s="345"/>
      <c r="AU555" s="300"/>
      <c r="AV555" s="286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/>
      <c r="AO556" s="258"/>
      <c r="AP556" s="346"/>
      <c r="AQ556" s="300"/>
      <c r="AR556" s="300"/>
      <c r="AS556" s="345"/>
      <c r="AT556" s="345"/>
      <c r="AU556" s="300"/>
      <c r="AV556" s="286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/>
      <c r="AO557" s="258"/>
      <c r="AP557" s="346"/>
      <c r="AQ557" s="300"/>
      <c r="AR557" s="300"/>
      <c r="AS557" s="345"/>
      <c r="AT557" s="345"/>
      <c r="AU557" s="300"/>
      <c r="AV557" s="286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/>
      <c r="AO558" s="258"/>
      <c r="AP558" s="346"/>
      <c r="AQ558" s="300"/>
      <c r="AR558" s="300"/>
      <c r="AS558" s="345"/>
      <c r="AT558" s="345"/>
      <c r="AU558" s="300"/>
      <c r="AV558" s="286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/>
      <c r="AO559" s="258"/>
      <c r="AP559" s="346"/>
      <c r="AQ559" s="300"/>
      <c r="AR559" s="300"/>
      <c r="AS559" s="345"/>
      <c r="AT559" s="345"/>
      <c r="AU559" s="300"/>
      <c r="AV559" s="286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/>
      <c r="AO560" s="258"/>
      <c r="AP560" s="346"/>
      <c r="AQ560" s="300"/>
      <c r="AR560" s="300"/>
      <c r="AS560" s="345"/>
      <c r="AT560" s="345"/>
      <c r="AU560" s="300"/>
      <c r="AV560" s="286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/>
      <c r="AO561" s="258"/>
      <c r="AP561" s="346"/>
      <c r="AQ561" s="300"/>
      <c r="AR561" s="300"/>
      <c r="AS561" s="345"/>
      <c r="AT561" s="345"/>
      <c r="AU561" s="300"/>
      <c r="AV561" s="286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/>
      <c r="AO562" s="258"/>
      <c r="AP562" s="346"/>
      <c r="AQ562" s="300"/>
      <c r="AR562" s="300"/>
      <c r="AS562" s="345"/>
      <c r="AT562" s="345"/>
      <c r="AU562" s="300"/>
      <c r="AV562" s="286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/>
      <c r="AO563" s="258"/>
      <c r="AP563" s="346"/>
      <c r="AQ563" s="300"/>
      <c r="AR563" s="300"/>
      <c r="AS563" s="345"/>
      <c r="AT563" s="345"/>
      <c r="AU563" s="300"/>
      <c r="AV563" s="286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/>
      <c r="AO564" s="258"/>
      <c r="AP564" s="346"/>
      <c r="AQ564" s="300"/>
      <c r="AR564" s="300"/>
      <c r="AS564" s="345"/>
      <c r="AT564" s="345"/>
      <c r="AU564" s="300"/>
      <c r="AV564" s="286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/>
      <c r="AO565" s="258"/>
      <c r="AP565" s="346"/>
      <c r="AQ565" s="300"/>
      <c r="AR565" s="300"/>
      <c r="AS565" s="345"/>
      <c r="AT565" s="345"/>
      <c r="AU565" s="300"/>
      <c r="AV565" s="286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/>
      <c r="AO566" s="258"/>
      <c r="AP566" s="346"/>
      <c r="AQ566" s="300"/>
      <c r="AR566" s="300"/>
      <c r="AS566" s="345"/>
      <c r="AT566" s="345"/>
      <c r="AU566" s="300"/>
      <c r="AV566" s="286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/>
      <c r="AO567" s="258"/>
      <c r="AP567" s="346"/>
      <c r="AQ567" s="300"/>
      <c r="AR567" s="300"/>
      <c r="AS567" s="345"/>
      <c r="AT567" s="345"/>
      <c r="AU567" s="300"/>
      <c r="AV567" s="286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/>
      <c r="AO568" s="258"/>
      <c r="AP568" s="346"/>
      <c r="AQ568" s="300"/>
      <c r="AR568" s="300"/>
      <c r="AS568" s="345"/>
      <c r="AT568" s="345"/>
      <c r="AU568" s="300"/>
      <c r="AV568" s="286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/>
      <c r="AO569" s="258"/>
      <c r="AP569" s="346"/>
      <c r="AQ569" s="300"/>
      <c r="AR569" s="300"/>
      <c r="AS569" s="345"/>
      <c r="AT569" s="345"/>
      <c r="AU569" s="300"/>
      <c r="AV569" s="286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/>
      <c r="AO570" s="258"/>
      <c r="AP570" s="346"/>
      <c r="AQ570" s="300"/>
      <c r="AR570" s="300"/>
      <c r="AS570" s="345"/>
      <c r="AT570" s="345"/>
      <c r="AU570" s="300"/>
      <c r="AV570" s="286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/>
      <c r="AO571" s="258"/>
      <c r="AP571" s="346"/>
      <c r="AQ571" s="300"/>
      <c r="AR571" s="300"/>
      <c r="AS571" s="345"/>
      <c r="AT571" s="345"/>
      <c r="AU571" s="300"/>
      <c r="AV571" s="286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/>
      <c r="AO572" s="258"/>
      <c r="AP572" s="346"/>
      <c r="AQ572" s="300"/>
      <c r="AR572" s="300"/>
      <c r="AS572" s="345"/>
      <c r="AT572" s="345"/>
      <c r="AU572" s="300"/>
      <c r="AV572" s="286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/>
      <c r="AO573" s="258"/>
      <c r="AP573" s="346"/>
      <c r="AQ573" s="300"/>
      <c r="AR573" s="300"/>
      <c r="AS573" s="345"/>
      <c r="AT573" s="345"/>
      <c r="AU573" s="300"/>
      <c r="AV573" s="286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/>
      <c r="AO574" s="258"/>
      <c r="AP574" s="346"/>
      <c r="AQ574" s="300"/>
      <c r="AR574" s="300"/>
      <c r="AS574" s="345"/>
      <c r="AT574" s="345"/>
      <c r="AU574" s="300"/>
      <c r="AV574" s="286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/>
      <c r="AO575" s="258"/>
      <c r="AP575" s="346"/>
      <c r="AQ575" s="300"/>
      <c r="AR575" s="300"/>
      <c r="AS575" s="345"/>
      <c r="AT575" s="345"/>
      <c r="AU575" s="300"/>
      <c r="AV575" s="286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/>
      <c r="AO576" s="258"/>
      <c r="AP576" s="346"/>
      <c r="AQ576" s="300"/>
      <c r="AR576" s="300"/>
      <c r="AS576" s="345"/>
      <c r="AT576" s="345"/>
      <c r="AU576" s="300"/>
      <c r="AV576" s="286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/>
      <c r="AO577" s="258"/>
      <c r="AP577" s="346"/>
      <c r="AQ577" s="300"/>
      <c r="AR577" s="300"/>
      <c r="AS577" s="345"/>
      <c r="AT577" s="345"/>
      <c r="AU577" s="300"/>
      <c r="AV577" s="286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/>
      <c r="AO578" s="258"/>
      <c r="AP578" s="346"/>
      <c r="AQ578" s="300"/>
      <c r="AR578" s="300"/>
      <c r="AS578" s="345"/>
      <c r="AT578" s="345"/>
      <c r="AU578" s="300"/>
      <c r="AV578" s="286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/>
      <c r="AO579" s="258"/>
      <c r="AP579" s="346"/>
      <c r="AQ579" s="300"/>
      <c r="AR579" s="300"/>
      <c r="AS579" s="345"/>
      <c r="AT579" s="345"/>
      <c r="AU579" s="300"/>
      <c r="AV579" s="286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/>
      <c r="AO580" s="258"/>
      <c r="AP580" s="346"/>
      <c r="AQ580" s="300"/>
      <c r="AR580" s="300"/>
      <c r="AS580" s="345"/>
      <c r="AT580" s="345"/>
      <c r="AU580" s="300"/>
      <c r="AV580" s="286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/>
      <c r="AO581" s="258"/>
      <c r="AP581" s="346"/>
      <c r="AQ581" s="300"/>
      <c r="AR581" s="300"/>
      <c r="AS581" s="345"/>
      <c r="AT581" s="345"/>
      <c r="AU581" s="300"/>
      <c r="AV581" s="286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/>
      <c r="AO582" s="258"/>
      <c r="AP582" s="346"/>
      <c r="AQ582" s="300"/>
      <c r="AR582" s="300"/>
      <c r="AS582" s="345"/>
      <c r="AT582" s="345"/>
      <c r="AU582" s="300"/>
      <c r="AV582" s="286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/>
      <c r="AO583" s="258"/>
      <c r="AP583" s="346"/>
      <c r="AQ583" s="300"/>
      <c r="AR583" s="300"/>
      <c r="AS583" s="345"/>
      <c r="AT583" s="345"/>
      <c r="AU583" s="300"/>
      <c r="AV583" s="286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/>
      <c r="AO584" s="258"/>
      <c r="AP584" s="346"/>
      <c r="AQ584" s="300"/>
      <c r="AR584" s="300"/>
      <c r="AS584" s="345"/>
      <c r="AT584" s="345"/>
      <c r="AU584" s="300"/>
      <c r="AV584" s="286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/>
      <c r="AO585" s="258"/>
      <c r="AP585" s="346"/>
      <c r="AQ585" s="300"/>
      <c r="AR585" s="300"/>
      <c r="AS585" s="345"/>
      <c r="AT585" s="345"/>
      <c r="AU585" s="300"/>
      <c r="AV585" s="286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/>
      <c r="AO586" s="258"/>
      <c r="AP586" s="346"/>
      <c r="AQ586" s="300"/>
      <c r="AR586" s="300"/>
      <c r="AS586" s="345"/>
      <c r="AT586" s="345"/>
      <c r="AU586" s="300"/>
      <c r="AV586" s="286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/>
      <c r="AO587" s="258"/>
      <c r="AP587" s="346"/>
      <c r="AQ587" s="300"/>
      <c r="AR587" s="300"/>
      <c r="AS587" s="345"/>
      <c r="AT587" s="345"/>
      <c r="AU587" s="300"/>
      <c r="AV587" s="286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/>
      <c r="AO588" s="258"/>
      <c r="AP588" s="346"/>
      <c r="AQ588" s="300"/>
      <c r="AR588" s="300"/>
      <c r="AS588" s="345"/>
      <c r="AT588" s="345"/>
      <c r="AU588" s="300"/>
      <c r="AV588" s="286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/>
      <c r="AO589" s="258"/>
      <c r="AP589" s="346"/>
      <c r="AQ589" s="300"/>
      <c r="AR589" s="300"/>
      <c r="AS589" s="345"/>
      <c r="AT589" s="345"/>
      <c r="AU589" s="300"/>
      <c r="AV589" s="286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/>
      <c r="AO590" s="258"/>
      <c r="AP590" s="346"/>
      <c r="AQ590" s="300"/>
      <c r="AR590" s="300"/>
      <c r="AS590" s="345"/>
      <c r="AT590" s="345"/>
      <c r="AU590" s="300"/>
      <c r="AV590" s="286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/>
      <c r="AO591" s="258"/>
      <c r="AP591" s="346"/>
      <c r="AQ591" s="300"/>
      <c r="AR591" s="300"/>
      <c r="AS591" s="345"/>
      <c r="AT591" s="345"/>
      <c r="AU591" s="300"/>
      <c r="AV591" s="286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/>
      <c r="AO592" s="258"/>
      <c r="AP592" s="346"/>
      <c r="AQ592" s="300"/>
      <c r="AR592" s="300"/>
      <c r="AS592" s="345"/>
      <c r="AT592" s="345"/>
      <c r="AU592" s="300"/>
      <c r="AV592" s="286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/>
      <c r="AO593" s="258"/>
      <c r="AP593" s="346"/>
      <c r="AQ593" s="300"/>
      <c r="AR593" s="300"/>
      <c r="AS593" s="345"/>
      <c r="AT593" s="345"/>
      <c r="AU593" s="300"/>
      <c r="AV593" s="286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/>
      <c r="AO594" s="258"/>
      <c r="AP594" s="346"/>
      <c r="AQ594" s="300"/>
      <c r="AR594" s="300"/>
      <c r="AS594" s="345"/>
      <c r="AT594" s="345"/>
      <c r="AU594" s="300"/>
      <c r="AV594" s="286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/>
      <c r="AO595" s="258"/>
      <c r="AP595" s="346"/>
      <c r="AQ595" s="300"/>
      <c r="AR595" s="300"/>
      <c r="AS595" s="345"/>
      <c r="AT595" s="345"/>
      <c r="AU595" s="300"/>
      <c r="AV595" s="286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/>
      <c r="AO596" s="258"/>
      <c r="AP596" s="346"/>
      <c r="AQ596" s="300"/>
      <c r="AR596" s="300"/>
      <c r="AS596" s="345"/>
      <c r="AT596" s="345"/>
      <c r="AU596" s="300"/>
      <c r="AV596" s="286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/>
      <c r="AO597" s="258"/>
      <c r="AP597" s="346"/>
      <c r="AQ597" s="300"/>
      <c r="AR597" s="300"/>
      <c r="AS597" s="345"/>
      <c r="AT597" s="345"/>
      <c r="AU597" s="300"/>
      <c r="AV597" s="286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/>
      <c r="AO598" s="258"/>
      <c r="AP598" s="346"/>
      <c r="AQ598" s="300"/>
      <c r="AR598" s="300"/>
      <c r="AS598" s="345"/>
      <c r="AT598" s="345"/>
      <c r="AU598" s="300"/>
      <c r="AV598" s="286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/>
      <c r="AO599" s="258"/>
      <c r="AP599" s="346"/>
      <c r="AQ599" s="300"/>
      <c r="AR599" s="300"/>
      <c r="AS599" s="345"/>
      <c r="AT599" s="345"/>
      <c r="AU599" s="300"/>
      <c r="AV599" s="286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/>
      <c r="AO600" s="258"/>
      <c r="AP600" s="346"/>
      <c r="AQ600" s="300"/>
      <c r="AR600" s="300"/>
      <c r="AS600" s="345"/>
      <c r="AT600" s="345"/>
      <c r="AU600" s="300"/>
      <c r="AV600" s="286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/>
      <c r="AO601" s="258"/>
      <c r="AP601" s="346"/>
      <c r="AQ601" s="300"/>
      <c r="AR601" s="300"/>
      <c r="AS601" s="345"/>
      <c r="AT601" s="345"/>
      <c r="AU601" s="300"/>
      <c r="AV601" s="286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/>
      <c r="AO602" s="258"/>
      <c r="AP602" s="346"/>
      <c r="AQ602" s="300"/>
      <c r="AR602" s="300"/>
      <c r="AS602" s="345"/>
      <c r="AT602" s="345"/>
      <c r="AU602" s="300"/>
      <c r="AV602" s="286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/>
      <c r="AO603" s="258"/>
      <c r="AP603" s="346"/>
      <c r="AQ603" s="300"/>
      <c r="AR603" s="300"/>
      <c r="AS603" s="345"/>
      <c r="AT603" s="345"/>
      <c r="AU603" s="300"/>
      <c r="AV603" s="286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/>
      <c r="AO604" s="258"/>
      <c r="AP604" s="346"/>
      <c r="AQ604" s="300"/>
      <c r="AR604" s="300"/>
      <c r="AS604" s="345"/>
      <c r="AT604" s="345"/>
      <c r="AU604" s="300"/>
      <c r="AV604" s="286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/>
      <c r="AO605" s="258"/>
      <c r="AP605" s="346"/>
      <c r="AQ605" s="300"/>
      <c r="AR605" s="300"/>
      <c r="AS605" s="345"/>
      <c r="AT605" s="345"/>
      <c r="AU605" s="300"/>
      <c r="AV605" s="286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/>
      <c r="AO606" s="258"/>
      <c r="AP606" s="346"/>
      <c r="AQ606" s="300"/>
      <c r="AR606" s="300"/>
      <c r="AS606" s="345"/>
      <c r="AT606" s="345"/>
      <c r="AU606" s="300"/>
      <c r="AV606" s="286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/>
      <c r="AO607" s="258"/>
      <c r="AP607" s="346"/>
      <c r="AQ607" s="300"/>
      <c r="AR607" s="300"/>
      <c r="AS607" s="345"/>
      <c r="AT607" s="345"/>
      <c r="AU607" s="300"/>
      <c r="AV607" s="286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/>
      <c r="AO608" s="258"/>
      <c r="AP608" s="346"/>
      <c r="AQ608" s="300"/>
      <c r="AR608" s="300"/>
      <c r="AS608" s="345"/>
      <c r="AT608" s="345"/>
      <c r="AU608" s="300"/>
      <c r="AV608" s="286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/>
      <c r="AO609" s="258"/>
      <c r="AP609" s="346"/>
      <c r="AQ609" s="300"/>
      <c r="AR609" s="300"/>
      <c r="AS609" s="345"/>
      <c r="AT609" s="345"/>
      <c r="AU609" s="300"/>
      <c r="AV609" s="286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/>
      <c r="AO610" s="258"/>
      <c r="AP610" s="346"/>
      <c r="AQ610" s="300"/>
      <c r="AR610" s="300"/>
      <c r="AS610" s="345"/>
      <c r="AT610" s="345"/>
      <c r="AU610" s="300"/>
      <c r="AV610" s="286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/>
      <c r="AO611" s="258"/>
      <c r="AP611" s="346"/>
      <c r="AQ611" s="300"/>
      <c r="AR611" s="300"/>
      <c r="AS611" s="345"/>
      <c r="AT611" s="345"/>
      <c r="AU611" s="300"/>
      <c r="AV611" s="286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/>
      <c r="AO612" s="258"/>
      <c r="AP612" s="346"/>
      <c r="AQ612" s="300"/>
      <c r="AR612" s="300"/>
      <c r="AS612" s="345"/>
      <c r="AT612" s="345"/>
      <c r="AU612" s="300"/>
      <c r="AV612" s="286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/>
      <c r="AO613" s="258"/>
      <c r="AP613" s="346"/>
      <c r="AQ613" s="300"/>
      <c r="AR613" s="300"/>
      <c r="AS613" s="345"/>
      <c r="AT613" s="345"/>
      <c r="AU613" s="300"/>
      <c r="AV613" s="286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/>
      <c r="AO614" s="258"/>
      <c r="AP614" s="346"/>
      <c r="AQ614" s="300"/>
      <c r="AR614" s="300"/>
      <c r="AS614" s="345"/>
      <c r="AT614" s="345"/>
      <c r="AU614" s="300"/>
      <c r="AV614" s="286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/>
      <c r="AO615" s="258"/>
      <c r="AP615" s="346"/>
      <c r="AQ615" s="300"/>
      <c r="AR615" s="300"/>
      <c r="AS615" s="345"/>
      <c r="AT615" s="345"/>
      <c r="AU615" s="300"/>
      <c r="AV615" s="286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/>
      <c r="AO616" s="258"/>
      <c r="AP616" s="346"/>
      <c r="AQ616" s="300"/>
      <c r="AR616" s="300"/>
      <c r="AS616" s="345"/>
      <c r="AT616" s="345"/>
      <c r="AU616" s="300"/>
      <c r="AV616" s="286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/>
      <c r="AO617" s="258"/>
      <c r="AP617" s="346"/>
      <c r="AQ617" s="300"/>
      <c r="AR617" s="300"/>
      <c r="AS617" s="345"/>
      <c r="AT617" s="345"/>
      <c r="AU617" s="300"/>
      <c r="AV617" s="286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/>
      <c r="AO618" s="258"/>
      <c r="AP618" s="346"/>
      <c r="AQ618" s="300"/>
      <c r="AR618" s="300"/>
      <c r="AS618" s="345"/>
      <c r="AT618" s="345"/>
      <c r="AU618" s="300"/>
      <c r="AV618" s="286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/>
      <c r="AO619" s="258"/>
      <c r="AP619" s="346"/>
      <c r="AQ619" s="300"/>
      <c r="AR619" s="300"/>
      <c r="AS619" s="345"/>
      <c r="AT619" s="345"/>
      <c r="AU619" s="300"/>
      <c r="AV619" s="286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/>
      <c r="AO620" s="258"/>
      <c r="AP620" s="346"/>
      <c r="AQ620" s="300"/>
      <c r="AR620" s="300"/>
      <c r="AS620" s="345"/>
      <c r="AT620" s="345"/>
      <c r="AU620" s="300"/>
      <c r="AV620" s="286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/>
      <c r="AO621" s="258"/>
      <c r="AP621" s="346"/>
      <c r="AQ621" s="300"/>
      <c r="AR621" s="300"/>
      <c r="AS621" s="345"/>
      <c r="AT621" s="345"/>
      <c r="AU621" s="300"/>
      <c r="AV621" s="286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/>
      <c r="AO622" s="258"/>
      <c r="AP622" s="346"/>
      <c r="AQ622" s="300"/>
      <c r="AR622" s="300"/>
      <c r="AS622" s="345"/>
      <c r="AT622" s="345"/>
      <c r="AU622" s="300"/>
      <c r="AV622" s="286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/>
      <c r="AO623" s="258"/>
      <c r="AP623" s="346"/>
      <c r="AQ623" s="300"/>
      <c r="AR623" s="300"/>
      <c r="AS623" s="345"/>
      <c r="AT623" s="345"/>
      <c r="AU623" s="300"/>
      <c r="AV623" s="286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/>
      <c r="AO624" s="258"/>
      <c r="AP624" s="346"/>
      <c r="AQ624" s="300"/>
      <c r="AR624" s="300"/>
      <c r="AS624" s="345"/>
      <c r="AT624" s="345"/>
      <c r="AU624" s="300"/>
      <c r="AV624" s="286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/>
      <c r="AO625" s="258"/>
      <c r="AP625" s="346"/>
      <c r="AQ625" s="300"/>
      <c r="AR625" s="300"/>
      <c r="AS625" s="345"/>
      <c r="AT625" s="345"/>
      <c r="AU625" s="300"/>
      <c r="AV625" s="286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/>
      <c r="AO626" s="258"/>
      <c r="AP626" s="346"/>
      <c r="AQ626" s="300"/>
      <c r="AR626" s="300"/>
      <c r="AS626" s="345"/>
      <c r="AT626" s="345"/>
      <c r="AU626" s="300"/>
      <c r="AV626" s="286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/>
      <c r="AO627" s="258"/>
      <c r="AP627" s="346"/>
      <c r="AQ627" s="300"/>
      <c r="AR627" s="300"/>
      <c r="AS627" s="345"/>
      <c r="AT627" s="345"/>
      <c r="AU627" s="300"/>
      <c r="AV627" s="286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/>
      <c r="AO628" s="258"/>
      <c r="AP628" s="346"/>
      <c r="AQ628" s="300"/>
      <c r="AR628" s="300"/>
      <c r="AS628" s="345"/>
      <c r="AT628" s="345"/>
      <c r="AU628" s="300"/>
      <c r="AV628" s="286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/>
      <c r="AO629" s="258"/>
      <c r="AP629" s="346"/>
      <c r="AQ629" s="300"/>
      <c r="AR629" s="300"/>
      <c r="AS629" s="345"/>
      <c r="AT629" s="345"/>
      <c r="AU629" s="300"/>
      <c r="AV629" s="286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/>
      <c r="AO630" s="258"/>
      <c r="AP630" s="346"/>
      <c r="AQ630" s="300"/>
      <c r="AR630" s="300"/>
      <c r="AS630" s="345"/>
      <c r="AT630" s="345"/>
      <c r="AU630" s="300"/>
      <c r="AV630" s="286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/>
      <c r="AO631" s="258"/>
      <c r="AP631" s="346"/>
      <c r="AQ631" s="300"/>
      <c r="AR631" s="300"/>
      <c r="AS631" s="345"/>
      <c r="AT631" s="345"/>
      <c r="AU631" s="300"/>
      <c r="AV631" s="286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/>
      <c r="AO632" s="258"/>
      <c r="AP632" s="346"/>
      <c r="AQ632" s="300"/>
      <c r="AR632" s="300"/>
      <c r="AS632" s="345"/>
      <c r="AT632" s="345"/>
      <c r="AU632" s="300"/>
      <c r="AV632" s="286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/>
      <c r="AO633" s="258"/>
      <c r="AP633" s="346"/>
      <c r="AQ633" s="300"/>
      <c r="AR633" s="300"/>
      <c r="AS633" s="345"/>
      <c r="AT633" s="345"/>
      <c r="AU633" s="300"/>
      <c r="AV633" s="286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/>
      <c r="AO634" s="258"/>
      <c r="AP634" s="346"/>
      <c r="AQ634" s="300"/>
      <c r="AR634" s="300"/>
      <c r="AS634" s="345"/>
      <c r="AT634" s="345"/>
      <c r="AU634" s="300"/>
      <c r="AV634" s="286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/>
      <c r="AO635" s="258"/>
      <c r="AP635" s="346"/>
      <c r="AQ635" s="300"/>
      <c r="AR635" s="300"/>
      <c r="AS635" s="345"/>
      <c r="AT635" s="345"/>
      <c r="AU635" s="300"/>
      <c r="AV635" s="286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/>
      <c r="AO636" s="258"/>
      <c r="AP636" s="346"/>
      <c r="AQ636" s="300"/>
      <c r="AR636" s="300"/>
      <c r="AS636" s="345"/>
      <c r="AT636" s="345"/>
      <c r="AU636" s="300"/>
      <c r="AV636" s="286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/>
      <c r="AO637" s="258"/>
      <c r="AP637" s="346"/>
      <c r="AQ637" s="300"/>
      <c r="AR637" s="300"/>
      <c r="AS637" s="345"/>
      <c r="AT637" s="345"/>
      <c r="AU637" s="300"/>
      <c r="AV637" s="286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/>
      <c r="AO638" s="258"/>
      <c r="AP638" s="346"/>
      <c r="AQ638" s="300"/>
      <c r="AR638" s="300"/>
      <c r="AS638" s="345"/>
      <c r="AT638" s="345"/>
      <c r="AU638" s="300"/>
      <c r="AV638" s="286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/>
      <c r="AO639" s="258"/>
      <c r="AP639" s="346"/>
      <c r="AQ639" s="300"/>
      <c r="AR639" s="300"/>
      <c r="AS639" s="345"/>
      <c r="AT639" s="345"/>
      <c r="AU639" s="300"/>
      <c r="AV639" s="286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/>
      <c r="AO640" s="258"/>
      <c r="AP640" s="346"/>
      <c r="AQ640" s="300"/>
      <c r="AR640" s="300"/>
      <c r="AS640" s="345"/>
      <c r="AT640" s="345"/>
      <c r="AU640" s="300"/>
      <c r="AV640" s="286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/>
      <c r="AO641" s="258"/>
      <c r="AP641" s="346"/>
      <c r="AQ641" s="300"/>
      <c r="AR641" s="300"/>
      <c r="AS641" s="345"/>
      <c r="AT641" s="345"/>
      <c r="AU641" s="300"/>
      <c r="AV641" s="286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/>
      <c r="AO642" s="258"/>
      <c r="AP642" s="346"/>
      <c r="AQ642" s="300"/>
      <c r="AR642" s="300"/>
      <c r="AS642" s="345"/>
      <c r="AT642" s="345"/>
      <c r="AU642" s="300"/>
      <c r="AV642" s="286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/>
      <c r="AO643" s="258"/>
      <c r="AP643" s="346"/>
      <c r="AQ643" s="300"/>
      <c r="AR643" s="300"/>
      <c r="AS643" s="345"/>
      <c r="AT643" s="345"/>
      <c r="AU643" s="300"/>
      <c r="AV643" s="286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/>
      <c r="AO644" s="258"/>
      <c r="AP644" s="346"/>
      <c r="AQ644" s="300"/>
      <c r="AR644" s="300"/>
      <c r="AS644" s="345"/>
      <c r="AT644" s="345"/>
      <c r="AU644" s="300"/>
      <c r="AV644" s="286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/>
      <c r="AO645" s="258"/>
      <c r="AP645" s="346"/>
      <c r="AQ645" s="300"/>
      <c r="AR645" s="300"/>
      <c r="AS645" s="345"/>
      <c r="AT645" s="345"/>
      <c r="AU645" s="300"/>
      <c r="AV645" s="286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/>
      <c r="AO646" s="258"/>
      <c r="AP646" s="346"/>
      <c r="AQ646" s="300"/>
      <c r="AR646" s="300"/>
      <c r="AS646" s="345"/>
      <c r="AT646" s="345"/>
      <c r="AU646" s="300"/>
      <c r="AV646" s="286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/>
      <c r="AO647" s="258"/>
      <c r="AP647" s="346"/>
      <c r="AQ647" s="300"/>
      <c r="AR647" s="300"/>
      <c r="AS647" s="345"/>
      <c r="AT647" s="345"/>
      <c r="AU647" s="300"/>
      <c r="AV647" s="286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/>
      <c r="AO648" s="258"/>
      <c r="AP648" s="346"/>
      <c r="AQ648" s="300"/>
      <c r="AR648" s="300"/>
      <c r="AS648" s="345"/>
      <c r="AT648" s="345"/>
      <c r="AU648" s="300"/>
      <c r="AV648" s="286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/>
      <c r="AO649" s="258"/>
      <c r="AP649" s="346"/>
      <c r="AQ649" s="300"/>
      <c r="AR649" s="300"/>
      <c r="AS649" s="345"/>
      <c r="AT649" s="345"/>
      <c r="AU649" s="300"/>
      <c r="AV649" s="286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/>
      <c r="AO650" s="258"/>
      <c r="AP650" s="346"/>
      <c r="AQ650" s="300"/>
      <c r="AR650" s="300"/>
      <c r="AS650" s="345"/>
      <c r="AT650" s="345"/>
      <c r="AU650" s="300"/>
      <c r="AV650" s="286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/>
      <c r="AO651" s="258"/>
      <c r="AP651" s="346"/>
      <c r="AQ651" s="300"/>
      <c r="AR651" s="300"/>
      <c r="AS651" s="345"/>
      <c r="AT651" s="345"/>
      <c r="AU651" s="300"/>
      <c r="AV651" s="286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/>
      <c r="AO652" s="258"/>
      <c r="AP652" s="346"/>
      <c r="AQ652" s="300"/>
      <c r="AR652" s="300"/>
      <c r="AS652" s="345"/>
      <c r="AT652" s="345"/>
      <c r="AU652" s="300"/>
      <c r="AV652" s="286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/>
      <c r="AO653" s="258"/>
      <c r="AP653" s="346"/>
      <c r="AQ653" s="300"/>
      <c r="AR653" s="300"/>
      <c r="AS653" s="345"/>
      <c r="AT653" s="345"/>
      <c r="AU653" s="300"/>
      <c r="AV653" s="286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/>
      <c r="AO654" s="258"/>
      <c r="AP654" s="346"/>
      <c r="AQ654" s="300"/>
      <c r="AR654" s="300"/>
      <c r="AS654" s="345"/>
      <c r="AT654" s="345"/>
      <c r="AU654" s="300"/>
      <c r="AV654" s="286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/>
      <c r="AO655" s="258"/>
      <c r="AP655" s="346"/>
      <c r="AQ655" s="300"/>
      <c r="AR655" s="300"/>
      <c r="AS655" s="345"/>
      <c r="AT655" s="345"/>
      <c r="AU655" s="300"/>
      <c r="AV655" s="286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/>
      <c r="AO656" s="258"/>
      <c r="AP656" s="346"/>
      <c r="AQ656" s="300"/>
      <c r="AR656" s="300"/>
      <c r="AS656" s="345"/>
      <c r="AT656" s="345"/>
      <c r="AU656" s="300"/>
      <c r="AV656" s="286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/>
      <c r="AO657" s="258"/>
      <c r="AP657" s="346"/>
      <c r="AQ657" s="300"/>
      <c r="AR657" s="300"/>
      <c r="AS657" s="345"/>
      <c r="AT657" s="345"/>
      <c r="AU657" s="300"/>
      <c r="AV657" s="286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/>
      <c r="AO658" s="258"/>
      <c r="AP658" s="346"/>
      <c r="AQ658" s="300"/>
      <c r="AR658" s="300"/>
      <c r="AS658" s="345"/>
      <c r="AT658" s="345"/>
      <c r="AU658" s="300"/>
      <c r="AV658" s="286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/>
      <c r="AO659" s="258"/>
      <c r="AP659" s="346"/>
      <c r="AQ659" s="300"/>
      <c r="AR659" s="300"/>
      <c r="AS659" s="345"/>
      <c r="AT659" s="345"/>
      <c r="AU659" s="300"/>
      <c r="AV659" s="286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/>
      <c r="AO660" s="258"/>
      <c r="AP660" s="346"/>
      <c r="AQ660" s="300"/>
      <c r="AR660" s="300"/>
      <c r="AS660" s="345"/>
      <c r="AT660" s="345"/>
      <c r="AU660" s="300"/>
      <c r="AV660" s="286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/>
      <c r="AO661" s="258"/>
      <c r="AP661" s="346"/>
      <c r="AQ661" s="300"/>
      <c r="AR661" s="300"/>
      <c r="AS661" s="345"/>
      <c r="AT661" s="345"/>
      <c r="AU661" s="300"/>
      <c r="AV661" s="286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/>
      <c r="AO662" s="258"/>
      <c r="AP662" s="346"/>
      <c r="AQ662" s="300"/>
      <c r="AR662" s="300"/>
      <c r="AS662" s="345"/>
      <c r="AT662" s="345"/>
      <c r="AU662" s="300"/>
      <c r="AV662" s="286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/>
      <c r="AO663" s="258"/>
      <c r="AP663" s="346"/>
      <c r="AQ663" s="300"/>
      <c r="AR663" s="300"/>
      <c r="AS663" s="345"/>
      <c r="AT663" s="345"/>
      <c r="AU663" s="300"/>
      <c r="AV663" s="286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/>
      <c r="AO664" s="258"/>
      <c r="AP664" s="346"/>
      <c r="AQ664" s="300"/>
      <c r="AR664" s="300"/>
      <c r="AS664" s="345"/>
      <c r="AT664" s="345"/>
      <c r="AU664" s="300"/>
      <c r="AV664" s="286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/>
      <c r="AO665" s="258"/>
      <c r="AP665" s="346"/>
      <c r="AQ665" s="300"/>
      <c r="AR665" s="300"/>
      <c r="AS665" s="345"/>
      <c r="AT665" s="345"/>
      <c r="AU665" s="300"/>
      <c r="AV665" s="286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/>
      <c r="AO666" s="258"/>
      <c r="AP666" s="346"/>
      <c r="AQ666" s="300"/>
      <c r="AR666" s="300"/>
      <c r="AS666" s="345"/>
      <c r="AT666" s="345"/>
      <c r="AU666" s="300"/>
      <c r="AV666" s="286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/>
      <c r="AO667" s="258"/>
      <c r="AP667" s="346"/>
      <c r="AQ667" s="300"/>
      <c r="AR667" s="300"/>
      <c r="AS667" s="345"/>
      <c r="AT667" s="345"/>
      <c r="AU667" s="300"/>
      <c r="AV667" s="286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/>
      <c r="AO668" s="258"/>
      <c r="AP668" s="346"/>
      <c r="AQ668" s="300"/>
      <c r="AR668" s="300"/>
      <c r="AS668" s="345"/>
      <c r="AT668" s="345"/>
      <c r="AU668" s="300"/>
      <c r="AV668" s="286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/>
      <c r="AO669" s="258"/>
      <c r="AP669" s="346"/>
      <c r="AQ669" s="300"/>
      <c r="AR669" s="300"/>
      <c r="AS669" s="345"/>
      <c r="AT669" s="345"/>
      <c r="AU669" s="300"/>
      <c r="AV669" s="286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/>
      <c r="AO670" s="258"/>
      <c r="AP670" s="346"/>
      <c r="AQ670" s="300"/>
      <c r="AR670" s="300"/>
      <c r="AS670" s="345"/>
      <c r="AT670" s="345"/>
      <c r="AU670" s="300"/>
      <c r="AV670" s="286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/>
      <c r="AO671" s="258"/>
      <c r="AP671" s="346"/>
      <c r="AQ671" s="300"/>
      <c r="AR671" s="300"/>
      <c r="AS671" s="345"/>
      <c r="AT671" s="345"/>
      <c r="AU671" s="300"/>
      <c r="AV671" s="286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/>
      <c r="AO672" s="258"/>
      <c r="AP672" s="346"/>
      <c r="AQ672" s="300"/>
      <c r="AR672" s="300"/>
      <c r="AS672" s="345"/>
      <c r="AT672" s="345"/>
      <c r="AU672" s="300"/>
      <c r="AV672" s="286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/>
      <c r="AO673" s="258"/>
      <c r="AP673" s="346"/>
      <c r="AQ673" s="300"/>
      <c r="AR673" s="300"/>
      <c r="AS673" s="345"/>
      <c r="AT673" s="345"/>
      <c r="AU673" s="300"/>
      <c r="AV673" s="286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/>
      <c r="AO674" s="258"/>
      <c r="AP674" s="346"/>
      <c r="AQ674" s="300"/>
      <c r="AR674" s="300"/>
      <c r="AS674" s="345"/>
      <c r="AT674" s="345"/>
      <c r="AU674" s="300"/>
      <c r="AV674" s="286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/>
      <c r="AO675" s="258"/>
      <c r="AP675" s="346"/>
      <c r="AQ675" s="300"/>
      <c r="AR675" s="300"/>
      <c r="AS675" s="345"/>
      <c r="AT675" s="345"/>
      <c r="AU675" s="300"/>
      <c r="AV675" s="286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/>
      <c r="AO676" s="258"/>
      <c r="AP676" s="346"/>
      <c r="AQ676" s="300"/>
      <c r="AR676" s="300"/>
      <c r="AS676" s="345"/>
      <c r="AT676" s="345"/>
      <c r="AU676" s="300"/>
      <c r="AV676" s="286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/>
      <c r="AO677" s="258"/>
      <c r="AP677" s="346"/>
      <c r="AQ677" s="300"/>
      <c r="AR677" s="300"/>
      <c r="AS677" s="345"/>
      <c r="AT677" s="345"/>
      <c r="AU677" s="300"/>
      <c r="AV677" s="286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/>
      <c r="AO678" s="258"/>
      <c r="AP678" s="346"/>
      <c r="AQ678" s="300"/>
      <c r="AR678" s="300"/>
      <c r="AS678" s="345"/>
      <c r="AT678" s="345"/>
      <c r="AU678" s="300"/>
      <c r="AV678" s="286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/>
      <c r="AO679" s="258"/>
      <c r="AP679" s="346"/>
      <c r="AQ679" s="300"/>
      <c r="AR679" s="300"/>
      <c r="AS679" s="345"/>
      <c r="AT679" s="345"/>
      <c r="AU679" s="300"/>
      <c r="AV679" s="286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/>
      <c r="AO680" s="258"/>
      <c r="AP680" s="346"/>
      <c r="AQ680" s="300"/>
      <c r="AR680" s="300"/>
      <c r="AS680" s="345"/>
      <c r="AT680" s="345"/>
      <c r="AU680" s="300"/>
      <c r="AV680" s="286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/>
      <c r="AO681" s="258"/>
      <c r="AP681" s="346"/>
      <c r="AQ681" s="300"/>
      <c r="AR681" s="300"/>
      <c r="AS681" s="345"/>
      <c r="AT681" s="345"/>
      <c r="AU681" s="300"/>
      <c r="AV681" s="286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/>
      <c r="AO682" s="258"/>
      <c r="AP682" s="346"/>
      <c r="AQ682" s="300"/>
      <c r="AR682" s="300"/>
      <c r="AS682" s="345"/>
      <c r="AT682" s="345"/>
      <c r="AU682" s="300"/>
      <c r="AV682" s="286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/>
      <c r="AO683" s="258"/>
      <c r="AP683" s="346"/>
      <c r="AQ683" s="300"/>
      <c r="AR683" s="300"/>
      <c r="AS683" s="345"/>
      <c r="AT683" s="345"/>
      <c r="AU683" s="300"/>
      <c r="AV683" s="286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/>
      <c r="AO684" s="258"/>
      <c r="AP684" s="346"/>
      <c r="AQ684" s="300"/>
      <c r="AR684" s="300"/>
      <c r="AS684" s="345"/>
      <c r="AT684" s="345"/>
      <c r="AU684" s="300"/>
      <c r="AV684" s="286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/>
      <c r="AO685" s="258"/>
      <c r="AP685" s="346"/>
      <c r="AQ685" s="300"/>
      <c r="AR685" s="300"/>
      <c r="AS685" s="345"/>
      <c r="AT685" s="345"/>
      <c r="AU685" s="300"/>
      <c r="AV685" s="286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/>
      <c r="AO686" s="258"/>
      <c r="AP686" s="346"/>
      <c r="AQ686" s="300"/>
      <c r="AR686" s="300"/>
      <c r="AS686" s="345"/>
      <c r="AT686" s="345"/>
      <c r="AU686" s="300"/>
      <c r="AV686" s="286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/>
      <c r="AO687" s="258"/>
      <c r="AP687" s="346"/>
      <c r="AQ687" s="300"/>
      <c r="AR687" s="300"/>
      <c r="AS687" s="345"/>
      <c r="AT687" s="345"/>
      <c r="AU687" s="300"/>
      <c r="AV687" s="286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/>
      <c r="AO688" s="258"/>
      <c r="AP688" s="346"/>
      <c r="AQ688" s="300"/>
      <c r="AR688" s="300"/>
      <c r="AS688" s="345"/>
      <c r="AT688" s="345"/>
      <c r="AU688" s="300"/>
      <c r="AV688" s="286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/>
      <c r="AO689" s="258"/>
      <c r="AP689" s="346"/>
      <c r="AQ689" s="300"/>
      <c r="AR689" s="300"/>
      <c r="AS689" s="345"/>
      <c r="AT689" s="345"/>
      <c r="AU689" s="300"/>
      <c r="AV689" s="286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/>
      <c r="AO690" s="258"/>
      <c r="AP690" s="346"/>
      <c r="AQ690" s="300"/>
      <c r="AR690" s="300"/>
      <c r="AS690" s="345"/>
      <c r="AT690" s="345"/>
      <c r="AU690" s="300"/>
      <c r="AV690" s="286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/>
      <c r="AO691" s="258"/>
      <c r="AP691" s="346"/>
      <c r="AQ691" s="300"/>
      <c r="AR691" s="300"/>
      <c r="AS691" s="345"/>
      <c r="AT691" s="345"/>
      <c r="AU691" s="300"/>
      <c r="AV691" s="286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/>
      <c r="AO692" s="258"/>
      <c r="AP692" s="346"/>
      <c r="AQ692" s="300"/>
      <c r="AR692" s="300"/>
      <c r="AS692" s="345"/>
      <c r="AT692" s="345"/>
      <c r="AU692" s="300"/>
      <c r="AV692" s="286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/>
      <c r="AO693" s="258"/>
      <c r="AP693" s="346"/>
      <c r="AQ693" s="300"/>
      <c r="AR693" s="300"/>
      <c r="AS693" s="345"/>
      <c r="AT693" s="345"/>
      <c r="AU693" s="300"/>
      <c r="AV693" s="286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/>
      <c r="AO694" s="258"/>
      <c r="AP694" s="346"/>
      <c r="AQ694" s="300"/>
      <c r="AR694" s="300"/>
      <c r="AS694" s="345"/>
      <c r="AT694" s="345"/>
      <c r="AU694" s="300"/>
      <c r="AV694" s="286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/>
      <c r="AO695" s="258"/>
      <c r="AP695" s="346"/>
      <c r="AQ695" s="300"/>
      <c r="AR695" s="300"/>
      <c r="AS695" s="345"/>
      <c r="AT695" s="345"/>
      <c r="AU695" s="300"/>
      <c r="AV695" s="286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/>
      <c r="AO696" s="258"/>
      <c r="AP696" s="346"/>
      <c r="AQ696" s="300"/>
      <c r="AR696" s="300"/>
      <c r="AS696" s="345"/>
      <c r="AT696" s="345"/>
      <c r="AU696" s="300"/>
      <c r="AV696" s="286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/>
      <c r="AO697" s="258"/>
      <c r="AP697" s="346"/>
      <c r="AQ697" s="300"/>
      <c r="AR697" s="300"/>
      <c r="AS697" s="345"/>
      <c r="AT697" s="345"/>
      <c r="AU697" s="300"/>
      <c r="AV697" s="286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/>
      <c r="AO698" s="258"/>
      <c r="AP698" s="346"/>
      <c r="AQ698" s="300"/>
      <c r="AR698" s="300"/>
      <c r="AS698" s="345"/>
      <c r="AT698" s="345"/>
      <c r="AU698" s="300"/>
      <c r="AV698" s="286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/>
      <c r="AO699" s="258"/>
      <c r="AP699" s="346"/>
      <c r="AQ699" s="300"/>
      <c r="AR699" s="300"/>
      <c r="AS699" s="345"/>
      <c r="AT699" s="345"/>
      <c r="AU699" s="300"/>
      <c r="AV699" s="286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/>
      <c r="AO700" s="258"/>
      <c r="AP700" s="346"/>
      <c r="AQ700" s="300"/>
      <c r="AR700" s="300"/>
      <c r="AS700" s="345"/>
      <c r="AT700" s="345"/>
      <c r="AU700" s="300"/>
      <c r="AV700" s="286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/>
      <c r="AO701" s="258"/>
      <c r="AP701" s="346"/>
      <c r="AQ701" s="300"/>
      <c r="AR701" s="300"/>
      <c r="AS701" s="345"/>
      <c r="AT701" s="345"/>
      <c r="AU701" s="300"/>
      <c r="AV701" s="286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/>
      <c r="AO702" s="258"/>
      <c r="AP702" s="346"/>
      <c r="AQ702" s="300"/>
      <c r="AR702" s="300"/>
      <c r="AS702" s="345"/>
      <c r="AT702" s="345"/>
      <c r="AU702" s="300"/>
      <c r="AV702" s="286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/>
      <c r="AO703" s="258"/>
      <c r="AP703" s="346"/>
      <c r="AQ703" s="300"/>
      <c r="AR703" s="300"/>
      <c r="AS703" s="345"/>
      <c r="AT703" s="345"/>
      <c r="AU703" s="300"/>
      <c r="AV703" s="286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/>
      <c r="AO704" s="258"/>
      <c r="AP704" s="346"/>
      <c r="AQ704" s="300"/>
      <c r="AR704" s="300"/>
      <c r="AS704" s="345"/>
      <c r="AT704" s="345"/>
      <c r="AU704" s="300"/>
      <c r="AV704" s="286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/>
      <c r="AO705" s="258"/>
      <c r="AP705" s="346"/>
      <c r="AQ705" s="300"/>
      <c r="AR705" s="300"/>
      <c r="AS705" s="345"/>
      <c r="AT705" s="345"/>
      <c r="AU705" s="300"/>
      <c r="AV705" s="286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/>
      <c r="AO706" s="258"/>
      <c r="AP706" s="346"/>
      <c r="AQ706" s="300"/>
      <c r="AR706" s="300"/>
      <c r="AS706" s="345"/>
      <c r="AT706" s="345"/>
      <c r="AU706" s="300"/>
      <c r="AV706" s="286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/>
      <c r="AO707" s="258"/>
      <c r="AP707" s="346"/>
      <c r="AQ707" s="300"/>
      <c r="AR707" s="300"/>
      <c r="AS707" s="345"/>
      <c r="AT707" s="345"/>
      <c r="AU707" s="300"/>
      <c r="AV707" s="286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/>
      <c r="AO708" s="258"/>
      <c r="AP708" s="346"/>
      <c r="AQ708" s="300"/>
      <c r="AR708" s="300"/>
      <c r="AS708" s="345"/>
      <c r="AT708" s="345"/>
      <c r="AU708" s="300"/>
      <c r="AV708" s="286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/>
      <c r="AO709" s="258"/>
      <c r="AP709" s="346"/>
      <c r="AQ709" s="300"/>
      <c r="AR709" s="300"/>
      <c r="AS709" s="345"/>
      <c r="AT709" s="345"/>
      <c r="AU709" s="300"/>
      <c r="AV709" s="286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/>
      <c r="AO710" s="258"/>
      <c r="AP710" s="346"/>
      <c r="AQ710" s="300"/>
      <c r="AR710" s="300"/>
      <c r="AS710" s="345"/>
      <c r="AT710" s="345"/>
      <c r="AU710" s="300"/>
      <c r="AV710" s="286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/>
      <c r="AO711" s="258"/>
      <c r="AP711" s="346"/>
      <c r="AQ711" s="300"/>
      <c r="AR711" s="300"/>
      <c r="AS711" s="345"/>
      <c r="AT711" s="345"/>
      <c r="AU711" s="300"/>
      <c r="AV711" s="286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/>
      <c r="AO712" s="258"/>
      <c r="AP712" s="346"/>
      <c r="AQ712" s="300"/>
      <c r="AR712" s="300"/>
      <c r="AS712" s="345"/>
      <c r="AT712" s="345"/>
      <c r="AU712" s="300"/>
      <c r="AV712" s="286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/>
      <c r="AO713" s="258"/>
      <c r="AP713" s="346"/>
      <c r="AQ713" s="300"/>
      <c r="AR713" s="300"/>
      <c r="AS713" s="345"/>
      <c r="AT713" s="345"/>
      <c r="AU713" s="300"/>
      <c r="AV713" s="286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/>
      <c r="AO714" s="258"/>
      <c r="AP714" s="346"/>
      <c r="AQ714" s="300"/>
      <c r="AR714" s="300"/>
      <c r="AS714" s="345"/>
      <c r="AT714" s="345"/>
      <c r="AU714" s="300"/>
      <c r="AV714" s="286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/>
      <c r="AO715" s="258"/>
      <c r="AP715" s="346"/>
      <c r="AQ715" s="300"/>
      <c r="AR715" s="300"/>
      <c r="AS715" s="345"/>
      <c r="AT715" s="345"/>
      <c r="AU715" s="300"/>
      <c r="AV715" s="286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/>
      <c r="AO716" s="258"/>
      <c r="AP716" s="346"/>
      <c r="AQ716" s="300"/>
      <c r="AR716" s="300"/>
      <c r="AS716" s="345"/>
      <c r="AT716" s="345"/>
      <c r="AU716" s="300"/>
      <c r="AV716" s="286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/>
      <c r="AO717" s="258"/>
      <c r="AP717" s="346"/>
      <c r="AQ717" s="300"/>
      <c r="AR717" s="300"/>
      <c r="AS717" s="345"/>
      <c r="AT717" s="345"/>
      <c r="AU717" s="300"/>
      <c r="AV717" s="286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/>
      <c r="AO718" s="258"/>
      <c r="AP718" s="346"/>
      <c r="AQ718" s="300"/>
      <c r="AR718" s="300"/>
      <c r="AS718" s="345"/>
      <c r="AT718" s="345"/>
      <c r="AU718" s="300"/>
      <c r="AV718" s="286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/>
      <c r="AO719" s="258"/>
      <c r="AP719" s="346"/>
      <c r="AQ719" s="300"/>
      <c r="AR719" s="300"/>
      <c r="AS719" s="345"/>
      <c r="AT719" s="345"/>
      <c r="AU719" s="300"/>
      <c r="AV719" s="286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/>
      <c r="AO720" s="258"/>
      <c r="AP720" s="346"/>
      <c r="AQ720" s="300"/>
      <c r="AR720" s="300"/>
      <c r="AS720" s="345"/>
      <c r="AT720" s="345"/>
      <c r="AU720" s="300"/>
      <c r="AV720" s="286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/>
      <c r="AO721" s="258"/>
      <c r="AP721" s="346"/>
      <c r="AQ721" s="300"/>
      <c r="AR721" s="300"/>
      <c r="AS721" s="345"/>
      <c r="AT721" s="345"/>
      <c r="AU721" s="300"/>
      <c r="AV721" s="286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/>
      <c r="AO722" s="258"/>
      <c r="AP722" s="346"/>
      <c r="AQ722" s="300"/>
      <c r="AR722" s="300"/>
      <c r="AS722" s="345"/>
      <c r="AT722" s="345"/>
      <c r="AU722" s="300"/>
      <c r="AV722" s="286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/>
      <c r="AO723" s="258"/>
      <c r="AP723" s="346"/>
      <c r="AQ723" s="300"/>
      <c r="AR723" s="300"/>
      <c r="AS723" s="345"/>
      <c r="AT723" s="345"/>
      <c r="AU723" s="300"/>
      <c r="AV723" s="286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/>
      <c r="AO724" s="258"/>
      <c r="AP724" s="346"/>
      <c r="AQ724" s="300"/>
      <c r="AR724" s="300"/>
      <c r="AS724" s="345"/>
      <c r="AT724" s="345"/>
      <c r="AU724" s="300"/>
      <c r="AV724" s="286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/>
      <c r="AO725" s="258"/>
      <c r="AP725" s="346"/>
      <c r="AQ725" s="300"/>
      <c r="AR725" s="300"/>
      <c r="AS725" s="345"/>
      <c r="AT725" s="345"/>
      <c r="AU725" s="300"/>
      <c r="AV725" s="286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/>
      <c r="AO726" s="258"/>
      <c r="AP726" s="346"/>
      <c r="AQ726" s="300"/>
      <c r="AR726" s="300"/>
      <c r="AS726" s="345"/>
      <c r="AT726" s="345"/>
      <c r="AU726" s="300"/>
      <c r="AV726" s="286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/>
      <c r="AO727" s="258"/>
      <c r="AP727" s="346"/>
      <c r="AQ727" s="300"/>
      <c r="AR727" s="300"/>
      <c r="AS727" s="345"/>
      <c r="AT727" s="345"/>
      <c r="AU727" s="300"/>
      <c r="AV727" s="286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/>
      <c r="AO728" s="258"/>
      <c r="AP728" s="346"/>
      <c r="AQ728" s="300"/>
      <c r="AR728" s="300"/>
      <c r="AS728" s="345"/>
      <c r="AT728" s="345"/>
      <c r="AU728" s="300"/>
      <c r="AV728" s="286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/>
      <c r="AO729" s="258"/>
      <c r="AP729" s="346"/>
      <c r="AQ729" s="300"/>
      <c r="AR729" s="300"/>
      <c r="AS729" s="345"/>
      <c r="AT729" s="345"/>
      <c r="AU729" s="300"/>
      <c r="AV729" s="286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/>
      <c r="AO730" s="258"/>
      <c r="AP730" s="346"/>
      <c r="AQ730" s="300"/>
      <c r="AR730" s="300"/>
      <c r="AS730" s="345"/>
      <c r="AT730" s="345"/>
      <c r="AU730" s="300"/>
      <c r="AV730" s="286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/>
      <c r="AO731" s="258"/>
      <c r="AP731" s="346"/>
      <c r="AQ731" s="300"/>
      <c r="AR731" s="300"/>
      <c r="AS731" s="345"/>
      <c r="AT731" s="345"/>
      <c r="AU731" s="300"/>
      <c r="AV731" s="286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/>
      <c r="AO732" s="258"/>
      <c r="AP732" s="346"/>
      <c r="AQ732" s="300"/>
      <c r="AR732" s="300"/>
      <c r="AS732" s="345"/>
      <c r="AT732" s="345"/>
      <c r="AU732" s="300"/>
      <c r="AV732" s="286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/>
      <c r="AO733" s="258"/>
      <c r="AP733" s="346"/>
      <c r="AQ733" s="300"/>
      <c r="AR733" s="300"/>
      <c r="AS733" s="345"/>
      <c r="AT733" s="345"/>
      <c r="AU733" s="300"/>
      <c r="AV733" s="286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/>
      <c r="AO734" s="258"/>
      <c r="AP734" s="346"/>
      <c r="AQ734" s="300"/>
      <c r="AR734" s="300"/>
      <c r="AS734" s="345"/>
      <c r="AT734" s="345"/>
      <c r="AU734" s="300"/>
      <c r="AV734" s="286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/>
      <c r="AO735" s="258"/>
      <c r="AP735" s="346"/>
      <c r="AQ735" s="300"/>
      <c r="AR735" s="300"/>
      <c r="AS735" s="345"/>
      <c r="AT735" s="345"/>
      <c r="AU735" s="300"/>
      <c r="AV735" s="286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/>
      <c r="AO736" s="258"/>
      <c r="AP736" s="346"/>
      <c r="AQ736" s="300"/>
      <c r="AR736" s="300"/>
      <c r="AS736" s="345"/>
      <c r="AT736" s="345"/>
      <c r="AU736" s="300"/>
      <c r="AV736" s="286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/>
      <c r="AO737" s="258"/>
      <c r="AP737" s="346"/>
      <c r="AQ737" s="300"/>
      <c r="AR737" s="300"/>
      <c r="AS737" s="345"/>
      <c r="AT737" s="345"/>
      <c r="AU737" s="300"/>
      <c r="AV737" s="286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/>
      <c r="AO738" s="258"/>
      <c r="AP738" s="346"/>
      <c r="AQ738" s="300"/>
      <c r="AR738" s="300"/>
      <c r="AS738" s="345"/>
      <c r="AT738" s="345"/>
      <c r="AU738" s="300"/>
      <c r="AV738" s="286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/>
      <c r="AO739" s="258"/>
      <c r="AP739" s="346"/>
      <c r="AQ739" s="300"/>
      <c r="AR739" s="300"/>
      <c r="AS739" s="345"/>
      <c r="AT739" s="345"/>
      <c r="AU739" s="300"/>
      <c r="AV739" s="286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/>
      <c r="AO740" s="258"/>
      <c r="AP740" s="346"/>
      <c r="AQ740" s="300"/>
      <c r="AR740" s="300"/>
      <c r="AS740" s="345"/>
      <c r="AT740" s="345"/>
      <c r="AU740" s="300"/>
      <c r="AV740" s="286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/>
      <c r="AO741" s="258"/>
      <c r="AP741" s="346"/>
      <c r="AQ741" s="300"/>
      <c r="AR741" s="300"/>
      <c r="AS741" s="345"/>
      <c r="AT741" s="345"/>
      <c r="AU741" s="300"/>
      <c r="AV741" s="286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/>
      <c r="AO742" s="258"/>
      <c r="AP742" s="346"/>
      <c r="AQ742" s="300"/>
      <c r="AR742" s="300"/>
      <c r="AS742" s="345"/>
      <c r="AT742" s="345"/>
      <c r="AU742" s="300"/>
      <c r="AV742" s="286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/>
      <c r="AO743" s="258"/>
      <c r="AP743" s="346"/>
      <c r="AQ743" s="300"/>
      <c r="AR743" s="300"/>
      <c r="AS743" s="345"/>
      <c r="AT743" s="345"/>
      <c r="AU743" s="300"/>
      <c r="AV743" s="286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/>
      <c r="AO744" s="258"/>
      <c r="AP744" s="346"/>
      <c r="AQ744" s="300"/>
      <c r="AR744" s="300"/>
      <c r="AS744" s="345"/>
      <c r="AT744" s="345"/>
      <c r="AU744" s="300"/>
      <c r="AV744" s="286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/>
      <c r="AO745" s="258"/>
      <c r="AP745" s="346"/>
      <c r="AQ745" s="300"/>
      <c r="AR745" s="300"/>
      <c r="AS745" s="345"/>
      <c r="AT745" s="345"/>
      <c r="AU745" s="300"/>
      <c r="AV745" s="286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/>
      <c r="AO746" s="258"/>
      <c r="AP746" s="346"/>
      <c r="AQ746" s="300"/>
      <c r="AR746" s="300"/>
      <c r="AS746" s="345"/>
      <c r="AT746" s="345"/>
      <c r="AU746" s="300"/>
      <c r="AV746" s="286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/>
      <c r="AO747" s="258"/>
      <c r="AP747" s="346"/>
      <c r="AQ747" s="300"/>
      <c r="AR747" s="300"/>
      <c r="AS747" s="345"/>
      <c r="AT747" s="345"/>
      <c r="AU747" s="300"/>
      <c r="AV747" s="286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/>
      <c r="AO748" s="258"/>
      <c r="AP748" s="346"/>
      <c r="AQ748" s="300"/>
      <c r="AR748" s="300"/>
      <c r="AS748" s="345"/>
      <c r="AT748" s="345"/>
      <c r="AU748" s="300"/>
      <c r="AV748" s="286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/>
      <c r="AO749" s="258"/>
      <c r="AP749" s="346"/>
      <c r="AQ749" s="300"/>
      <c r="AR749" s="300"/>
      <c r="AS749" s="345"/>
      <c r="AT749" s="345"/>
      <c r="AU749" s="300"/>
      <c r="AV749" s="286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/>
      <c r="AO750" s="258"/>
      <c r="AP750" s="346"/>
      <c r="AQ750" s="300"/>
      <c r="AR750" s="300"/>
      <c r="AS750" s="345"/>
      <c r="AT750" s="345"/>
      <c r="AU750" s="300"/>
      <c r="AV750" s="286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/>
      <c r="AO751" s="258"/>
      <c r="AP751" s="346"/>
      <c r="AQ751" s="300"/>
      <c r="AR751" s="300"/>
      <c r="AS751" s="345"/>
      <c r="AT751" s="345"/>
      <c r="AU751" s="300"/>
      <c r="AV751" s="286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/>
      <c r="AO752" s="258"/>
      <c r="AP752" s="346"/>
      <c r="AQ752" s="300"/>
      <c r="AR752" s="300"/>
      <c r="AS752" s="345"/>
      <c r="AT752" s="345"/>
      <c r="AU752" s="300"/>
      <c r="AV752" s="286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/>
      <c r="AO753" s="258"/>
      <c r="AP753" s="346"/>
      <c r="AQ753" s="300"/>
      <c r="AR753" s="300"/>
      <c r="AS753" s="345"/>
      <c r="AT753" s="345"/>
      <c r="AU753" s="300"/>
      <c r="AV753" s="286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/>
      <c r="AO754" s="258"/>
      <c r="AP754" s="346"/>
      <c r="AQ754" s="300"/>
      <c r="AR754" s="300"/>
      <c r="AS754" s="345"/>
      <c r="AT754" s="345"/>
      <c r="AU754" s="300"/>
      <c r="AV754" s="286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/>
      <c r="AO755" s="258"/>
      <c r="AP755" s="346"/>
      <c r="AQ755" s="300"/>
      <c r="AR755" s="300"/>
      <c r="AS755" s="345"/>
      <c r="AT755" s="345"/>
      <c r="AU755" s="300"/>
      <c r="AV755" s="286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/>
      <c r="AO756" s="258"/>
      <c r="AP756" s="346"/>
      <c r="AQ756" s="300"/>
      <c r="AR756" s="300"/>
      <c r="AS756" s="345"/>
      <c r="AT756" s="345"/>
      <c r="AU756" s="300"/>
      <c r="AV756" s="286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/>
      <c r="AO757" s="258"/>
      <c r="AP757" s="346"/>
      <c r="AQ757" s="300"/>
      <c r="AR757" s="300"/>
      <c r="AS757" s="345"/>
      <c r="AT757" s="345"/>
      <c r="AU757" s="300"/>
      <c r="AV757" s="286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/>
      <c r="AO758" s="258"/>
      <c r="AP758" s="346"/>
      <c r="AQ758" s="300"/>
      <c r="AR758" s="300"/>
      <c r="AS758" s="345"/>
      <c r="AT758" s="345"/>
      <c r="AU758" s="300"/>
      <c r="AV758" s="286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/>
      <c r="AO759" s="258"/>
      <c r="AP759" s="346"/>
      <c r="AQ759" s="300"/>
      <c r="AR759" s="300"/>
      <c r="AS759" s="345"/>
      <c r="AT759" s="345"/>
      <c r="AU759" s="300"/>
      <c r="AV759" s="286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/>
      <c r="AO760" s="258"/>
      <c r="AP760" s="346"/>
      <c r="AQ760" s="300"/>
      <c r="AR760" s="300"/>
      <c r="AS760" s="345"/>
      <c r="AT760" s="345"/>
      <c r="AU760" s="300"/>
      <c r="AV760" s="286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/>
      <c r="AO761" s="258"/>
      <c r="AP761" s="346"/>
      <c r="AQ761" s="300"/>
      <c r="AR761" s="300"/>
      <c r="AS761" s="345"/>
      <c r="AT761" s="345"/>
      <c r="AU761" s="300"/>
      <c r="AV761" s="286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/>
      <c r="AO762" s="258"/>
      <c r="AP762" s="346"/>
      <c r="AQ762" s="300"/>
      <c r="AR762" s="300"/>
      <c r="AS762" s="345"/>
      <c r="AT762" s="345"/>
      <c r="AU762" s="300"/>
      <c r="AV762" s="286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/>
      <c r="AO763" s="258"/>
      <c r="AP763" s="346"/>
      <c r="AQ763" s="300"/>
      <c r="AR763" s="300"/>
      <c r="AS763" s="345"/>
      <c r="AT763" s="345"/>
      <c r="AU763" s="300"/>
      <c r="AV763" s="286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/>
      <c r="AO764" s="258"/>
      <c r="AP764" s="346"/>
      <c r="AQ764" s="300"/>
      <c r="AR764" s="300"/>
      <c r="AS764" s="345"/>
      <c r="AT764" s="345"/>
      <c r="AU764" s="300"/>
      <c r="AV764" s="286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/>
      <c r="AO765" s="258"/>
      <c r="AP765" s="346"/>
      <c r="AQ765" s="300"/>
      <c r="AR765" s="300"/>
      <c r="AS765" s="345"/>
      <c r="AT765" s="345"/>
      <c r="AU765" s="300"/>
      <c r="AV765" s="286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/>
      <c r="AO766" s="258"/>
      <c r="AP766" s="346"/>
      <c r="AQ766" s="300"/>
      <c r="AR766" s="300"/>
      <c r="AS766" s="345"/>
      <c r="AT766" s="345"/>
      <c r="AU766" s="300"/>
      <c r="AV766" s="286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/>
      <c r="AO767" s="258"/>
      <c r="AP767" s="346"/>
      <c r="AQ767" s="300"/>
      <c r="AR767" s="300"/>
      <c r="AS767" s="345"/>
      <c r="AT767" s="345"/>
      <c r="AU767" s="300"/>
      <c r="AV767" s="286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/>
      <c r="AO768" s="258"/>
      <c r="AP768" s="346"/>
      <c r="AQ768" s="300"/>
      <c r="AR768" s="300"/>
      <c r="AS768" s="345"/>
      <c r="AT768" s="345"/>
      <c r="AU768" s="300"/>
      <c r="AV768" s="286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/>
      <c r="AO769" s="258"/>
      <c r="AP769" s="346"/>
      <c r="AQ769" s="300"/>
      <c r="AR769" s="300"/>
      <c r="AS769" s="345"/>
      <c r="AT769" s="345"/>
      <c r="AU769" s="300"/>
      <c r="AV769" s="286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/>
      <c r="AO770" s="258"/>
      <c r="AP770" s="346"/>
      <c r="AQ770" s="300"/>
      <c r="AR770" s="300"/>
      <c r="AS770" s="345"/>
      <c r="AT770" s="345"/>
      <c r="AU770" s="300"/>
      <c r="AV770" s="286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/>
      <c r="AO771" s="258"/>
      <c r="AP771" s="346"/>
      <c r="AQ771" s="300"/>
      <c r="AR771" s="300"/>
      <c r="AS771" s="345"/>
      <c r="AT771" s="345"/>
      <c r="AU771" s="300"/>
      <c r="AV771" s="286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/>
      <c r="AO772" s="258"/>
      <c r="AP772" s="346"/>
      <c r="AQ772" s="300"/>
      <c r="AR772" s="300"/>
      <c r="AS772" s="345"/>
      <c r="AT772" s="345"/>
      <c r="AU772" s="300"/>
      <c r="AV772" s="286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/>
      <c r="AO773" s="258"/>
      <c r="AP773" s="346"/>
      <c r="AQ773" s="300"/>
      <c r="AR773" s="300"/>
      <c r="AS773" s="345"/>
      <c r="AT773" s="345"/>
      <c r="AU773" s="300"/>
      <c r="AV773" s="286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/>
      <c r="AO774" s="258"/>
      <c r="AP774" s="346"/>
      <c r="AQ774" s="300"/>
      <c r="AR774" s="300"/>
      <c r="AS774" s="345"/>
      <c r="AT774" s="345"/>
      <c r="AU774" s="300"/>
      <c r="AV774" s="286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/>
      <c r="AO775" s="258"/>
      <c r="AP775" s="346"/>
      <c r="AQ775" s="300"/>
      <c r="AR775" s="300"/>
      <c r="AS775" s="345"/>
      <c r="AT775" s="345"/>
      <c r="AU775" s="300"/>
      <c r="AV775" s="286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/>
      <c r="AO776" s="258"/>
      <c r="AP776" s="346"/>
      <c r="AQ776" s="300"/>
      <c r="AR776" s="300"/>
      <c r="AS776" s="345"/>
      <c r="AT776" s="345"/>
      <c r="AU776" s="300"/>
      <c r="AV776" s="286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/>
      <c r="AO777" s="258"/>
      <c r="AP777" s="346"/>
      <c r="AQ777" s="300"/>
      <c r="AR777" s="300"/>
      <c r="AS777" s="345"/>
      <c r="AT777" s="345"/>
      <c r="AU777" s="300"/>
      <c r="AV777" s="286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/>
      <c r="AO778" s="258"/>
      <c r="AP778" s="346"/>
      <c r="AQ778" s="300"/>
      <c r="AR778" s="300"/>
      <c r="AS778" s="345"/>
      <c r="AT778" s="345"/>
      <c r="AU778" s="300"/>
      <c r="AV778" s="286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/>
      <c r="AO779" s="258"/>
      <c r="AP779" s="346"/>
      <c r="AQ779" s="300"/>
      <c r="AR779" s="300"/>
      <c r="AS779" s="345"/>
      <c r="AT779" s="345"/>
      <c r="AU779" s="300"/>
      <c r="AV779" s="286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/>
      <c r="AO780" s="258"/>
      <c r="AP780" s="346"/>
      <c r="AQ780" s="300"/>
      <c r="AR780" s="300"/>
      <c r="AS780" s="345"/>
      <c r="AT780" s="345"/>
      <c r="AU780" s="300"/>
      <c r="AV780" s="286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/>
      <c r="AO781" s="258"/>
      <c r="AP781" s="346"/>
      <c r="AQ781" s="300"/>
      <c r="AR781" s="300"/>
      <c r="AS781" s="345"/>
      <c r="AT781" s="345"/>
      <c r="AU781" s="300"/>
      <c r="AV781" s="286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/>
      <c r="AO782" s="258"/>
      <c r="AP782" s="346"/>
      <c r="AQ782" s="300"/>
      <c r="AR782" s="300"/>
      <c r="AS782" s="345"/>
      <c r="AT782" s="345"/>
      <c r="AU782" s="300"/>
      <c r="AV782" s="286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/>
      <c r="AO783" s="258"/>
      <c r="AP783" s="346"/>
      <c r="AQ783" s="300"/>
      <c r="AR783" s="300"/>
      <c r="AS783" s="345"/>
      <c r="AT783" s="345"/>
      <c r="AU783" s="300"/>
      <c r="AV783" s="286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/>
      <c r="AO784" s="258"/>
      <c r="AP784" s="346"/>
      <c r="AQ784" s="300"/>
      <c r="AR784" s="300"/>
      <c r="AS784" s="345"/>
      <c r="AT784" s="345"/>
      <c r="AU784" s="300"/>
      <c r="AV784" s="286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/>
      <c r="AO785" s="258"/>
      <c r="AP785" s="346"/>
      <c r="AQ785" s="300"/>
      <c r="AR785" s="300"/>
      <c r="AS785" s="345"/>
      <c r="AT785" s="345"/>
      <c r="AU785" s="300"/>
      <c r="AV785" s="286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/>
      <c r="AO786" s="258"/>
      <c r="AP786" s="346"/>
      <c r="AQ786" s="300"/>
      <c r="AR786" s="300"/>
      <c r="AS786" s="345"/>
      <c r="AT786" s="345"/>
      <c r="AU786" s="300"/>
      <c r="AV786" s="286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/>
      <c r="AO787" s="258"/>
      <c r="AP787" s="346"/>
      <c r="AQ787" s="300"/>
      <c r="AR787" s="300"/>
      <c r="AS787" s="345"/>
      <c r="AT787" s="345"/>
      <c r="AU787" s="300"/>
      <c r="AV787" s="286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/>
      <c r="AO788" s="258"/>
      <c r="AP788" s="346"/>
      <c r="AQ788" s="300"/>
      <c r="AR788" s="300"/>
      <c r="AS788" s="345"/>
      <c r="AT788" s="345"/>
      <c r="AU788" s="300"/>
      <c r="AV788" s="286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/>
      <c r="AO789" s="258"/>
      <c r="AP789" s="346"/>
      <c r="AQ789" s="300"/>
      <c r="AR789" s="300"/>
      <c r="AS789" s="345"/>
      <c r="AT789" s="345"/>
      <c r="AU789" s="300"/>
      <c r="AV789" s="286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/>
      <c r="AO790" s="258"/>
      <c r="AP790" s="346"/>
      <c r="AQ790" s="300"/>
      <c r="AR790" s="300"/>
      <c r="AS790" s="345"/>
      <c r="AT790" s="345"/>
      <c r="AU790" s="300"/>
      <c r="AV790" s="286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/>
      <c r="AO791" s="258"/>
      <c r="AP791" s="346"/>
      <c r="AQ791" s="300"/>
      <c r="AR791" s="300"/>
      <c r="AS791" s="345"/>
      <c r="AT791" s="345"/>
      <c r="AU791" s="300"/>
      <c r="AV791" s="286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/>
      <c r="AO792" s="258"/>
      <c r="AP792" s="346"/>
      <c r="AQ792" s="300"/>
      <c r="AR792" s="300"/>
      <c r="AS792" s="345"/>
      <c r="AT792" s="345"/>
      <c r="AU792" s="300"/>
      <c r="AV792" s="286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/>
      <c r="AO793" s="258"/>
      <c r="AP793" s="346"/>
      <c r="AQ793" s="300"/>
      <c r="AR793" s="300"/>
      <c r="AS793" s="345"/>
      <c r="AT793" s="345"/>
      <c r="AU793" s="300"/>
      <c r="AV793" s="286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/>
      <c r="AO794" s="258"/>
      <c r="AP794" s="346"/>
      <c r="AQ794" s="300"/>
      <c r="AR794" s="300"/>
      <c r="AS794" s="345"/>
      <c r="AT794" s="345"/>
      <c r="AU794" s="300"/>
      <c r="AV794" s="286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/>
      <c r="AO795" s="258"/>
      <c r="AP795" s="346"/>
      <c r="AQ795" s="300"/>
      <c r="AR795" s="300"/>
      <c r="AS795" s="345"/>
      <c r="AT795" s="345"/>
      <c r="AU795" s="300"/>
      <c r="AV795" s="286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/>
      <c r="AO796" s="258"/>
      <c r="AP796" s="346"/>
      <c r="AQ796" s="300"/>
      <c r="AR796" s="300"/>
      <c r="AS796" s="345"/>
      <c r="AT796" s="345"/>
      <c r="AU796" s="300"/>
      <c r="AV796" s="286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/>
      <c r="AO797" s="258"/>
      <c r="AP797" s="346"/>
      <c r="AQ797" s="300"/>
      <c r="AR797" s="300"/>
      <c r="AS797" s="345"/>
      <c r="AT797" s="345"/>
      <c r="AU797" s="300"/>
      <c r="AV797" s="286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/>
      <c r="AO798" s="258"/>
      <c r="AP798" s="346"/>
      <c r="AQ798" s="300"/>
      <c r="AR798" s="300"/>
      <c r="AS798" s="345"/>
      <c r="AT798" s="345"/>
      <c r="AU798" s="300"/>
      <c r="AV798" s="286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/>
      <c r="AO799" s="258"/>
      <c r="AP799" s="346"/>
      <c r="AQ799" s="300"/>
      <c r="AR799" s="300"/>
      <c r="AS799" s="345"/>
      <c r="AT799" s="345"/>
      <c r="AU799" s="300"/>
      <c r="AV799" s="286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/>
      <c r="AO800" s="258"/>
      <c r="AP800" s="346"/>
      <c r="AQ800" s="300"/>
      <c r="AR800" s="300"/>
      <c r="AS800" s="345"/>
      <c r="AT800" s="345"/>
      <c r="AU800" s="300"/>
      <c r="AV800" s="286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/>
      <c r="AO801" s="258"/>
      <c r="AP801" s="346"/>
      <c r="AQ801" s="300"/>
      <c r="AR801" s="300"/>
      <c r="AS801" s="345"/>
      <c r="AT801" s="345"/>
      <c r="AU801" s="300"/>
      <c r="AV801" s="286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/>
      <c r="AO802" s="258"/>
      <c r="AP802" s="346"/>
      <c r="AQ802" s="300"/>
      <c r="AR802" s="300"/>
      <c r="AS802" s="345"/>
      <c r="AT802" s="345"/>
      <c r="AU802" s="300"/>
      <c r="AV802" s="286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/>
      <c r="AO803" s="258"/>
      <c r="AP803" s="346"/>
      <c r="AQ803" s="300"/>
      <c r="AR803" s="300"/>
      <c r="AS803" s="345"/>
      <c r="AT803" s="345"/>
      <c r="AU803" s="300"/>
      <c r="AV803" s="286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/>
      <c r="AO804" s="258"/>
      <c r="AP804" s="346"/>
      <c r="AQ804" s="300"/>
      <c r="AR804" s="300"/>
      <c r="AS804" s="345"/>
      <c r="AT804" s="345"/>
      <c r="AU804" s="300"/>
      <c r="AV804" s="286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/>
      <c r="AO805" s="258"/>
      <c r="AP805" s="346"/>
      <c r="AQ805" s="300"/>
      <c r="AR805" s="300"/>
      <c r="AS805" s="345"/>
      <c r="AT805" s="345"/>
      <c r="AU805" s="300"/>
      <c r="AV805" s="286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/>
      <c r="AO806" s="258"/>
      <c r="AP806" s="346"/>
      <c r="AQ806" s="300"/>
      <c r="AR806" s="300"/>
      <c r="AS806" s="345"/>
      <c r="AT806" s="345"/>
      <c r="AU806" s="300"/>
      <c r="AV806" s="286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/>
      <c r="AO807" s="258"/>
      <c r="AP807" s="346"/>
      <c r="AQ807" s="300"/>
      <c r="AR807" s="300"/>
      <c r="AS807" s="345"/>
      <c r="AT807" s="345"/>
      <c r="AU807" s="300"/>
      <c r="AV807" s="286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/>
      <c r="AO808" s="258"/>
      <c r="AP808" s="346"/>
      <c r="AQ808" s="300"/>
      <c r="AR808" s="300"/>
      <c r="AS808" s="345"/>
      <c r="AT808" s="345"/>
      <c r="AU808" s="300"/>
      <c r="AV808" s="286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/>
      <c r="AO809" s="258"/>
      <c r="AP809" s="346"/>
      <c r="AQ809" s="300"/>
      <c r="AR809" s="300"/>
      <c r="AS809" s="345"/>
      <c r="AT809" s="345"/>
      <c r="AU809" s="300"/>
      <c r="AV809" s="286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/>
      <c r="AO810" s="258"/>
      <c r="AP810" s="346"/>
      <c r="AQ810" s="300"/>
      <c r="AR810" s="300"/>
      <c r="AS810" s="345"/>
      <c r="AT810" s="345"/>
      <c r="AU810" s="300"/>
      <c r="AV810" s="286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/>
      <c r="AO811" s="258"/>
      <c r="AP811" s="346"/>
      <c r="AQ811" s="300"/>
      <c r="AR811" s="300"/>
      <c r="AS811" s="345"/>
      <c r="AT811" s="345"/>
      <c r="AU811" s="300"/>
      <c r="AV811" s="286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/>
      <c r="AO812" s="258"/>
      <c r="AP812" s="346"/>
      <c r="AQ812" s="300"/>
      <c r="AR812" s="300"/>
      <c r="AS812" s="345"/>
      <c r="AT812" s="345"/>
      <c r="AU812" s="300"/>
      <c r="AV812" s="286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/>
      <c r="AO813" s="258"/>
      <c r="AP813" s="346"/>
      <c r="AQ813" s="300"/>
      <c r="AR813" s="300"/>
      <c r="AS813" s="345"/>
      <c r="AT813" s="345"/>
      <c r="AU813" s="300"/>
      <c r="AV813" s="286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/>
      <c r="AO814" s="258"/>
      <c r="AP814" s="346"/>
      <c r="AQ814" s="300"/>
      <c r="AR814" s="300"/>
      <c r="AS814" s="345"/>
      <c r="AT814" s="345"/>
      <c r="AU814" s="300"/>
      <c r="AV814" s="286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/>
      <c r="AO815" s="258"/>
      <c r="AP815" s="346"/>
      <c r="AQ815" s="300"/>
      <c r="AR815" s="300"/>
      <c r="AS815" s="345"/>
      <c r="AT815" s="345"/>
      <c r="AU815" s="300"/>
      <c r="AV815" s="286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/>
      <c r="AO816" s="258"/>
      <c r="AP816" s="346"/>
      <c r="AQ816" s="300"/>
      <c r="AR816" s="300"/>
      <c r="AS816" s="345"/>
      <c r="AT816" s="345"/>
      <c r="AU816" s="300"/>
      <c r="AV816" s="286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/>
      <c r="AO817" s="258"/>
      <c r="AP817" s="346"/>
      <c r="AQ817" s="300"/>
      <c r="AR817" s="300"/>
      <c r="AS817" s="345"/>
      <c r="AT817" s="345"/>
      <c r="AU817" s="300"/>
      <c r="AV817" s="286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/>
      <c r="AO818" s="258"/>
      <c r="AP818" s="346"/>
      <c r="AQ818" s="300"/>
      <c r="AR818" s="300"/>
      <c r="AS818" s="345"/>
      <c r="AT818" s="345"/>
      <c r="AU818" s="300"/>
      <c r="AV818" s="286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/>
      <c r="AO819" s="258"/>
      <c r="AP819" s="346"/>
      <c r="AQ819" s="300"/>
      <c r="AR819" s="300"/>
      <c r="AS819" s="345"/>
      <c r="AT819" s="345"/>
      <c r="AU819" s="300"/>
      <c r="AV819" s="286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/>
      <c r="AO820" s="258"/>
      <c r="AP820" s="346"/>
      <c r="AQ820" s="300"/>
      <c r="AR820" s="300"/>
      <c r="AS820" s="345"/>
      <c r="AT820" s="345"/>
      <c r="AU820" s="300"/>
      <c r="AV820" s="286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/>
      <c r="AO821" s="258"/>
      <c r="AP821" s="346"/>
      <c r="AQ821" s="300"/>
      <c r="AR821" s="300"/>
      <c r="AS821" s="345"/>
      <c r="AT821" s="345"/>
      <c r="AU821" s="300"/>
      <c r="AV821" s="286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/>
      <c r="AO822" s="258"/>
      <c r="AP822" s="346"/>
      <c r="AQ822" s="300"/>
      <c r="AR822" s="300"/>
      <c r="AS822" s="345"/>
      <c r="AT822" s="345"/>
      <c r="AU822" s="300"/>
      <c r="AV822" s="286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/>
      <c r="AO823" s="258"/>
      <c r="AP823" s="346"/>
      <c r="AQ823" s="300"/>
      <c r="AR823" s="300"/>
      <c r="AS823" s="345"/>
      <c r="AT823" s="345"/>
      <c r="AU823" s="300"/>
      <c r="AV823" s="286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/>
      <c r="AO824" s="258"/>
      <c r="AP824" s="346"/>
      <c r="AQ824" s="300"/>
      <c r="AR824" s="300"/>
      <c r="AS824" s="345"/>
      <c r="AT824" s="345"/>
      <c r="AU824" s="300"/>
      <c r="AV824" s="286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/>
      <c r="AO825" s="258"/>
      <c r="AP825" s="346"/>
      <c r="AQ825" s="300"/>
      <c r="AR825" s="300"/>
      <c r="AS825" s="345"/>
      <c r="AT825" s="345"/>
      <c r="AU825" s="300"/>
      <c r="AV825" s="286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/>
      <c r="AO826" s="258"/>
      <c r="AP826" s="346"/>
      <c r="AQ826" s="300"/>
      <c r="AR826" s="300"/>
      <c r="AS826" s="345"/>
      <c r="AT826" s="345"/>
      <c r="AU826" s="300"/>
      <c r="AV826" s="286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/>
      <c r="AO827" s="258"/>
      <c r="AP827" s="346"/>
      <c r="AQ827" s="300"/>
      <c r="AR827" s="300"/>
      <c r="AS827" s="345"/>
      <c r="AT827" s="345"/>
      <c r="AU827" s="300"/>
      <c r="AV827" s="286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/>
      <c r="AO828" s="258"/>
      <c r="AP828" s="346"/>
      <c r="AQ828" s="300"/>
      <c r="AR828" s="300"/>
      <c r="AS828" s="345"/>
      <c r="AT828" s="345"/>
      <c r="AU828" s="300"/>
      <c r="AV828" s="286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/>
      <c r="AO829" s="258"/>
      <c r="AP829" s="346"/>
      <c r="AQ829" s="300"/>
      <c r="AR829" s="300"/>
      <c r="AS829" s="345"/>
      <c r="AT829" s="345"/>
      <c r="AU829" s="300"/>
      <c r="AV829" s="286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/>
      <c r="AO830" s="258"/>
      <c r="AP830" s="346"/>
      <c r="AQ830" s="300"/>
      <c r="AR830" s="300"/>
      <c r="AS830" s="345"/>
      <c r="AT830" s="345"/>
      <c r="AU830" s="300"/>
      <c r="AV830" s="286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/>
      <c r="AO831" s="258"/>
      <c r="AP831" s="346"/>
      <c r="AQ831" s="300"/>
      <c r="AR831" s="300"/>
      <c r="AS831" s="345"/>
      <c r="AT831" s="345"/>
      <c r="AU831" s="300"/>
      <c r="AV831" s="286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/>
      <c r="AO832" s="258"/>
      <c r="AP832" s="346"/>
      <c r="AQ832" s="300"/>
      <c r="AR832" s="300"/>
      <c r="AS832" s="345"/>
      <c r="AT832" s="345"/>
      <c r="AU832" s="300"/>
      <c r="AV832" s="286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/>
      <c r="AO833" s="258"/>
      <c r="AP833" s="346"/>
      <c r="AQ833" s="300"/>
      <c r="AR833" s="300"/>
      <c r="AS833" s="345"/>
      <c r="AT833" s="345"/>
      <c r="AU833" s="300"/>
      <c r="AV833" s="286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/>
      <c r="AO834" s="258"/>
      <c r="AP834" s="346"/>
      <c r="AQ834" s="300"/>
      <c r="AR834" s="300"/>
      <c r="AS834" s="345"/>
      <c r="AT834" s="345"/>
      <c r="AU834" s="300"/>
      <c r="AV834" s="286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/>
      <c r="AO835" s="258"/>
      <c r="AP835" s="346"/>
      <c r="AQ835" s="300"/>
      <c r="AR835" s="300"/>
      <c r="AS835" s="345"/>
      <c r="AT835" s="345"/>
      <c r="AU835" s="300"/>
      <c r="AV835" s="286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/>
      <c r="AO836" s="258"/>
      <c r="AP836" s="346"/>
      <c r="AQ836" s="300"/>
      <c r="AR836" s="300"/>
      <c r="AS836" s="345"/>
      <c r="AT836" s="345"/>
      <c r="AU836" s="300"/>
      <c r="AV836" s="286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/>
      <c r="AO837" s="258"/>
      <c r="AP837" s="346"/>
      <c r="AQ837" s="300"/>
      <c r="AR837" s="300"/>
      <c r="AS837" s="345"/>
      <c r="AT837" s="345"/>
      <c r="AU837" s="300"/>
      <c r="AV837" s="286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/>
      <c r="AO838" s="258"/>
      <c r="AP838" s="346"/>
      <c r="AQ838" s="300"/>
      <c r="AR838" s="300"/>
      <c r="AS838" s="345"/>
      <c r="AT838" s="345"/>
      <c r="AU838" s="300"/>
      <c r="AV838" s="286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/>
      <c r="AO839" s="258"/>
      <c r="AP839" s="346"/>
      <c r="AQ839" s="300"/>
      <c r="AR839" s="300"/>
      <c r="AS839" s="345"/>
      <c r="AT839" s="345"/>
      <c r="AU839" s="300"/>
      <c r="AV839" s="286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/>
      <c r="AO840" s="258"/>
      <c r="AP840" s="346"/>
      <c r="AQ840" s="300"/>
      <c r="AR840" s="300"/>
      <c r="AS840" s="345"/>
      <c r="AT840" s="345"/>
      <c r="AU840" s="300"/>
      <c r="AV840" s="286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/>
      <c r="AO841" s="258"/>
      <c r="AP841" s="346"/>
      <c r="AQ841" s="300"/>
      <c r="AR841" s="300"/>
      <c r="AS841" s="345"/>
      <c r="AT841" s="345"/>
      <c r="AU841" s="300"/>
      <c r="AV841" s="286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/>
      <c r="AO842" s="258"/>
      <c r="AP842" s="346"/>
      <c r="AQ842" s="300"/>
      <c r="AR842" s="300"/>
      <c r="AS842" s="345"/>
      <c r="AT842" s="345"/>
      <c r="AU842" s="300"/>
      <c r="AV842" s="286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/>
      <c r="AO843" s="258"/>
      <c r="AP843" s="346"/>
      <c r="AQ843" s="300"/>
      <c r="AR843" s="300"/>
      <c r="AS843" s="345"/>
      <c r="AT843" s="345"/>
      <c r="AU843" s="300"/>
      <c r="AV843" s="286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/>
      <c r="AO844" s="258"/>
      <c r="AP844" s="346"/>
      <c r="AQ844" s="300"/>
      <c r="AR844" s="300"/>
      <c r="AS844" s="345"/>
      <c r="AT844" s="345"/>
      <c r="AU844" s="300"/>
      <c r="AV844" s="286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/>
      <c r="AO845" s="258"/>
      <c r="AP845" s="346"/>
      <c r="AQ845" s="300"/>
      <c r="AR845" s="300"/>
      <c r="AS845" s="345"/>
      <c r="AT845" s="345"/>
      <c r="AU845" s="300"/>
      <c r="AV845" s="286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/>
      <c r="AO846" s="258"/>
      <c r="AP846" s="346"/>
      <c r="AQ846" s="300"/>
      <c r="AR846" s="300"/>
      <c r="AS846" s="345"/>
      <c r="AT846" s="345"/>
      <c r="AU846" s="300"/>
      <c r="AV846" s="286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/>
      <c r="AO847" s="258"/>
      <c r="AP847" s="346"/>
      <c r="AQ847" s="300"/>
      <c r="AR847" s="300"/>
      <c r="AS847" s="345"/>
      <c r="AT847" s="345"/>
      <c r="AU847" s="300"/>
      <c r="AV847" s="286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/>
      <c r="AO848" s="258"/>
      <c r="AP848" s="346"/>
      <c r="AQ848" s="300"/>
      <c r="AR848" s="300"/>
      <c r="AS848" s="345"/>
      <c r="AT848" s="345"/>
      <c r="AU848" s="300"/>
      <c r="AV848" s="286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/>
      <c r="AO849" s="258"/>
      <c r="AP849" s="346"/>
      <c r="AQ849" s="300"/>
      <c r="AR849" s="300"/>
      <c r="AS849" s="345"/>
      <c r="AT849" s="345"/>
      <c r="AU849" s="300"/>
      <c r="AV849" s="286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/>
      <c r="AO850" s="258"/>
      <c r="AP850" s="346"/>
      <c r="AQ850" s="300"/>
      <c r="AR850" s="300"/>
      <c r="AS850" s="345"/>
      <c r="AT850" s="345"/>
      <c r="AU850" s="300"/>
      <c r="AV850" s="286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/>
      <c r="AO851" s="258"/>
      <c r="AP851" s="346"/>
      <c r="AQ851" s="300"/>
      <c r="AR851" s="300"/>
      <c r="AS851" s="345"/>
      <c r="AT851" s="345"/>
      <c r="AU851" s="300"/>
      <c r="AV851" s="286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/>
      <c r="AO852" s="258"/>
      <c r="AP852" s="346"/>
      <c r="AQ852" s="300"/>
      <c r="AR852" s="300"/>
      <c r="AS852" s="345"/>
      <c r="AT852" s="345"/>
      <c r="AU852" s="300"/>
      <c r="AV852" s="286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/>
      <c r="AO853" s="258"/>
      <c r="AP853" s="346"/>
      <c r="AQ853" s="300"/>
      <c r="AR853" s="300"/>
      <c r="AS853" s="345"/>
      <c r="AT853" s="345"/>
      <c r="AU853" s="300"/>
      <c r="AV853" s="286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/>
      <c r="AO854" s="258"/>
      <c r="AP854" s="346"/>
      <c r="AQ854" s="300"/>
      <c r="AR854" s="300"/>
      <c r="AS854" s="345"/>
      <c r="AT854" s="345"/>
      <c r="AU854" s="300"/>
      <c r="AV854" s="286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/>
      <c r="AO855" s="258"/>
      <c r="AP855" s="346"/>
      <c r="AQ855" s="300"/>
      <c r="AR855" s="300"/>
      <c r="AS855" s="345"/>
      <c r="AT855" s="345"/>
      <c r="AU855" s="300"/>
      <c r="AV855" s="286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/>
      <c r="AO856" s="258"/>
      <c r="AP856" s="346"/>
      <c r="AQ856" s="300"/>
      <c r="AR856" s="300"/>
      <c r="AS856" s="345"/>
      <c r="AT856" s="345"/>
      <c r="AU856" s="300"/>
      <c r="AV856" s="286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/>
      <c r="AO857" s="258"/>
      <c r="AP857" s="346"/>
      <c r="AQ857" s="300"/>
      <c r="AR857" s="300"/>
      <c r="AS857" s="345"/>
      <c r="AT857" s="345"/>
      <c r="AU857" s="300"/>
      <c r="AV857" s="286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/>
      <c r="AO858" s="258"/>
      <c r="AP858" s="346"/>
      <c r="AQ858" s="300"/>
      <c r="AR858" s="300"/>
      <c r="AS858" s="345"/>
      <c r="AT858" s="345"/>
      <c r="AU858" s="300"/>
      <c r="AV858" s="286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/>
      <c r="AO859" s="258"/>
      <c r="AP859" s="346"/>
      <c r="AQ859" s="300"/>
      <c r="AR859" s="300"/>
      <c r="AS859" s="345"/>
      <c r="AT859" s="345"/>
      <c r="AU859" s="300"/>
      <c r="AV859" s="286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/>
      <c r="AO860" s="258"/>
      <c r="AP860" s="346"/>
      <c r="AQ860" s="300"/>
      <c r="AR860" s="300"/>
      <c r="AS860" s="345"/>
      <c r="AT860" s="345"/>
      <c r="AU860" s="300"/>
      <c r="AV860" s="286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/>
      <c r="AO861" s="258"/>
      <c r="AP861" s="346"/>
      <c r="AQ861" s="300"/>
      <c r="AR861" s="300"/>
      <c r="AS861" s="345"/>
      <c r="AT861" s="345"/>
      <c r="AU861" s="300"/>
      <c r="AV861" s="286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/>
      <c r="AO862" s="258"/>
      <c r="AP862" s="346"/>
      <c r="AQ862" s="300"/>
      <c r="AR862" s="300"/>
      <c r="AS862" s="345"/>
      <c r="AT862" s="345"/>
      <c r="AU862" s="300"/>
      <c r="AV862" s="286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/>
      <c r="AO863" s="258"/>
      <c r="AP863" s="346"/>
      <c r="AQ863" s="300"/>
      <c r="AR863" s="300"/>
      <c r="AS863" s="345"/>
      <c r="AT863" s="345"/>
      <c r="AU863" s="300"/>
      <c r="AV863" s="286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/>
      <c r="AO864" s="258"/>
      <c r="AP864" s="346"/>
      <c r="AQ864" s="300"/>
      <c r="AR864" s="300"/>
      <c r="AS864" s="345"/>
      <c r="AT864" s="345"/>
      <c r="AU864" s="300"/>
      <c r="AV864" s="286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/>
      <c r="AO865" s="258"/>
      <c r="AP865" s="346"/>
      <c r="AQ865" s="300"/>
      <c r="AR865" s="300"/>
      <c r="AS865" s="345"/>
      <c r="AT865" s="345"/>
      <c r="AU865" s="300"/>
      <c r="AV865" s="286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/>
      <c r="AO866" s="258"/>
      <c r="AP866" s="346"/>
      <c r="AQ866" s="300"/>
      <c r="AR866" s="300"/>
      <c r="AS866" s="345"/>
      <c r="AT866" s="345"/>
      <c r="AU866" s="300"/>
      <c r="AV866" s="286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/>
      <c r="AO867" s="258"/>
      <c r="AP867" s="346"/>
      <c r="AQ867" s="300"/>
      <c r="AR867" s="300"/>
      <c r="AS867" s="345"/>
      <c r="AT867" s="345"/>
      <c r="AU867" s="300"/>
      <c r="AV867" s="286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/>
      <c r="AO868" s="258"/>
      <c r="AP868" s="346"/>
      <c r="AQ868" s="300"/>
      <c r="AR868" s="300"/>
      <c r="AS868" s="345"/>
      <c r="AT868" s="345"/>
      <c r="AU868" s="300"/>
      <c r="AV868" s="286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/>
      <c r="AO869" s="258"/>
      <c r="AP869" s="346"/>
      <c r="AQ869" s="300"/>
      <c r="AR869" s="300"/>
      <c r="AS869" s="345"/>
      <c r="AT869" s="345"/>
      <c r="AU869" s="300"/>
      <c r="AV869" s="286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/>
      <c r="AO870" s="258"/>
      <c r="AP870" s="346"/>
      <c r="AQ870" s="300"/>
      <c r="AR870" s="300"/>
      <c r="AS870" s="345"/>
      <c r="AT870" s="345"/>
      <c r="AU870" s="300"/>
      <c r="AV870" s="286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/>
      <c r="AO871" s="258"/>
      <c r="AP871" s="346"/>
      <c r="AQ871" s="300"/>
      <c r="AR871" s="300"/>
      <c r="AS871" s="345"/>
      <c r="AT871" s="345"/>
      <c r="AU871" s="300"/>
      <c r="AV871" s="286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/>
      <c r="AO872" s="258"/>
      <c r="AP872" s="346"/>
      <c r="AQ872" s="300"/>
      <c r="AR872" s="300"/>
      <c r="AS872" s="345"/>
      <c r="AT872" s="345"/>
      <c r="AU872" s="300"/>
      <c r="AV872" s="286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/>
      <c r="AO873" s="258"/>
      <c r="AP873" s="346"/>
      <c r="AQ873" s="300"/>
      <c r="AR873" s="300"/>
      <c r="AS873" s="345"/>
      <c r="AT873" s="345"/>
      <c r="AU873" s="300"/>
      <c r="AV873" s="286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/>
      <c r="AO874" s="258"/>
      <c r="AP874" s="346"/>
      <c r="AQ874" s="300"/>
      <c r="AR874" s="300"/>
      <c r="AS874" s="345"/>
      <c r="AT874" s="345"/>
      <c r="AU874" s="300"/>
      <c r="AV874" s="286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/>
      <c r="AO875" s="258"/>
      <c r="AP875" s="346"/>
      <c r="AQ875" s="300"/>
      <c r="AR875" s="300"/>
      <c r="AS875" s="345"/>
      <c r="AT875" s="345"/>
      <c r="AU875" s="300"/>
      <c r="AV875" s="286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/>
      <c r="AO876" s="258"/>
      <c r="AP876" s="346"/>
      <c r="AQ876" s="300"/>
      <c r="AR876" s="300"/>
      <c r="AS876" s="345"/>
      <c r="AT876" s="345"/>
      <c r="AU876" s="300"/>
      <c r="AV876" s="286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/>
      <c r="AO877" s="258"/>
      <c r="AP877" s="346"/>
      <c r="AQ877" s="300"/>
      <c r="AR877" s="300"/>
      <c r="AS877" s="345"/>
      <c r="AT877" s="345"/>
      <c r="AU877" s="300"/>
      <c r="AV877" s="286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/>
      <c r="AO878" s="258"/>
      <c r="AP878" s="346"/>
      <c r="AQ878" s="300"/>
      <c r="AR878" s="300"/>
      <c r="AS878" s="345"/>
      <c r="AT878" s="345"/>
      <c r="AU878" s="300"/>
      <c r="AV878" s="286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/>
      <c r="AO879" s="258"/>
      <c r="AP879" s="346"/>
      <c r="AQ879" s="300"/>
      <c r="AR879" s="300"/>
      <c r="AS879" s="345"/>
      <c r="AT879" s="345"/>
      <c r="AU879" s="300"/>
      <c r="AV879" s="286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/>
      <c r="AO880" s="258"/>
      <c r="AP880" s="346"/>
      <c r="AQ880" s="300"/>
      <c r="AR880" s="300"/>
      <c r="AS880" s="345"/>
      <c r="AT880" s="345"/>
      <c r="AU880" s="300"/>
      <c r="AV880" s="286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/>
      <c r="AO881" s="258"/>
      <c r="AP881" s="346"/>
      <c r="AQ881" s="300"/>
      <c r="AR881" s="300"/>
      <c r="AS881" s="345"/>
      <c r="AT881" s="345"/>
      <c r="AU881" s="300"/>
      <c r="AV881" s="286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/>
      <c r="AO882" s="258"/>
      <c r="AP882" s="346"/>
      <c r="AQ882" s="300"/>
      <c r="AR882" s="300"/>
      <c r="AS882" s="345"/>
      <c r="AT882" s="345"/>
      <c r="AU882" s="300"/>
      <c r="AV882" s="286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/>
      <c r="AO883" s="258"/>
      <c r="AP883" s="346"/>
      <c r="AQ883" s="300"/>
      <c r="AR883" s="300"/>
      <c r="AS883" s="345"/>
      <c r="AT883" s="345"/>
      <c r="AU883" s="300"/>
      <c r="AV883" s="286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/>
      <c r="AO884" s="258"/>
      <c r="AP884" s="346"/>
      <c r="AQ884" s="300"/>
      <c r="AR884" s="300"/>
      <c r="AS884" s="345"/>
      <c r="AT884" s="345"/>
      <c r="AU884" s="300"/>
      <c r="AV884" s="286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/>
      <c r="AO885" s="258"/>
      <c r="AP885" s="346"/>
      <c r="AQ885" s="300"/>
      <c r="AR885" s="300"/>
      <c r="AS885" s="345"/>
      <c r="AT885" s="345"/>
      <c r="AU885" s="300"/>
      <c r="AV885" s="286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/>
      <c r="AO886" s="258"/>
      <c r="AP886" s="346"/>
      <c r="AQ886" s="300"/>
      <c r="AR886" s="300"/>
      <c r="AS886" s="345"/>
      <c r="AT886" s="345"/>
      <c r="AU886" s="300"/>
      <c r="AV886" s="286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/>
      <c r="AO887" s="258"/>
      <c r="AP887" s="346"/>
      <c r="AQ887" s="300"/>
      <c r="AR887" s="300"/>
      <c r="AS887" s="345"/>
      <c r="AT887" s="345"/>
      <c r="AU887" s="300"/>
      <c r="AV887" s="286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/>
      <c r="AO888" s="258"/>
      <c r="AP888" s="346"/>
      <c r="AQ888" s="300"/>
      <c r="AR888" s="300"/>
      <c r="AS888" s="345"/>
      <c r="AT888" s="345"/>
      <c r="AU888" s="300"/>
      <c r="AV888" s="286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/>
      <c r="AO889" s="258"/>
      <c r="AP889" s="346"/>
      <c r="AQ889" s="300"/>
      <c r="AR889" s="300"/>
      <c r="AS889" s="345"/>
      <c r="AT889" s="345"/>
      <c r="AU889" s="300"/>
      <c r="AV889" s="286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/>
      <c r="AO890" s="258"/>
      <c r="AP890" s="346"/>
      <c r="AQ890" s="300"/>
      <c r="AR890" s="300"/>
      <c r="AS890" s="345"/>
      <c r="AT890" s="345"/>
      <c r="AU890" s="300"/>
      <c r="AV890" s="286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/>
      <c r="AO891" s="258"/>
      <c r="AP891" s="346"/>
      <c r="AQ891" s="300"/>
      <c r="AR891" s="300"/>
      <c r="AS891" s="345"/>
      <c r="AT891" s="345"/>
      <c r="AU891" s="300"/>
      <c r="AV891" s="286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/>
      <c r="AO892" s="258"/>
      <c r="AP892" s="346"/>
      <c r="AQ892" s="300"/>
      <c r="AR892" s="300"/>
      <c r="AS892" s="345"/>
      <c r="AT892" s="345"/>
      <c r="AU892" s="300"/>
      <c r="AV892" s="286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/>
      <c r="AO893" s="258"/>
      <c r="AP893" s="346"/>
      <c r="AQ893" s="300"/>
      <c r="AR893" s="300"/>
      <c r="AS893" s="345"/>
      <c r="AT893" s="345"/>
      <c r="AU893" s="300"/>
      <c r="AV893" s="286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/>
      <c r="AO894" s="258"/>
      <c r="AP894" s="346"/>
      <c r="AQ894" s="300"/>
      <c r="AR894" s="300"/>
      <c r="AS894" s="345"/>
      <c r="AT894" s="345"/>
      <c r="AU894" s="300"/>
      <c r="AV894" s="286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/>
      <c r="AO895" s="258"/>
      <c r="AP895" s="346"/>
      <c r="AQ895" s="300"/>
      <c r="AR895" s="300"/>
      <c r="AS895" s="345"/>
      <c r="AT895" s="345"/>
      <c r="AU895" s="300"/>
      <c r="AV895" s="286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/>
      <c r="AO896" s="258"/>
      <c r="AP896" s="346"/>
      <c r="AQ896" s="300"/>
      <c r="AR896" s="300"/>
      <c r="AS896" s="345"/>
      <c r="AT896" s="345"/>
      <c r="AU896" s="300"/>
      <c r="AV896" s="286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/>
      <c r="AO897" s="258"/>
      <c r="AP897" s="346"/>
      <c r="AQ897" s="300"/>
      <c r="AR897" s="300"/>
      <c r="AS897" s="345"/>
      <c r="AT897" s="345"/>
      <c r="AU897" s="300"/>
      <c r="AV897" s="286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/>
      <c r="AO898" s="258"/>
      <c r="AP898" s="346"/>
      <c r="AQ898" s="300"/>
      <c r="AR898" s="300"/>
      <c r="AS898" s="345"/>
      <c r="AT898" s="345"/>
      <c r="AU898" s="300"/>
      <c r="AV898" s="286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/>
      <c r="AO899" s="258"/>
      <c r="AP899" s="346"/>
      <c r="AQ899" s="300"/>
      <c r="AR899" s="300"/>
      <c r="AS899" s="345"/>
      <c r="AT899" s="345"/>
      <c r="AU899" s="300"/>
      <c r="AV899" s="286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/>
      <c r="AO900" s="258"/>
      <c r="AP900" s="346"/>
      <c r="AQ900" s="300"/>
      <c r="AR900" s="300"/>
      <c r="AS900" s="345"/>
      <c r="AT900" s="345"/>
      <c r="AU900" s="300"/>
      <c r="AV900" s="286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/>
      <c r="AO901" s="258"/>
      <c r="AP901" s="346"/>
      <c r="AQ901" s="300"/>
      <c r="AR901" s="300"/>
      <c r="AS901" s="345"/>
      <c r="AT901" s="345"/>
      <c r="AU901" s="300"/>
      <c r="AV901" s="286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/>
      <c r="AO902" s="258"/>
      <c r="AP902" s="346"/>
      <c r="AQ902" s="300"/>
      <c r="AR902" s="300"/>
      <c r="AS902" s="345"/>
      <c r="AT902" s="345"/>
      <c r="AU902" s="300"/>
      <c r="AV902" s="286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/>
      <c r="AO903" s="258"/>
      <c r="AP903" s="346"/>
      <c r="AQ903" s="300"/>
      <c r="AR903" s="300"/>
      <c r="AS903" s="345"/>
      <c r="AT903" s="345"/>
      <c r="AU903" s="300"/>
      <c r="AV903" s="286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/>
      <c r="AO904" s="258"/>
      <c r="AP904" s="346"/>
      <c r="AQ904" s="300"/>
      <c r="AR904" s="300"/>
      <c r="AS904" s="345"/>
      <c r="AT904" s="345"/>
      <c r="AU904" s="300"/>
      <c r="AV904" s="286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/>
      <c r="AO905" s="258"/>
      <c r="AP905" s="346"/>
      <c r="AQ905" s="300"/>
      <c r="AR905" s="300"/>
      <c r="AS905" s="345"/>
      <c r="AT905" s="345"/>
      <c r="AU905" s="300"/>
      <c r="AV905" s="286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/>
      <c r="AO906" s="258"/>
      <c r="AP906" s="346"/>
      <c r="AQ906" s="300"/>
      <c r="AR906" s="300"/>
      <c r="AS906" s="345"/>
      <c r="AT906" s="345"/>
      <c r="AU906" s="300"/>
      <c r="AV906" s="286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/>
      <c r="AO907" s="258"/>
      <c r="AP907" s="346"/>
      <c r="AQ907" s="300"/>
      <c r="AR907" s="300"/>
      <c r="AS907" s="345"/>
      <c r="AT907" s="345"/>
      <c r="AU907" s="300"/>
      <c r="AV907" s="286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/>
      <c r="AO908" s="258"/>
      <c r="AP908" s="346"/>
      <c r="AQ908" s="300"/>
      <c r="AR908" s="300"/>
      <c r="AS908" s="345"/>
      <c r="AT908" s="345"/>
      <c r="AU908" s="300"/>
      <c r="AV908" s="286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/>
      <c r="AO909" s="258"/>
      <c r="AP909" s="346"/>
      <c r="AQ909" s="300"/>
      <c r="AR909" s="300"/>
      <c r="AS909" s="345"/>
      <c r="AT909" s="345"/>
      <c r="AU909" s="300"/>
      <c r="AV909" s="286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/>
      <c r="AO910" s="258"/>
      <c r="AP910" s="346"/>
      <c r="AQ910" s="300"/>
      <c r="AR910" s="300"/>
      <c r="AS910" s="345"/>
      <c r="AT910" s="345"/>
      <c r="AU910" s="300"/>
      <c r="AV910" s="286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/>
      <c r="AO911" s="258"/>
      <c r="AP911" s="346"/>
      <c r="AQ911" s="300"/>
      <c r="AR911" s="300"/>
      <c r="AS911" s="345"/>
      <c r="AT911" s="345"/>
      <c r="AU911" s="300"/>
      <c r="AV911" s="286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/>
      <c r="AO912" s="258"/>
      <c r="AP912" s="346"/>
      <c r="AQ912" s="300"/>
      <c r="AR912" s="300"/>
      <c r="AS912" s="345"/>
      <c r="AT912" s="345"/>
      <c r="AU912" s="300"/>
      <c r="AV912" s="286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/>
      <c r="AO913" s="258"/>
      <c r="AP913" s="346"/>
      <c r="AQ913" s="300"/>
      <c r="AR913" s="300"/>
      <c r="AS913" s="345"/>
      <c r="AT913" s="345"/>
      <c r="AU913" s="300"/>
      <c r="AV913" s="286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/>
      <c r="AO914" s="258"/>
      <c r="AP914" s="346"/>
      <c r="AQ914" s="300"/>
      <c r="AR914" s="300"/>
      <c r="AS914" s="345"/>
      <c r="AT914" s="345"/>
      <c r="AU914" s="300"/>
      <c r="AV914" s="286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/>
      <c r="AO915" s="258"/>
      <c r="AP915" s="346"/>
      <c r="AQ915" s="300"/>
      <c r="AR915" s="300"/>
      <c r="AS915" s="345"/>
      <c r="AT915" s="345"/>
      <c r="AU915" s="300"/>
      <c r="AV915" s="286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/>
      <c r="AO916" s="258"/>
      <c r="AP916" s="346"/>
      <c r="AQ916" s="300"/>
      <c r="AR916" s="300"/>
      <c r="AS916" s="345"/>
      <c r="AT916" s="345"/>
      <c r="AU916" s="300"/>
      <c r="AV916" s="286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/>
      <c r="AO917" s="258"/>
      <c r="AP917" s="346"/>
      <c r="AQ917" s="300"/>
      <c r="AR917" s="300"/>
      <c r="AS917" s="345"/>
      <c r="AT917" s="345"/>
      <c r="AU917" s="300"/>
      <c r="AV917" s="286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/>
      <c r="AO918" s="258"/>
      <c r="AP918" s="346"/>
      <c r="AQ918" s="300"/>
      <c r="AR918" s="300"/>
      <c r="AS918" s="345"/>
      <c r="AT918" s="345"/>
      <c r="AU918" s="300"/>
      <c r="AV918" s="286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/>
      <c r="AO919" s="258"/>
      <c r="AP919" s="346"/>
      <c r="AQ919" s="300"/>
      <c r="AR919" s="300"/>
      <c r="AS919" s="345"/>
      <c r="AT919" s="345"/>
      <c r="AU919" s="300"/>
      <c r="AV919" s="286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/>
      <c r="AO920" s="258"/>
      <c r="AP920" s="346"/>
      <c r="AQ920" s="300"/>
      <c r="AR920" s="300"/>
      <c r="AS920" s="345"/>
      <c r="AT920" s="345"/>
      <c r="AU920" s="300"/>
      <c r="AV920" s="286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/>
      <c r="AO921" s="258"/>
      <c r="AP921" s="346"/>
      <c r="AQ921" s="300"/>
      <c r="AR921" s="300"/>
      <c r="AS921" s="345"/>
      <c r="AT921" s="345"/>
      <c r="AU921" s="300"/>
      <c r="AV921" s="286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/>
      <c r="AO922" s="258"/>
      <c r="AP922" s="346"/>
      <c r="AQ922" s="300"/>
      <c r="AR922" s="300"/>
      <c r="AS922" s="345"/>
      <c r="AT922" s="345"/>
      <c r="AU922" s="300"/>
      <c r="AV922" s="286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/>
      <c r="AO923" s="258"/>
      <c r="AP923" s="346"/>
      <c r="AQ923" s="300"/>
      <c r="AR923" s="300"/>
      <c r="AS923" s="345"/>
      <c r="AT923" s="345"/>
      <c r="AU923" s="300"/>
      <c r="AV923" s="286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/>
      <c r="AO924" s="258"/>
      <c r="AP924" s="346"/>
      <c r="AQ924" s="300"/>
      <c r="AR924" s="300"/>
      <c r="AS924" s="345"/>
      <c r="AT924" s="345"/>
      <c r="AU924" s="300"/>
      <c r="AV924" s="286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/>
      <c r="AO925" s="258"/>
      <c r="AP925" s="346"/>
      <c r="AQ925" s="300"/>
      <c r="AR925" s="300"/>
      <c r="AS925" s="345"/>
      <c r="AT925" s="345"/>
      <c r="AU925" s="300"/>
      <c r="AV925" s="286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/>
      <c r="AO926" s="258"/>
      <c r="AP926" s="346"/>
      <c r="AQ926" s="300"/>
      <c r="AR926" s="300"/>
      <c r="AS926" s="345"/>
      <c r="AT926" s="345"/>
      <c r="AU926" s="300"/>
      <c r="AV926" s="286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/>
      <c r="AO927" s="258"/>
      <c r="AP927" s="346"/>
      <c r="AQ927" s="300"/>
      <c r="AR927" s="300"/>
      <c r="AS927" s="345"/>
      <c r="AT927" s="345"/>
      <c r="AU927" s="300"/>
      <c r="AV927" s="286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/>
      <c r="AO928" s="258"/>
      <c r="AP928" s="346"/>
      <c r="AQ928" s="300"/>
      <c r="AR928" s="300"/>
      <c r="AS928" s="345"/>
      <c r="AT928" s="345"/>
      <c r="AU928" s="300"/>
      <c r="AV928" s="286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/>
      <c r="AO929" s="258"/>
      <c r="AP929" s="346"/>
      <c r="AQ929" s="300"/>
      <c r="AR929" s="300"/>
      <c r="AS929" s="345"/>
      <c r="AT929" s="345"/>
      <c r="AU929" s="300"/>
      <c r="AV929" s="286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/>
      <c r="AO930" s="258"/>
      <c r="AP930" s="346"/>
      <c r="AQ930" s="300"/>
      <c r="AR930" s="300"/>
      <c r="AS930" s="345"/>
      <c r="AT930" s="345"/>
      <c r="AU930" s="300"/>
      <c r="AV930" s="286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/>
      <c r="AO931" s="258"/>
      <c r="AP931" s="346"/>
      <c r="AQ931" s="300"/>
      <c r="AR931" s="300"/>
      <c r="AS931" s="345"/>
      <c r="AT931" s="345"/>
      <c r="AU931" s="300"/>
      <c r="AV931" s="286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/>
      <c r="AO932" s="258"/>
      <c r="AP932" s="346"/>
      <c r="AQ932" s="300"/>
      <c r="AR932" s="300"/>
      <c r="AS932" s="345"/>
      <c r="AT932" s="345"/>
      <c r="AU932" s="300"/>
      <c r="AV932" s="286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/>
      <c r="AO933" s="258"/>
      <c r="AP933" s="346"/>
      <c r="AQ933" s="300"/>
      <c r="AR933" s="300"/>
      <c r="AS933" s="345"/>
      <c r="AT933" s="345"/>
      <c r="AU933" s="300"/>
      <c r="AV933" s="286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/>
      <c r="AO934" s="258"/>
      <c r="AP934" s="346"/>
      <c r="AQ934" s="300"/>
      <c r="AR934" s="300"/>
      <c r="AS934" s="345"/>
      <c r="AT934" s="345"/>
      <c r="AU934" s="300"/>
      <c r="AV934" s="286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/>
      <c r="AO935" s="258"/>
      <c r="AP935" s="346"/>
      <c r="AQ935" s="300"/>
      <c r="AR935" s="300"/>
      <c r="AS935" s="345"/>
      <c r="AT935" s="345"/>
      <c r="AU935" s="300"/>
      <c r="AV935" s="286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/>
      <c r="AO936" s="258"/>
      <c r="AP936" s="346"/>
      <c r="AQ936" s="300"/>
      <c r="AR936" s="300"/>
      <c r="AS936" s="345"/>
      <c r="AT936" s="345"/>
      <c r="AU936" s="300"/>
      <c r="AV936" s="286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/>
      <c r="AO937" s="258"/>
      <c r="AP937" s="346"/>
      <c r="AQ937" s="300"/>
      <c r="AR937" s="300"/>
      <c r="AS937" s="345"/>
      <c r="AT937" s="345"/>
      <c r="AU937" s="300"/>
      <c r="AV937" s="286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/>
      <c r="AO938" s="258"/>
      <c r="AP938" s="346"/>
      <c r="AQ938" s="300"/>
      <c r="AR938" s="300"/>
      <c r="AS938" s="345"/>
      <c r="AT938" s="345"/>
      <c r="AU938" s="300"/>
      <c r="AV938" s="286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/>
      <c r="AO939" s="258"/>
      <c r="AP939" s="346"/>
      <c r="AQ939" s="300"/>
      <c r="AR939" s="300"/>
      <c r="AS939" s="345"/>
      <c r="AT939" s="345"/>
      <c r="AU939" s="300"/>
      <c r="AV939" s="286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/>
      <c r="AO940" s="258"/>
      <c r="AP940" s="346"/>
      <c r="AQ940" s="300"/>
      <c r="AR940" s="300"/>
      <c r="AS940" s="345"/>
      <c r="AT940" s="345"/>
      <c r="AU940" s="300"/>
      <c r="AV940" s="286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/>
      <c r="AO941" s="258"/>
      <c r="AP941" s="346"/>
      <c r="AQ941" s="300"/>
      <c r="AR941" s="300"/>
      <c r="AS941" s="345"/>
      <c r="AT941" s="345"/>
      <c r="AU941" s="300"/>
      <c r="AV941" s="286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/>
      <c r="AO942" s="258"/>
      <c r="AP942" s="346"/>
      <c r="AQ942" s="300"/>
      <c r="AR942" s="300"/>
      <c r="AS942" s="345"/>
      <c r="AT942" s="345"/>
      <c r="AU942" s="300"/>
      <c r="AV942" s="286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/>
      <c r="AO943" s="258"/>
      <c r="AP943" s="346"/>
      <c r="AQ943" s="300"/>
      <c r="AR943" s="300"/>
      <c r="AS943" s="345"/>
      <c r="AT943" s="345"/>
      <c r="AU943" s="300"/>
      <c r="AV943" s="286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/>
      <c r="AO944" s="258"/>
      <c r="AP944" s="346"/>
      <c r="AQ944" s="300"/>
      <c r="AR944" s="300"/>
      <c r="AS944" s="345"/>
      <c r="AT944" s="345"/>
      <c r="AU944" s="300"/>
      <c r="AV944" s="286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/>
      <c r="AO945" s="258"/>
      <c r="AP945" s="346"/>
      <c r="AQ945" s="300"/>
      <c r="AR945" s="300"/>
      <c r="AS945" s="345"/>
      <c r="AT945" s="345"/>
      <c r="AU945" s="300"/>
      <c r="AV945" s="286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/>
      <c r="AO946" s="258"/>
      <c r="AP946" s="346"/>
      <c r="AQ946" s="300"/>
      <c r="AR946" s="300"/>
      <c r="AS946" s="345"/>
      <c r="AT946" s="345"/>
      <c r="AU946" s="300"/>
      <c r="AV946" s="286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/>
      <c r="AO947" s="258"/>
      <c r="AP947" s="346"/>
      <c r="AQ947" s="300"/>
      <c r="AR947" s="300"/>
      <c r="AS947" s="345"/>
      <c r="AT947" s="345"/>
      <c r="AU947" s="300"/>
      <c r="AV947" s="286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/>
      <c r="AO948" s="258"/>
      <c r="AP948" s="346"/>
      <c r="AQ948" s="300"/>
      <c r="AR948" s="300"/>
      <c r="AS948" s="345"/>
      <c r="AT948" s="345"/>
      <c r="AU948" s="300"/>
      <c r="AV948" s="286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/>
      <c r="AO949" s="258"/>
      <c r="AP949" s="346"/>
      <c r="AQ949" s="300"/>
      <c r="AR949" s="300"/>
      <c r="AS949" s="345"/>
      <c r="AT949" s="345"/>
      <c r="AU949" s="300"/>
      <c r="AV949" s="286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/>
      <c r="AO950" s="258"/>
      <c r="AP950" s="346"/>
      <c r="AQ950" s="300"/>
      <c r="AR950" s="300"/>
      <c r="AS950" s="345"/>
      <c r="AT950" s="345"/>
      <c r="AU950" s="300"/>
      <c r="AV950" s="286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/>
      <c r="AO951" s="258"/>
      <c r="AP951" s="346"/>
      <c r="AQ951" s="300"/>
      <c r="AR951" s="300"/>
      <c r="AS951" s="345"/>
      <c r="AT951" s="345"/>
      <c r="AU951" s="300"/>
      <c r="AV951" s="286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/>
      <c r="AO952" s="258"/>
      <c r="AP952" s="346"/>
      <c r="AQ952" s="300"/>
      <c r="AR952" s="300"/>
      <c r="AS952" s="345"/>
      <c r="AT952" s="345"/>
      <c r="AU952" s="300"/>
      <c r="AV952" s="286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/>
      <c r="AO953" s="258"/>
      <c r="AP953" s="346"/>
      <c r="AQ953" s="300"/>
      <c r="AR953" s="300"/>
      <c r="AS953" s="345"/>
      <c r="AT953" s="345"/>
      <c r="AU953" s="300"/>
      <c r="AV953" s="286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/>
      <c r="AO954" s="258"/>
      <c r="AP954" s="346"/>
      <c r="AQ954" s="300"/>
      <c r="AR954" s="300"/>
      <c r="AS954" s="345"/>
      <c r="AT954" s="345"/>
      <c r="AU954" s="300"/>
      <c r="AV954" s="286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/>
      <c r="AO955" s="258"/>
      <c r="AP955" s="346"/>
      <c r="AQ955" s="300"/>
      <c r="AR955" s="300"/>
      <c r="AS955" s="345"/>
      <c r="AT955" s="345"/>
      <c r="AU955" s="300"/>
      <c r="AV955" s="286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/>
      <c r="AO956" s="258"/>
      <c r="AP956" s="346"/>
      <c r="AQ956" s="300"/>
      <c r="AR956" s="300"/>
      <c r="AS956" s="345"/>
      <c r="AT956" s="345"/>
      <c r="AU956" s="300"/>
      <c r="AV956" s="286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/>
      <c r="AO957" s="258"/>
      <c r="AP957" s="346"/>
      <c r="AQ957" s="300"/>
      <c r="AR957" s="300"/>
      <c r="AS957" s="345"/>
      <c r="AT957" s="345"/>
      <c r="AU957" s="300"/>
      <c r="AV957" s="286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/>
      <c r="AO958" s="258"/>
      <c r="AP958" s="346"/>
      <c r="AQ958" s="300"/>
      <c r="AR958" s="300"/>
      <c r="AS958" s="345"/>
      <c r="AT958" s="345"/>
      <c r="AU958" s="300"/>
      <c r="AV958" s="286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/>
      <c r="AO959" s="258"/>
      <c r="AP959" s="346"/>
      <c r="AQ959" s="300"/>
      <c r="AR959" s="300"/>
      <c r="AS959" s="345"/>
      <c r="AT959" s="345"/>
      <c r="AU959" s="300"/>
      <c r="AV959" s="286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/>
      <c r="AO960" s="258"/>
      <c r="AP960" s="346"/>
      <c r="AQ960" s="300"/>
      <c r="AR960" s="300"/>
      <c r="AS960" s="345"/>
      <c r="AT960" s="345"/>
      <c r="AU960" s="300"/>
      <c r="AV960" s="286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/>
      <c r="AO961" s="258"/>
      <c r="AP961" s="346"/>
      <c r="AQ961" s="300"/>
      <c r="AR961" s="300"/>
      <c r="AS961" s="345"/>
      <c r="AT961" s="345"/>
      <c r="AU961" s="300"/>
      <c r="AV961" s="286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/>
      <c r="AO962" s="258"/>
      <c r="AP962" s="346"/>
      <c r="AQ962" s="300"/>
      <c r="AR962" s="300"/>
      <c r="AS962" s="345"/>
      <c r="AT962" s="345"/>
      <c r="AU962" s="300"/>
      <c r="AV962" s="286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/>
      <c r="AO963" s="258"/>
      <c r="AP963" s="346"/>
      <c r="AQ963" s="300"/>
      <c r="AR963" s="300"/>
      <c r="AS963" s="345"/>
      <c r="AT963" s="345"/>
      <c r="AU963" s="300"/>
      <c r="AV963" s="286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/>
      <c r="AO964" s="258"/>
      <c r="AP964" s="346"/>
      <c r="AQ964" s="300"/>
      <c r="AR964" s="300"/>
      <c r="AS964" s="345"/>
      <c r="AT964" s="345"/>
      <c r="AU964" s="300"/>
      <c r="AV964" s="286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/>
      <c r="AO965" s="258"/>
      <c r="AP965" s="346"/>
      <c r="AQ965" s="300"/>
      <c r="AR965" s="300"/>
      <c r="AS965" s="345"/>
      <c r="AT965" s="345"/>
      <c r="AU965" s="300"/>
      <c r="AV965" s="286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/>
      <c r="AO966" s="258"/>
      <c r="AP966" s="346"/>
      <c r="AQ966" s="300"/>
      <c r="AR966" s="300"/>
      <c r="AS966" s="345"/>
      <c r="AT966" s="345"/>
      <c r="AU966" s="300"/>
      <c r="AV966" s="286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/>
      <c r="AO967" s="258"/>
      <c r="AP967" s="346"/>
      <c r="AQ967" s="300"/>
      <c r="AR967" s="300"/>
      <c r="AS967" s="345"/>
      <c r="AT967" s="345"/>
      <c r="AU967" s="300"/>
      <c r="AV967" s="286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/>
      <c r="AO968" s="258"/>
      <c r="AP968" s="346"/>
      <c r="AQ968" s="300"/>
      <c r="AR968" s="300"/>
      <c r="AS968" s="345"/>
      <c r="AT968" s="345"/>
      <c r="AU968" s="300"/>
      <c r="AV968" s="286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/>
      <c r="AO969" s="258"/>
      <c r="AP969" s="346"/>
      <c r="AQ969" s="300"/>
      <c r="AR969" s="300"/>
      <c r="AS969" s="345"/>
      <c r="AT969" s="345"/>
      <c r="AU969" s="300"/>
      <c r="AV969" s="286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/>
      <c r="AO970" s="258"/>
      <c r="AP970" s="346"/>
      <c r="AQ970" s="300"/>
      <c r="AR970" s="300"/>
      <c r="AS970" s="345"/>
      <c r="AT970" s="345"/>
      <c r="AU970" s="300"/>
      <c r="AV970" s="286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/>
      <c r="AO971" s="258"/>
      <c r="AP971" s="346"/>
      <c r="AQ971" s="300"/>
      <c r="AR971" s="300"/>
      <c r="AS971" s="345"/>
      <c r="AT971" s="345"/>
      <c r="AU971" s="300"/>
      <c r="AV971" s="286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/>
      <c r="AO972" s="258"/>
      <c r="AP972" s="346"/>
      <c r="AQ972" s="300"/>
      <c r="AR972" s="300"/>
      <c r="AS972" s="345"/>
      <c r="AT972" s="345"/>
      <c r="AU972" s="300"/>
      <c r="AV972" s="286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/>
      <c r="AO973" s="258"/>
      <c r="AP973" s="346"/>
      <c r="AQ973" s="300"/>
      <c r="AR973" s="300"/>
      <c r="AS973" s="345"/>
      <c r="AT973" s="345"/>
      <c r="AU973" s="300"/>
      <c r="AV973" s="286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/>
      <c r="AO974" s="258"/>
      <c r="AP974" s="346"/>
      <c r="AQ974" s="300"/>
      <c r="AR974" s="300"/>
      <c r="AS974" s="345"/>
      <c r="AT974" s="345"/>
      <c r="AU974" s="300"/>
      <c r="AV974" s="286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/>
      <c r="AO975" s="258"/>
      <c r="AP975" s="346"/>
      <c r="AQ975" s="300"/>
      <c r="AR975" s="300"/>
      <c r="AS975" s="345"/>
      <c r="AT975" s="345"/>
      <c r="AU975" s="300"/>
      <c r="AV975" s="286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/>
      <c r="AO976" s="258"/>
      <c r="AP976" s="346"/>
      <c r="AQ976" s="300"/>
      <c r="AR976" s="300"/>
      <c r="AS976" s="345"/>
      <c r="AT976" s="345"/>
      <c r="AU976" s="300"/>
      <c r="AV976" s="286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/>
      <c r="AO977" s="258"/>
      <c r="AP977" s="346"/>
      <c r="AQ977" s="300"/>
      <c r="AR977" s="300"/>
      <c r="AS977" s="345"/>
      <c r="AT977" s="345"/>
      <c r="AU977" s="300"/>
      <c r="AV977" s="286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/>
      <c r="AO978" s="258"/>
      <c r="AP978" s="346"/>
      <c r="AQ978" s="300"/>
      <c r="AR978" s="300"/>
      <c r="AS978" s="345"/>
      <c r="AT978" s="345"/>
      <c r="AU978" s="300"/>
      <c r="AV978" s="286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/>
      <c r="AO979" s="258"/>
      <c r="AP979" s="346"/>
      <c r="AQ979" s="300"/>
      <c r="AR979" s="300"/>
      <c r="AS979" s="345"/>
      <c r="AT979" s="345"/>
      <c r="AU979" s="300"/>
      <c r="AV979" s="286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/>
      <c r="AO980" s="258"/>
      <c r="AP980" s="346"/>
      <c r="AQ980" s="300"/>
      <c r="AR980" s="300"/>
      <c r="AS980" s="345"/>
      <c r="AT980" s="345"/>
      <c r="AU980" s="300"/>
      <c r="AV980" s="286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/>
      <c r="AO981" s="258"/>
      <c r="AP981" s="346"/>
      <c r="AQ981" s="300"/>
      <c r="AR981" s="300"/>
      <c r="AS981" s="345"/>
      <c r="AT981" s="345"/>
      <c r="AU981" s="300"/>
      <c r="AV981" s="286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/>
      <c r="AO982" s="258"/>
      <c r="AP982" s="346"/>
      <c r="AQ982" s="300"/>
      <c r="AR982" s="300"/>
      <c r="AS982" s="345"/>
      <c r="AT982" s="345"/>
      <c r="AU982" s="300"/>
      <c r="AV982" s="286"/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/>
      <c r="AO983" s="258"/>
      <c r="AP983" s="346"/>
      <c r="AQ983" s="300"/>
      <c r="AR983" s="300"/>
      <c r="AS983" s="345"/>
      <c r="AT983" s="345"/>
      <c r="AU983" s="300"/>
      <c r="AV983" s="286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/>
      <c r="AO984" s="258"/>
      <c r="AP984" s="346"/>
      <c r="AQ984" s="300"/>
      <c r="AR984" s="300"/>
      <c r="AS984" s="345"/>
      <c r="AT984" s="345"/>
      <c r="AU984" s="300"/>
      <c r="AV984" s="286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/>
      <c r="AO985" s="258"/>
      <c r="AP985" s="346"/>
      <c r="AQ985" s="300"/>
      <c r="AR985" s="300"/>
      <c r="AS985" s="345"/>
      <c r="AT985" s="345"/>
      <c r="AU985" s="300"/>
      <c r="AV985" s="286"/>
      <c r="AW985" s="258"/>
      <c r="AX985" s="351"/>
      <c r="AY985" s="351"/>
      <c r="AZ985" s="351"/>
      <c r="BA985" s="351"/>
      <c r="BB985" s="351"/>
      <c r="BC985" s="351"/>
      <c r="BD985" s="351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/>
      <c r="AO986" s="258"/>
      <c r="AP986" s="346"/>
      <c r="AQ986" s="300"/>
      <c r="AR986" s="300"/>
      <c r="AS986" s="345"/>
      <c r="AT986" s="345"/>
      <c r="AU986" s="300"/>
      <c r="AV986" s="286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/>
      <c r="AO987" s="258"/>
      <c r="AP987" s="346"/>
      <c r="AQ987" s="300"/>
      <c r="AR987" s="300"/>
      <c r="AS987" s="345"/>
      <c r="AT987" s="345"/>
      <c r="AU987" s="300"/>
      <c r="AV987" s="286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/>
      <c r="AO988" s="258"/>
      <c r="AP988" s="346"/>
      <c r="AQ988" s="300"/>
      <c r="AR988" s="300"/>
      <c r="AS988" s="345"/>
      <c r="AT988" s="345"/>
      <c r="AU988" s="300"/>
      <c r="AV988" s="286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/>
      <c r="AO989" s="258"/>
      <c r="AP989" s="346"/>
      <c r="AQ989" s="300"/>
      <c r="AR989" s="300"/>
      <c r="AS989" s="345"/>
      <c r="AT989" s="345"/>
      <c r="AU989" s="300"/>
      <c r="AV989" s="286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/>
      <c r="AO990" s="258"/>
      <c r="AP990" s="346"/>
      <c r="AQ990" s="300"/>
      <c r="AR990" s="300"/>
      <c r="AS990" s="345"/>
      <c r="AT990" s="345"/>
      <c r="AU990" s="300"/>
      <c r="AV990" s="286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/>
      <c r="AO991" s="258"/>
      <c r="AP991" s="346"/>
      <c r="AQ991" s="300"/>
      <c r="AR991" s="300"/>
      <c r="AS991" s="345"/>
      <c r="AT991" s="345"/>
      <c r="AU991" s="300"/>
      <c r="AV991" s="286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/>
      <c r="AO992" s="258"/>
      <c r="AP992" s="346"/>
      <c r="AQ992" s="300"/>
      <c r="AR992" s="300"/>
      <c r="AS992" s="345"/>
      <c r="AT992" s="345"/>
      <c r="AU992" s="300"/>
      <c r="AV992" s="286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/>
      <c r="AO993" s="258"/>
      <c r="AP993" s="346"/>
      <c r="AQ993" s="300"/>
      <c r="AR993" s="300"/>
      <c r="AS993" s="345"/>
      <c r="AT993" s="345"/>
      <c r="AU993" s="300"/>
      <c r="AV993" s="286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/>
      <c r="AO994" s="258"/>
      <c r="AP994" s="346"/>
      <c r="AQ994" s="300"/>
      <c r="AR994" s="300"/>
      <c r="AS994" s="345"/>
      <c r="AT994" s="345"/>
      <c r="AU994" s="300"/>
      <c r="AV994" s="286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/>
      <c r="AO995" s="258"/>
      <c r="AP995" s="346"/>
      <c r="AQ995" s="300"/>
      <c r="AR995" s="300"/>
      <c r="AS995" s="345"/>
      <c r="AT995" s="345"/>
      <c r="AU995" s="300"/>
      <c r="AV995" s="286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/>
      <c r="AO996" s="258"/>
      <c r="AP996" s="346"/>
      <c r="AQ996" s="300"/>
      <c r="AR996" s="300"/>
      <c r="AS996" s="345"/>
      <c r="AT996" s="345"/>
      <c r="AU996" s="300"/>
      <c r="AV996" s="286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/>
      <c r="AO997" s="258"/>
      <c r="AP997" s="346"/>
      <c r="AQ997" s="300"/>
      <c r="AR997" s="300"/>
      <c r="AS997" s="345"/>
      <c r="AT997" s="345"/>
      <c r="AU997" s="300"/>
      <c r="AV997" s="286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/>
      <c r="AO998" s="258"/>
      <c r="AP998" s="346"/>
      <c r="AQ998" s="300"/>
      <c r="AR998" s="300"/>
      <c r="AS998" s="345"/>
      <c r="AT998" s="345"/>
      <c r="AU998" s="300"/>
      <c r="AV998" s="286"/>
      <c r="AW998" s="258"/>
      <c r="BE998" s="258"/>
      <c r="BF998" s="346"/>
      <c r="BG998" s="300"/>
      <c r="BH998" s="300"/>
      <c r="BI998" s="345"/>
      <c r="BJ998" s="345"/>
      <c r="BK998" s="300"/>
      <c r="BL998" s="286" t="b">
        <v>0</v>
      </c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353"/>
      <c r="S999" s="213"/>
      <c r="T999" s="213"/>
      <c r="U999" s="354"/>
      <c r="V999" s="354"/>
      <c r="W999" s="213"/>
      <c r="X999" s="355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P1002" s="352"/>
      <c r="AQ1002" s="352"/>
      <c r="AR1002" s="352"/>
      <c r="AS1002" s="352"/>
      <c r="AT1002" s="352"/>
      <c r="AU1002" s="352"/>
      <c r="AV1002" s="352"/>
      <c r="AW1002" s="258"/>
      <c r="BE1002" s="258"/>
      <c r="BF1002" s="352"/>
      <c r="BG1002" s="352"/>
      <c r="BH1002" s="352"/>
      <c r="BI1002" s="352"/>
      <c r="BJ1002" s="352"/>
      <c r="BK1002" s="352"/>
      <c r="BL1002" s="352"/>
    </row>
    <row r="1003" ht="22.5" customHeight="1">
      <c r="A1003" s="368"/>
      <c r="B1003" s="444"/>
      <c r="C1003" s="195"/>
      <c r="D1003" s="195"/>
      <c r="E1003" s="199"/>
      <c r="F1003" s="199"/>
      <c r="G1003" s="195"/>
      <c r="H1003" s="371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H1003" s="351"/>
      <c r="AI1003" s="351"/>
      <c r="AJ1003" s="351"/>
      <c r="AK1003" s="351"/>
      <c r="AL1003" s="351"/>
      <c r="AM1003" s="351"/>
      <c r="AN1003" s="351"/>
      <c r="AO1003" s="258"/>
      <c r="AW1003" s="258"/>
      <c r="BE1003" s="258"/>
    </row>
    <row r="1004" ht="22.5" customHeight="1">
      <c r="A1004" s="368"/>
      <c r="B1004" s="447"/>
      <c r="C1004" s="447"/>
      <c r="D1004" s="447"/>
      <c r="E1004" s="447"/>
      <c r="F1004" s="447"/>
      <c r="G1004" s="447"/>
      <c r="H1004" s="447"/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</sheetData>
  <conditionalFormatting sqref="T8">
    <cfRule type="expression" dxfId="12" priority="1">
      <formula>COUNTIF(#REF!, T8)&gt;1</formula>
    </cfRule>
  </conditionalFormatting>
  <conditionalFormatting sqref="T8">
    <cfRule type="expression" dxfId="12" priority="2">
      <formula>COUNTIF(#REF!, T8)&gt;1</formula>
    </cfRule>
  </conditionalFormatting>
  <conditionalFormatting sqref="K109:K110">
    <cfRule type="expression" dxfId="12" priority="3">
      <formula>COUNTIF(C:C, K109)&gt;1</formula>
    </cfRule>
  </conditionalFormatting>
  <conditionalFormatting sqref="L109:L110">
    <cfRule type="expression" dxfId="12" priority="4">
      <formula>COUNTIF(D:D, L109)&gt;1</formula>
    </cfRule>
  </conditionalFormatting>
  <conditionalFormatting sqref="K55">
    <cfRule type="expression" dxfId="12" priority="5">
      <formula>COUNTIF(#REF!, K55)&gt;1</formula>
    </cfRule>
  </conditionalFormatting>
  <conditionalFormatting sqref="L55">
    <cfRule type="expression" dxfId="12" priority="6">
      <formula>COUNTIF(#REF!, L55)&gt;1</formula>
    </cfRule>
  </conditionalFormatting>
  <conditionalFormatting sqref="D24:D84">
    <cfRule type="expression" dxfId="12" priority="7">
      <formula>COUNTIF(#REF!, D24)&gt;1</formula>
    </cfRule>
  </conditionalFormatting>
  <conditionalFormatting sqref="D24:D84">
    <cfRule type="expression" dxfId="12" priority="8">
      <formula>COUNTIF(#REF!, D24)&gt;1</formula>
    </cfRule>
  </conditionalFormatting>
  <conditionalFormatting sqref="D2:D23">
    <cfRule type="expression" dxfId="12" priority="9">
      <formula>COUNTIF(#REF!, D2)&gt;1</formula>
    </cfRule>
  </conditionalFormatting>
  <conditionalFormatting sqref="D2:D23">
    <cfRule type="expression" dxfId="12" priority="10">
      <formula>COUNTIF(#REF!, D2)&gt;1</formula>
    </cfRule>
  </conditionalFormatting>
  <conditionalFormatting sqref="AI128">
    <cfRule type="expression" dxfId="12" priority="11">
      <formula>COUNTIF(AY:AY, AI128)&gt;1</formula>
    </cfRule>
  </conditionalFormatting>
  <conditionalFormatting sqref="C91">
    <cfRule type="expression" dxfId="12" priority="12">
      <formula>COUNTIF(S:S, C91)&gt;1</formula>
    </cfRule>
  </conditionalFormatting>
  <conditionalFormatting sqref="D91">
    <cfRule type="expression" dxfId="12" priority="13">
      <formula>COUNTIF(T:T, D91)&gt;1</formula>
    </cfRule>
  </conditionalFormatting>
  <conditionalFormatting sqref="K1:K54 K56:K108 K111:K1010">
    <cfRule type="expression" dxfId="12" priority="14">
      <formula>COUNTIF(K:K, K1)&gt;1</formula>
    </cfRule>
  </conditionalFormatting>
  <conditionalFormatting sqref="L1:L54 L56:L108 L111:L1010">
    <cfRule type="expression" dxfId="12" priority="15">
      <formula>COUNTIF(L:L, L1)&gt;1</formula>
    </cfRule>
  </conditionalFormatting>
  <conditionalFormatting sqref="S1 S9:S1010 AY15 AI16">
    <cfRule type="expression" dxfId="12" priority="16">
      <formula>COUNTIF(S:S, S1)&gt;1</formula>
    </cfRule>
  </conditionalFormatting>
  <conditionalFormatting sqref="T1 AJ1:AJ1010 AZ1:AZ1010 T9:T1010 AS12">
    <cfRule type="expression" dxfId="12" priority="17">
      <formula>COUNTIF(T:T, T1)&gt;1</formula>
    </cfRule>
  </conditionalFormatting>
  <conditionalFormatting sqref="AA1:AA1010 AQ1:AQ1010 BG1:BG1010 BH2 AY11 AR12">
    <cfRule type="expression" dxfId="12" priority="18">
      <formula>COUNTIF(AA:AA, AA1)&gt;1</formula>
    </cfRule>
  </conditionalFormatting>
  <conditionalFormatting sqref="AB1:AB1010 AR1:AR1010 BH1:BH1010 AZ11 AS12 AA33">
    <cfRule type="expression" dxfId="12" priority="19">
      <formula>COUNTIF(AB:AB, AB1)&gt;1</formula>
    </cfRule>
  </conditionalFormatting>
  <conditionalFormatting sqref="C1 S2:S7 AI2:AI4 AY2:AY4 C85:C90 C92:C125 C127:C1010">
    <cfRule type="expression" dxfId="12" priority="20">
      <formula>COUNTIF(C:C, C1)&gt;1</formula>
    </cfRule>
  </conditionalFormatting>
  <conditionalFormatting sqref="D1 T2:T7 AJ2:AJ363 AZ2:AZ369 AS12 D85:D90 D92:D125 D127:D1010">
    <cfRule type="expression" dxfId="12" priority="21">
      <formula>COUNTIF(D:D, D1)&gt;1</formula>
    </cfRule>
  </conditionalFormatting>
  <dataValidations>
    <dataValidation type="list" allowBlank="1" sqref="N2:N1010">
      <formula1>"Luis,Jesus,Clara,Noel,Daniela,Mariadelaida,Eduardo,Edvaldo,Alexis,Diana,Enrique,Rafael,Francisco"</formula1>
    </dataValidation>
    <dataValidation type="list" allowBlank="1" sqref="F2:F1003">
      <formula1>"Luis,Jesus,Clara,Noel,Daniela,Mariadelaida,Eduardo,Alexis,Diana,Enrique,Rafael,Francisco"</formula1>
    </dataValidation>
    <dataValidation type="list" allowBlank="1" sqref="AD2:AD1000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AT2:AT998 BJ2:BJ998">
      <formula1>"Luis,Jesus,Clara,Noel,Daniela,Mariadelaida,Eduardo,Edvaldo,Alexis,Francisco,Enrique,Rafael,Aegis"</formula1>
    </dataValidation>
    <dataValidation allowBlank="1" showDropDown="1" sqref="AY2:AZ982 BC2:BC982 AQ2:AR998 AU2:AU998 BG2:BH998 BK2:BK998 S2:T999 W2:W999 AA2:AB1000 AE2:AE1000 AI2:AJ1000 AM2:AM1000 C2:D1003 G2:G1003 K2:L1010 O2:O1010"/>
    <dataValidation type="list" allowBlank="1" sqref="AS2:AS998 BI2:BI998 AC2:AC1000 M2:M1010">
      <formula1>"Argentina,Colombia,Ecuador,Chile,Paraguay,Uruguay,Peru,Bolivia"</formula1>
    </dataValidation>
    <dataValidation type="list" allowBlank="1" sqref="V2:V999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9">
      <formula1>"Mexico,Costa Rica,Panama,Belize,Dominican Republic,Nicaragua,El Salvador,Guatemala,Honduras,Aegis"</formula1>
    </dataValidation>
    <dataValidation type="list" allowBlank="1" sqref="AL2:AL1000">
      <formula1>"Luis,Jesus,Clara,Noel,Daniela,Mariadelaida,Eduardo,Alexis,Diana,Francisco,Enrique,Rafael,Aegis,Maria Celeste"</formula1>
    </dataValidation>
    <dataValidation type="list" allowBlank="1" sqref="BA2:BA982 AK2:AK1000 E2:E1003">
      <formula1>"Mexico,Costa Rica,Panama,Belize,Dominican Republic,Nicaragua,El Salvador,Guatemala,Honduras"</formula1>
    </dataValidation>
    <dataValidation type="custom" allowBlank="1" showDropDown="1" sqref="AX2:AX982 AP2:AP998 BF2:BF998 R2:R999 Z2:Z1000 AH2:AH1000 B2:B1003 J2:J1010">
      <formula1>OR(NOT(ISERROR(DATEVALUE(B2))), AND(ISNUMBER(B2), LEFT(CELL("format", B2))="D"))</formula1>
    </dataValidation>
    <dataValidation type="list" allowBlank="1" sqref="BB2:BB982">
      <formula1>"Luis,Jesus,Clara,Noel,Daniela,Mariadelaida,Eduardo,Alexis,Diana,Francisco,Enrique,Rafael,Aegis"</formula1>
    </dataValidation>
  </dataValidations>
  <hyperlinks>
    <hyperlink r:id="rId4" ref="T8"/>
    <hyperlink r:id="rId5" ref="AB14"/>
  </hyperlinks>
  <drawing r:id="rId6"/>
  <legacyDrawing r:id="rId7"/>
  <tableParts count="8">
    <tablePart r:id="rId16"/>
    <tablePart r:id="rId17"/>
    <tablePart r:id="rId18"/>
    <tablePart r:id="rId19"/>
    <tablePart r:id="rId20"/>
    <tablePart r:id="rId21"/>
    <tablePart r:id="rId22"/>
    <tablePart r:id="rId2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356"/>
    </row>
    <row r="2" outlineLevel="1">
      <c r="A2" s="357" t="s">
        <v>3630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16" t="s">
        <v>33</v>
      </c>
      <c r="C18" s="361" t="s">
        <v>2345</v>
      </c>
      <c r="D18" s="10"/>
      <c r="E18" s="30" t="s">
        <v>34</v>
      </c>
      <c r="F18" s="30" t="s">
        <v>35</v>
      </c>
      <c r="G18" s="10"/>
      <c r="H18" s="16" t="s">
        <v>33</v>
      </c>
      <c r="I18" s="361" t="s">
        <v>2345</v>
      </c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30.0</v>
      </c>
      <c r="D19" s="10"/>
      <c r="E19" s="33">
        <f>SUMIF($E$4:$E$17,B19,$F$4:$F$17)</f>
        <v>0</v>
      </c>
      <c r="F19" s="246">
        <f t="shared" ref="F19:F21" si="1">C19-E19</f>
        <v>30</v>
      </c>
      <c r="G19" s="10"/>
      <c r="H19" s="23" t="s">
        <v>11</v>
      </c>
      <c r="I19" s="36">
        <v>5.0</v>
      </c>
      <c r="J19" s="10"/>
      <c r="K19" s="33">
        <f>SUM(SUMIF($K$4:$K$17, "Argentina",$L$4:$L$17))</f>
        <v>0</v>
      </c>
      <c r="L19" s="33">
        <f t="shared" ref="L19:L23" si="2">I19-K19</f>
        <v>5</v>
      </c>
    </row>
    <row r="20" outlineLevel="1">
      <c r="B20" s="19" t="s">
        <v>952</v>
      </c>
      <c r="C20" s="32">
        <v>15.0</v>
      </c>
      <c r="D20" s="10"/>
      <c r="E20" s="33">
        <f>SUM(SUMIF($E$4:$E$17,"Dominican Republic",$F$4:$F$17), SUMIF($E$4:$E$17,"Panama",$F$4:$F$17), SUMIF($E$4:$E$17,"Costa Rica",$F$4:$F$17))</f>
        <v>0</v>
      </c>
      <c r="F20" s="246">
        <f t="shared" si="1"/>
        <v>15</v>
      </c>
      <c r="G20" s="10"/>
      <c r="H20" s="22" t="s">
        <v>18</v>
      </c>
      <c r="I20" s="36">
        <v>10.0</v>
      </c>
      <c r="J20" s="10"/>
      <c r="K20" s="33">
        <f>SUMIF($K$4:$K$17, H20,$L$4:$L$17)</f>
        <v>0</v>
      </c>
      <c r="L20" s="33">
        <f t="shared" si="2"/>
        <v>10</v>
      </c>
    </row>
    <row r="21" outlineLevel="1">
      <c r="B21" s="19" t="s">
        <v>953</v>
      </c>
      <c r="C21" s="32">
        <v>15.0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0</v>
      </c>
      <c r="F21" s="246">
        <f t="shared" si="1"/>
        <v>15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0</v>
      </c>
      <c r="L21" s="33">
        <f t="shared" si="2"/>
        <v>20</v>
      </c>
    </row>
    <row r="22" outlineLevel="1">
      <c r="D22" s="10"/>
      <c r="E22" s="37" t="s">
        <v>40</v>
      </c>
      <c r="F22" s="38">
        <f>sum(C19:C21)</f>
        <v>60</v>
      </c>
      <c r="G22" s="10"/>
      <c r="H22" s="22" t="s">
        <v>23</v>
      </c>
      <c r="I22" s="36">
        <v>15.0</v>
      </c>
      <c r="J22" s="10"/>
      <c r="K22" s="33">
        <f>SUMIF($K$4:$K$17, "Peru", $L$4:$L$17)</f>
        <v>0</v>
      </c>
      <c r="L22" s="33">
        <f t="shared" si="2"/>
        <v>15</v>
      </c>
    </row>
    <row r="23" outlineLevel="1">
      <c r="D23" s="10"/>
      <c r="E23" s="37" t="s">
        <v>41</v>
      </c>
      <c r="F23" s="38">
        <f>SUM(F19:F21)</f>
        <v>60</v>
      </c>
      <c r="G23" s="10"/>
      <c r="H23" s="23" t="s">
        <v>2340</v>
      </c>
      <c r="I23" s="36">
        <v>10.0</v>
      </c>
      <c r="J23" s="10"/>
      <c r="K23" s="33">
        <f>SUM(SUMIF($K$4:$K$17, "Bolivia",$L$4:$L$17), SUMIF($K$4:$K$17, "Paraguay",$L$4:$L$17), SUMIF($K$4:$K$17, "Uruguay",$L$4:$L$17))</f>
        <v>0</v>
      </c>
      <c r="L23" s="33">
        <f t="shared" si="2"/>
        <v>10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60</v>
      </c>
    </row>
    <row r="25" outlineLevel="1">
      <c r="G25" s="10"/>
      <c r="H25" s="10"/>
      <c r="I25" s="10"/>
      <c r="J25" s="10"/>
      <c r="K25" s="37" t="s">
        <v>41</v>
      </c>
      <c r="L25" s="38">
        <f>SUM(L19:L23)</f>
        <v>60</v>
      </c>
    </row>
    <row r="26" outlineLevel="1">
      <c r="G26" s="10"/>
      <c r="H26" s="10"/>
      <c r="I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359"/>
    </row>
    <row r="38" outlineLevel="1">
      <c r="A38" s="360" t="s">
        <v>3631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448" t="s">
        <v>3632</v>
      </c>
      <c r="D54" s="10"/>
      <c r="E54" s="30" t="s">
        <v>34</v>
      </c>
      <c r="F54" s="30" t="s">
        <v>35</v>
      </c>
      <c r="G54" s="10"/>
      <c r="H54" s="29" t="s">
        <v>33</v>
      </c>
      <c r="I54" s="448" t="s">
        <v>3632</v>
      </c>
      <c r="J54" s="10"/>
      <c r="K54" s="30" t="s">
        <v>34</v>
      </c>
      <c r="L54" s="30" t="s">
        <v>35</v>
      </c>
    </row>
    <row r="55" outlineLevel="1">
      <c r="B55" s="31" t="s">
        <v>22</v>
      </c>
      <c r="C55" s="32">
        <v>30.0</v>
      </c>
      <c r="D55" s="10"/>
      <c r="E55" s="33">
        <f>SUMIF($E$40:$E$53,"Mexico",$F$40:$F$53)</f>
        <v>0</v>
      </c>
      <c r="F55" s="246">
        <f t="shared" ref="F55:F57" si="3">C55-E55</f>
        <v>30</v>
      </c>
      <c r="G55" s="10"/>
      <c r="H55" s="23" t="s">
        <v>11</v>
      </c>
      <c r="I55" s="36">
        <v>10.0</v>
      </c>
      <c r="J55" s="10"/>
      <c r="K55" s="33">
        <f>SUM(SUMIF($K$40:$K$53, "Argentina",$L$40:$L$53))</f>
        <v>0</v>
      </c>
      <c r="L55" s="33">
        <f t="shared" ref="L55:L59" si="4">I55-K55</f>
        <v>10</v>
      </c>
    </row>
    <row r="56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0</v>
      </c>
      <c r="F56" s="246">
        <f t="shared" si="3"/>
        <v>20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0</v>
      </c>
      <c r="L56" s="33">
        <f t="shared" si="4"/>
        <v>10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0</v>
      </c>
      <c r="F57" s="246">
        <f t="shared" si="3"/>
        <v>20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0</v>
      </c>
      <c r="L57" s="33">
        <f t="shared" si="4"/>
        <v>20</v>
      </c>
    </row>
    <row r="58" outlineLevel="1">
      <c r="D58" s="10"/>
      <c r="E58" s="37" t="s">
        <v>40</v>
      </c>
      <c r="F58" s="38">
        <f>sum(C55:C57)</f>
        <v>70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0</v>
      </c>
      <c r="L58" s="33">
        <f t="shared" si="4"/>
        <v>20</v>
      </c>
    </row>
    <row r="59" outlineLevel="1">
      <c r="D59" s="10"/>
      <c r="E59" s="37" t="s">
        <v>41</v>
      </c>
      <c r="F59" s="38">
        <f>SUM(F55:F57)</f>
        <v>70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0</v>
      </c>
      <c r="L59" s="33">
        <f t="shared" si="4"/>
        <v>10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70</v>
      </c>
    </row>
    <row r="61" outlineLevel="1">
      <c r="G61" s="10"/>
      <c r="H61" s="10"/>
      <c r="I61" s="10"/>
      <c r="J61" s="10"/>
      <c r="K61" s="37" t="s">
        <v>41</v>
      </c>
      <c r="L61" s="38">
        <f>SUM(L55:L59)</f>
        <v>70</v>
      </c>
    </row>
    <row r="62" outlineLevel="1">
      <c r="G62" s="10"/>
      <c r="H62" s="10"/>
      <c r="I62" s="10"/>
      <c r="J62" s="10"/>
    </row>
    <row r="63" outlineLevel="1">
      <c r="G63" s="10"/>
    </row>
    <row r="64" outlineLevel="1">
      <c r="G64" s="10"/>
    </row>
    <row r="65" outlineLevel="1">
      <c r="G65" s="10"/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3633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40.0</v>
      </c>
      <c r="D91" s="10"/>
      <c r="E91" s="33">
        <f>SUMIF($E$76:$E$89,"Mexico",$F$76:$F$89)</f>
        <v>0</v>
      </c>
      <c r="F91" s="246">
        <f t="shared" ref="F91:F93" si="5">C91-E91</f>
        <v>40</v>
      </c>
      <c r="G91" s="10"/>
      <c r="H91" s="23" t="s">
        <v>11</v>
      </c>
      <c r="I91" s="36">
        <v>25.0</v>
      </c>
      <c r="J91" s="10"/>
      <c r="K91" s="33">
        <f>SUM(SUMIF($K$76:$K$89, "Argentina",$L$76:$L$89))</f>
        <v>0</v>
      </c>
      <c r="L91" s="33">
        <f t="shared" ref="L91:L95" si="6">I91-K91</f>
        <v>25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0</v>
      </c>
      <c r="F92" s="246">
        <f t="shared" si="5"/>
        <v>40</v>
      </c>
      <c r="G92" s="10"/>
      <c r="H92" s="22" t="s">
        <v>18</v>
      </c>
      <c r="I92" s="36">
        <v>25.0</v>
      </c>
      <c r="J92" s="10"/>
      <c r="K92" s="33">
        <f>SUM(SUMIF($K$76:$K$89, "Chile",$L$76:$L$89))</f>
        <v>0</v>
      </c>
      <c r="L92" s="33">
        <f t="shared" si="6"/>
        <v>25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0</v>
      </c>
      <c r="F93" s="246">
        <f t="shared" si="5"/>
        <v>40</v>
      </c>
      <c r="G93" s="10"/>
      <c r="H93" s="23" t="s">
        <v>954</v>
      </c>
      <c r="I93" s="36">
        <v>35.0</v>
      </c>
      <c r="J93" s="10"/>
      <c r="K93" s="33">
        <f>SUM(SUMIF($K$76:$K$89, "Ecuador",$L$76:$L$89), SUMIF($K$76:$K$89, "Colombia",$L$76:$L$89))</f>
        <v>0</v>
      </c>
      <c r="L93" s="33">
        <f t="shared" si="6"/>
        <v>35</v>
      </c>
    </row>
    <row r="94" outlineLevel="1">
      <c r="D94" s="10"/>
      <c r="E94" s="37" t="s">
        <v>40</v>
      </c>
      <c r="F94" s="38">
        <f>sum(C91:C93)</f>
        <v>120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120</v>
      </c>
      <c r="G95" s="10"/>
      <c r="H95" s="23" t="s">
        <v>2340</v>
      </c>
      <c r="I95" s="36">
        <v>20.0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20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120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120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3634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0</v>
      </c>
      <c r="F127" s="246">
        <f t="shared" ref="F127:F129" si="7">C127-E127</f>
        <v>40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40.0</v>
      </c>
      <c r="D128" s="10"/>
      <c r="E128" s="33">
        <f>SUM(SUMIF($E$112:$E$125,"Dominican Republic",$F$112:$F$125), SUMIF($E$112:$E$125,"Panama",$F$112:$F$125), SUMIF($E$112:$E$125,"Costa Rica",$F$112:$F$125))</f>
        <v>0</v>
      </c>
      <c r="F128" s="246">
        <f t="shared" si="7"/>
        <v>40</v>
      </c>
      <c r="G128" s="10"/>
      <c r="H128" s="22" t="s">
        <v>18</v>
      </c>
      <c r="I128" s="36">
        <v>25.0</v>
      </c>
      <c r="J128" s="10"/>
      <c r="K128" s="33">
        <f>SUM(SUMIF($K$112:$K$125, "Chile",$L$112:$L$125))</f>
        <v>0</v>
      </c>
      <c r="L128" s="33">
        <f t="shared" si="8"/>
        <v>25</v>
      </c>
    </row>
    <row r="129" outlineLevel="1">
      <c r="B129" s="19" t="s">
        <v>953</v>
      </c>
      <c r="C129" s="32">
        <v>40.0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0</v>
      </c>
      <c r="F129" s="246">
        <f t="shared" si="7"/>
        <v>40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120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0</v>
      </c>
      <c r="L130" s="33">
        <f t="shared" si="8"/>
        <v>15</v>
      </c>
    </row>
    <row r="131" outlineLevel="1">
      <c r="D131" s="10"/>
      <c r="E131" s="37" t="s">
        <v>41</v>
      </c>
      <c r="F131" s="38">
        <f>SUM(F127:F129)</f>
        <v>120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120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120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17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2" width="22.63" outlineLevel="1"/>
    <col customWidth="1" min="3" max="3" width="14.5" outlineLevel="1"/>
    <col customWidth="1" min="4" max="4" width="29.75" outlineLevel="1"/>
    <col customWidth="1" min="5" max="6" width="22.63" outlineLevel="1"/>
    <col customWidth="1" min="7" max="7" width="37.13" outlineLevel="1"/>
    <col customWidth="1" min="8" max="8" width="22.63" outlineLevel="1"/>
    <col customWidth="1" min="9" max="9" width="9.63" outlineLevel="1"/>
    <col customWidth="1" min="10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ollapsed="1" customWidth="1" min="49" max="49" width="6.5"/>
    <col customWidth="1" hidden="1" min="50" max="56" width="22.63" outlineLevel="1"/>
    <col customWidth="1" hidden="1" min="57" max="57" width="9.63" outlineLevel="1"/>
    <col customWidth="1" hidden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270"/>
      <c r="C2" s="109"/>
      <c r="D2" s="373"/>
      <c r="E2" s="58"/>
      <c r="F2" s="58"/>
      <c r="G2" s="61"/>
      <c r="H2" s="269"/>
      <c r="J2" s="270"/>
      <c r="K2" s="109"/>
      <c r="L2" s="109"/>
      <c r="M2" s="271"/>
      <c r="N2" s="271"/>
      <c r="O2" s="61"/>
      <c r="P2" s="298"/>
      <c r="R2" s="369"/>
      <c r="S2" s="326"/>
      <c r="T2" s="326"/>
      <c r="U2" s="370"/>
      <c r="V2" s="370"/>
      <c r="W2" s="195"/>
      <c r="X2" s="371"/>
      <c r="Z2" s="270"/>
      <c r="AA2" s="109"/>
      <c r="AB2" s="109"/>
      <c r="AC2" s="344"/>
      <c r="AD2" s="58"/>
      <c r="AE2" s="109"/>
      <c r="AF2" s="298"/>
      <c r="AH2" s="372"/>
      <c r="AI2" s="373"/>
      <c r="AJ2" s="373"/>
      <c r="AK2" s="374"/>
      <c r="AL2" s="374"/>
      <c r="AM2" s="375"/>
      <c r="AN2" s="269"/>
      <c r="AP2" s="270"/>
      <c r="AQ2" s="109"/>
      <c r="AR2" s="297"/>
      <c r="AS2" s="58"/>
      <c r="AT2" s="58"/>
      <c r="AU2" s="109"/>
      <c r="AV2" s="269"/>
      <c r="AX2" s="372"/>
      <c r="AY2" s="384"/>
      <c r="AZ2" s="373"/>
      <c r="BA2" s="376"/>
      <c r="BB2" s="376"/>
      <c r="BC2" s="61"/>
      <c r="BD2" s="269"/>
      <c r="BF2" s="270"/>
      <c r="BG2" s="109"/>
      <c r="BH2" s="109"/>
      <c r="BI2" s="58"/>
      <c r="BJ2" s="58"/>
      <c r="BK2" s="109"/>
      <c r="BL2" s="269"/>
    </row>
    <row r="3" ht="22.5" customHeight="1">
      <c r="A3" s="368"/>
      <c r="B3" s="270"/>
      <c r="C3" s="109"/>
      <c r="D3" s="373"/>
      <c r="E3" s="58"/>
      <c r="F3" s="58"/>
      <c r="G3" s="61"/>
      <c r="H3" s="269"/>
      <c r="J3" s="270"/>
      <c r="K3" s="109"/>
      <c r="L3" s="109"/>
      <c r="M3" s="271"/>
      <c r="N3" s="271"/>
      <c r="O3" s="109"/>
      <c r="P3" s="269"/>
      <c r="R3" s="369"/>
      <c r="S3" s="326"/>
      <c r="T3" s="326"/>
      <c r="U3" s="370"/>
      <c r="V3" s="370"/>
      <c r="W3" s="195"/>
      <c r="X3" s="371"/>
      <c r="Z3" s="270"/>
      <c r="AA3" s="109"/>
      <c r="AB3" s="297"/>
      <c r="AC3" s="344"/>
      <c r="AD3" s="58"/>
      <c r="AE3" s="109"/>
      <c r="AF3" s="298"/>
      <c r="AH3" s="372"/>
      <c r="AI3" s="378"/>
      <c r="AJ3" s="373"/>
      <c r="AK3" s="376"/>
      <c r="AL3" s="376"/>
      <c r="AM3" s="61"/>
      <c r="AN3" s="269"/>
      <c r="AP3" s="270"/>
      <c r="AQ3" s="109"/>
      <c r="AR3" s="109"/>
      <c r="AS3" s="271"/>
      <c r="AT3" s="58"/>
      <c r="AU3" s="61"/>
      <c r="AV3" s="269"/>
      <c r="AX3" s="379"/>
      <c r="AY3" s="384"/>
      <c r="AZ3" s="373"/>
      <c r="BA3" s="58"/>
      <c r="BB3" s="58"/>
      <c r="BC3" s="61"/>
      <c r="BD3" s="269"/>
      <c r="BF3" s="449"/>
      <c r="BG3" s="450"/>
      <c r="BH3" s="450"/>
      <c r="BI3" s="451"/>
      <c r="BJ3" s="452"/>
      <c r="BK3" s="61"/>
      <c r="BL3" s="269"/>
    </row>
    <row r="4" ht="22.5" customHeight="1">
      <c r="A4" s="368"/>
      <c r="B4" s="270"/>
      <c r="C4" s="109"/>
      <c r="D4" s="373"/>
      <c r="E4" s="58"/>
      <c r="F4" s="58"/>
      <c r="G4" s="61"/>
      <c r="H4" s="269"/>
      <c r="J4" s="270"/>
      <c r="K4" s="109"/>
      <c r="L4" s="109"/>
      <c r="M4" s="271"/>
      <c r="N4" s="271"/>
      <c r="O4" s="109"/>
      <c r="P4" s="269"/>
      <c r="R4" s="369"/>
      <c r="S4" s="326"/>
      <c r="T4" s="326"/>
      <c r="U4" s="370"/>
      <c r="V4" s="370"/>
      <c r="W4" s="195"/>
      <c r="X4" s="371"/>
      <c r="Z4" s="270"/>
      <c r="AA4" s="109"/>
      <c r="AB4" s="109"/>
      <c r="AC4" s="271"/>
      <c r="AD4" s="58"/>
      <c r="AE4" s="61"/>
      <c r="AF4" s="269"/>
      <c r="AH4" s="379"/>
      <c r="AI4" s="109"/>
      <c r="AJ4" s="373"/>
      <c r="AK4" s="58"/>
      <c r="AL4" s="58"/>
      <c r="AM4" s="61"/>
      <c r="AN4" s="269"/>
      <c r="AP4" s="270"/>
      <c r="AQ4" s="109"/>
      <c r="AR4" s="109"/>
      <c r="AS4" s="58"/>
      <c r="AT4" s="58"/>
      <c r="AU4" s="109"/>
      <c r="AV4" s="269"/>
      <c r="AX4" s="379"/>
      <c r="AY4" s="384"/>
      <c r="AZ4" s="373"/>
      <c r="BA4" s="58"/>
      <c r="BB4" s="58"/>
      <c r="BC4" s="61"/>
      <c r="BD4" s="269"/>
      <c r="BF4" s="449"/>
      <c r="BG4" s="453"/>
      <c r="BH4" s="453"/>
      <c r="BI4" s="454"/>
      <c r="BJ4" s="455"/>
      <c r="BK4" s="109"/>
      <c r="BL4" s="269"/>
    </row>
    <row r="5" ht="22.5" customHeight="1">
      <c r="A5" s="368"/>
      <c r="B5" s="270"/>
      <c r="C5" s="109"/>
      <c r="D5" s="373"/>
      <c r="E5" s="58"/>
      <c r="F5" s="58"/>
      <c r="G5" s="61"/>
      <c r="H5" s="269"/>
      <c r="J5" s="270"/>
      <c r="K5" s="109"/>
      <c r="L5" s="109"/>
      <c r="M5" s="271"/>
      <c r="N5" s="271"/>
      <c r="O5" s="109"/>
      <c r="P5" s="269"/>
      <c r="R5" s="369"/>
      <c r="S5" s="326"/>
      <c r="T5" s="326"/>
      <c r="U5" s="370"/>
      <c r="V5" s="370"/>
      <c r="W5" s="195"/>
      <c r="X5" s="371"/>
      <c r="Z5" s="270"/>
      <c r="AA5" s="109"/>
      <c r="AB5" s="109"/>
      <c r="AC5" s="58"/>
      <c r="AD5" s="58"/>
      <c r="AE5" s="109"/>
      <c r="AF5" s="269"/>
      <c r="AH5" s="372"/>
      <c r="AI5" s="109"/>
      <c r="AJ5" s="373"/>
      <c r="AK5" s="58"/>
      <c r="AL5" s="58"/>
      <c r="AM5" s="61"/>
      <c r="AN5" s="269"/>
      <c r="AP5" s="270"/>
      <c r="AQ5" s="384"/>
      <c r="AR5" s="109"/>
      <c r="AS5" s="58"/>
      <c r="AT5" s="58"/>
      <c r="AU5" s="61"/>
      <c r="AV5" s="269"/>
      <c r="AX5" s="379"/>
      <c r="AY5" s="384"/>
      <c r="AZ5" s="373"/>
      <c r="BA5" s="58"/>
      <c r="BB5" s="58"/>
      <c r="BC5" s="61"/>
      <c r="BD5" s="269"/>
      <c r="BF5" s="449"/>
      <c r="BG5" s="450"/>
      <c r="BH5" s="450"/>
      <c r="BI5" s="451"/>
      <c r="BJ5" s="452"/>
      <c r="BK5" s="109"/>
      <c r="BL5" s="298"/>
    </row>
    <row r="6" ht="22.5" customHeight="1">
      <c r="A6" s="368"/>
      <c r="B6" s="270"/>
      <c r="C6" s="109"/>
      <c r="D6" s="373"/>
      <c r="E6" s="58"/>
      <c r="F6" s="58"/>
      <c r="G6" s="61"/>
      <c r="H6" s="269"/>
      <c r="J6" s="270"/>
      <c r="K6" s="109"/>
      <c r="L6" s="109"/>
      <c r="M6" s="271"/>
      <c r="N6" s="271"/>
      <c r="O6" s="109"/>
      <c r="P6" s="269"/>
      <c r="R6" s="369"/>
      <c r="S6" s="326"/>
      <c r="T6" s="326"/>
      <c r="U6" s="385"/>
      <c r="V6" s="370"/>
      <c r="W6" s="326"/>
      <c r="X6" s="386"/>
      <c r="Z6" s="270"/>
      <c r="AA6" s="384"/>
      <c r="AB6" s="109"/>
      <c r="AC6" s="58"/>
      <c r="AD6" s="58"/>
      <c r="AE6" s="61"/>
      <c r="AF6" s="269"/>
      <c r="AH6" s="379"/>
      <c r="AI6" s="384"/>
      <c r="AJ6" s="439"/>
      <c r="AK6" s="58"/>
      <c r="AL6" s="58"/>
      <c r="AM6" s="109"/>
      <c r="AN6" s="298"/>
      <c r="AP6" s="270"/>
      <c r="AQ6" s="384"/>
      <c r="AR6" s="109"/>
      <c r="AS6" s="58"/>
      <c r="AT6" s="58"/>
      <c r="AU6" s="109"/>
      <c r="AV6" s="269"/>
      <c r="AX6" s="379"/>
      <c r="AY6" s="384"/>
      <c r="AZ6" s="373"/>
      <c r="BA6" s="344"/>
      <c r="BB6" s="58"/>
      <c r="BC6" s="109"/>
      <c r="BD6" s="298"/>
      <c r="BF6" s="270"/>
      <c r="BG6" s="384"/>
      <c r="BH6" s="109"/>
      <c r="BI6" s="58"/>
      <c r="BJ6" s="58"/>
      <c r="BK6" s="109"/>
      <c r="BL6" s="269"/>
    </row>
    <row r="7" ht="22.5" customHeight="1">
      <c r="A7" s="368"/>
      <c r="B7" s="270"/>
      <c r="C7" s="109"/>
      <c r="D7" s="373"/>
      <c r="E7" s="58"/>
      <c r="F7" s="58"/>
      <c r="G7" s="61"/>
      <c r="H7" s="269"/>
      <c r="J7" s="270"/>
      <c r="K7" s="109"/>
      <c r="L7" s="109"/>
      <c r="M7" s="271"/>
      <c r="N7" s="271"/>
      <c r="O7" s="109"/>
      <c r="P7" s="269"/>
      <c r="R7" s="369"/>
      <c r="S7" s="326"/>
      <c r="T7" s="326"/>
      <c r="U7" s="370"/>
      <c r="V7" s="370"/>
      <c r="W7" s="195"/>
      <c r="X7" s="371"/>
      <c r="Z7" s="270"/>
      <c r="AA7" s="384"/>
      <c r="AB7" s="109"/>
      <c r="AC7" s="58"/>
      <c r="AD7" s="58"/>
      <c r="AE7" s="109"/>
      <c r="AF7" s="269"/>
      <c r="AH7" s="379"/>
      <c r="AI7" s="384"/>
      <c r="AJ7" s="456"/>
      <c r="AK7" s="58"/>
      <c r="AL7" s="58"/>
      <c r="AM7" s="61"/>
      <c r="AN7" s="269"/>
      <c r="AP7" s="270"/>
      <c r="AQ7" s="109"/>
      <c r="AR7" s="109"/>
      <c r="AS7" s="58"/>
      <c r="AT7" s="58"/>
      <c r="AU7" s="109"/>
      <c r="AV7" s="269"/>
      <c r="AX7" s="379"/>
      <c r="AY7" s="384"/>
      <c r="AZ7" s="373"/>
      <c r="BA7" s="58"/>
      <c r="BB7" s="58"/>
      <c r="BC7" s="61"/>
      <c r="BD7" s="269"/>
      <c r="BF7" s="270"/>
      <c r="BG7" s="109"/>
      <c r="BH7" s="109"/>
      <c r="BI7" s="58"/>
      <c r="BJ7" s="58"/>
      <c r="BK7" s="109"/>
      <c r="BL7" s="269"/>
    </row>
    <row r="8" ht="22.5" customHeight="1">
      <c r="A8" s="368"/>
      <c r="B8" s="270"/>
      <c r="C8" s="109"/>
      <c r="D8" s="373"/>
      <c r="E8" s="58"/>
      <c r="F8" s="58"/>
      <c r="G8" s="61"/>
      <c r="H8" s="269"/>
      <c r="J8" s="270"/>
      <c r="K8" s="109"/>
      <c r="L8" s="109"/>
      <c r="M8" s="271"/>
      <c r="N8" s="271"/>
      <c r="O8" s="109"/>
      <c r="P8" s="269"/>
      <c r="R8" s="270"/>
      <c r="S8" s="109"/>
      <c r="T8" s="446"/>
      <c r="U8" s="58"/>
      <c r="V8" s="58"/>
      <c r="W8" s="109"/>
      <c r="X8" s="269"/>
      <c r="Z8" s="270"/>
      <c r="AA8" s="109"/>
      <c r="AB8" s="109"/>
      <c r="AC8" s="58"/>
      <c r="AD8" s="58"/>
      <c r="AE8" s="61"/>
      <c r="AF8" s="269"/>
      <c r="AH8" s="379"/>
      <c r="AI8" s="109"/>
      <c r="AJ8" s="373"/>
      <c r="AK8" s="58"/>
      <c r="AL8" s="58"/>
      <c r="AM8" s="61"/>
      <c r="AN8" s="269"/>
      <c r="AP8" s="270"/>
      <c r="AQ8" s="109"/>
      <c r="AR8" s="109"/>
      <c r="AS8" s="58"/>
      <c r="AT8" s="58"/>
      <c r="AU8" s="61"/>
      <c r="AV8" s="269"/>
      <c r="AX8" s="379"/>
      <c r="AY8" s="109"/>
      <c r="AZ8" s="373"/>
      <c r="BA8" s="58"/>
      <c r="BB8" s="58"/>
      <c r="BC8" s="61"/>
      <c r="BD8" s="269"/>
      <c r="BF8" s="270"/>
      <c r="BG8" s="109"/>
      <c r="BH8" s="109"/>
      <c r="BI8" s="58"/>
      <c r="BJ8" s="58"/>
      <c r="BK8" s="61"/>
      <c r="BL8" s="269"/>
    </row>
    <row r="9" ht="22.5" customHeight="1">
      <c r="A9" s="368"/>
      <c r="B9" s="270"/>
      <c r="C9" s="109"/>
      <c r="D9" s="373"/>
      <c r="E9" s="58"/>
      <c r="F9" s="58"/>
      <c r="G9" s="61"/>
      <c r="H9" s="269"/>
      <c r="J9" s="270"/>
      <c r="K9" s="109"/>
      <c r="L9" s="109"/>
      <c r="M9" s="58"/>
      <c r="N9" s="58"/>
      <c r="O9" s="109"/>
      <c r="P9" s="269"/>
      <c r="R9" s="457"/>
      <c r="S9" s="458"/>
      <c r="T9" s="450"/>
      <c r="U9" s="452"/>
      <c r="V9" s="459"/>
      <c r="W9" s="109"/>
      <c r="X9" s="298"/>
      <c r="Z9" s="270"/>
      <c r="AA9" s="109"/>
      <c r="AB9" s="109"/>
      <c r="AC9" s="58"/>
      <c r="AD9" s="58"/>
      <c r="AE9" s="61"/>
      <c r="AF9" s="269"/>
      <c r="AH9" s="379"/>
      <c r="AI9" s="109"/>
      <c r="AJ9" s="373"/>
      <c r="AK9" s="58"/>
      <c r="AL9" s="58"/>
      <c r="AM9" s="61"/>
      <c r="AN9" s="298"/>
      <c r="AP9" s="270"/>
      <c r="AQ9" s="109"/>
      <c r="AR9" s="109"/>
      <c r="AS9" s="58"/>
      <c r="AT9" s="58"/>
      <c r="AU9" s="61"/>
      <c r="AV9" s="269"/>
      <c r="AX9" s="379"/>
      <c r="AY9" s="384"/>
      <c r="AZ9" s="460"/>
      <c r="BA9" s="58"/>
      <c r="BB9" s="58"/>
      <c r="BC9" s="61"/>
      <c r="BD9" s="269"/>
      <c r="BF9" s="270"/>
      <c r="BG9" s="109"/>
      <c r="BH9" s="109"/>
      <c r="BI9" s="58"/>
      <c r="BJ9" s="58"/>
      <c r="BK9" s="61"/>
      <c r="BL9" s="269"/>
    </row>
    <row r="10" ht="22.5" customHeight="1">
      <c r="A10" s="368"/>
      <c r="B10" s="270"/>
      <c r="C10" s="109"/>
      <c r="D10" s="373"/>
      <c r="E10" s="58"/>
      <c r="F10" s="58"/>
      <c r="G10" s="61"/>
      <c r="H10" s="269"/>
      <c r="J10" s="270"/>
      <c r="K10" s="109"/>
      <c r="L10" s="109"/>
      <c r="M10" s="58"/>
      <c r="N10" s="58"/>
      <c r="O10" s="109"/>
      <c r="P10" s="269"/>
      <c r="R10" s="457"/>
      <c r="S10" s="461"/>
      <c r="T10" s="461"/>
      <c r="U10" s="462"/>
      <c r="V10" s="463"/>
      <c r="W10" s="61"/>
      <c r="X10" s="269"/>
      <c r="Z10" s="270"/>
      <c r="AA10" s="109"/>
      <c r="AB10" s="109"/>
      <c r="AC10" s="58"/>
      <c r="AD10" s="58"/>
      <c r="AE10" s="61"/>
      <c r="AF10" s="269"/>
      <c r="AH10" s="379"/>
      <c r="AI10" s="384"/>
      <c r="AJ10" s="373"/>
      <c r="AK10" s="58"/>
      <c r="AL10" s="58"/>
      <c r="AM10" s="109"/>
      <c r="AN10" s="298"/>
      <c r="AP10" s="449"/>
      <c r="AQ10" s="450"/>
      <c r="AR10" s="450"/>
      <c r="AS10" s="462"/>
      <c r="AT10" s="452"/>
      <c r="AU10" s="109"/>
      <c r="AV10" s="298"/>
      <c r="AX10" s="379"/>
      <c r="AY10" s="384"/>
      <c r="AZ10" s="464"/>
      <c r="BA10" s="58"/>
      <c r="BB10" s="58"/>
      <c r="BC10" s="61"/>
      <c r="BD10" s="269"/>
      <c r="BF10" s="270"/>
      <c r="BG10" s="109"/>
      <c r="BH10" s="109"/>
      <c r="BI10" s="58"/>
      <c r="BJ10" s="58"/>
      <c r="BK10" s="109"/>
      <c r="BL10" s="298"/>
    </row>
    <row r="11" ht="22.5" customHeight="1">
      <c r="A11" s="368"/>
      <c r="B11" s="270"/>
      <c r="C11" s="109"/>
      <c r="D11" s="373"/>
      <c r="E11" s="58"/>
      <c r="F11" s="58"/>
      <c r="G11" s="61"/>
      <c r="H11" s="269"/>
      <c r="J11" s="270"/>
      <c r="K11" s="109"/>
      <c r="L11" s="109"/>
      <c r="M11" s="58"/>
      <c r="N11" s="58"/>
      <c r="O11" s="109"/>
      <c r="P11" s="269"/>
      <c r="R11" s="270"/>
      <c r="S11" s="109"/>
      <c r="T11" s="109"/>
      <c r="U11" s="58"/>
      <c r="V11" s="58"/>
      <c r="W11" s="61"/>
      <c r="X11" s="269"/>
      <c r="Z11" s="270"/>
      <c r="AA11" s="109"/>
      <c r="AB11" s="109"/>
      <c r="AC11" s="58"/>
      <c r="AD11" s="58"/>
      <c r="AE11" s="61"/>
      <c r="AF11" s="269"/>
      <c r="AH11" s="379"/>
      <c r="AI11" s="384"/>
      <c r="AJ11" s="373"/>
      <c r="AK11" s="58"/>
      <c r="AL11" s="58"/>
      <c r="AM11" s="61"/>
      <c r="AN11" s="269"/>
      <c r="AP11" s="449"/>
      <c r="AQ11" s="453"/>
      <c r="AR11" s="453"/>
      <c r="AS11" s="465"/>
      <c r="AT11" s="451"/>
      <c r="AU11" s="109"/>
      <c r="AV11" s="298"/>
      <c r="AX11" s="270"/>
      <c r="AY11" s="109"/>
      <c r="AZ11" s="109"/>
      <c r="BA11" s="344"/>
      <c r="BB11" s="344"/>
      <c r="BC11" s="61"/>
      <c r="BD11" s="269"/>
      <c r="BF11" s="270"/>
      <c r="BG11" s="109"/>
      <c r="BH11" s="109"/>
      <c r="BI11" s="58"/>
      <c r="BJ11" s="58"/>
      <c r="BK11" s="109"/>
      <c r="BL11" s="298"/>
    </row>
    <row r="12" ht="22.5" customHeight="1">
      <c r="A12" s="368"/>
      <c r="B12" s="270"/>
      <c r="C12" s="109"/>
      <c r="D12" s="373"/>
      <c r="E12" s="58"/>
      <c r="F12" s="58"/>
      <c r="G12" s="61"/>
      <c r="H12" s="269"/>
      <c r="J12" s="270"/>
      <c r="K12" s="109"/>
      <c r="L12" s="109"/>
      <c r="M12" s="58"/>
      <c r="N12" s="58"/>
      <c r="O12" s="109"/>
      <c r="P12" s="269"/>
      <c r="R12" s="270"/>
      <c r="S12" s="109"/>
      <c r="T12" s="109"/>
      <c r="U12" s="58"/>
      <c r="V12" s="58"/>
      <c r="W12" s="109"/>
      <c r="X12" s="269"/>
      <c r="Z12" s="270"/>
      <c r="AA12" s="109"/>
      <c r="AB12" s="109"/>
      <c r="AC12" s="58"/>
      <c r="AD12" s="58"/>
      <c r="AE12" s="61"/>
      <c r="AF12" s="269"/>
      <c r="AH12" s="270"/>
      <c r="AI12" s="384"/>
      <c r="AJ12" s="373"/>
      <c r="AK12" s="58"/>
      <c r="AL12" s="58"/>
      <c r="AM12" s="61"/>
      <c r="AN12" s="269"/>
      <c r="AP12" s="449"/>
      <c r="AQ12" s="109"/>
      <c r="AR12" s="109"/>
      <c r="AS12" s="344"/>
      <c r="AT12" s="344"/>
      <c r="AU12" s="109"/>
      <c r="AV12" s="298"/>
      <c r="AX12" s="379"/>
      <c r="AY12" s="109"/>
      <c r="AZ12" s="109"/>
      <c r="BA12" s="58"/>
      <c r="BB12" s="58"/>
      <c r="BC12" s="109"/>
      <c r="BD12" s="269"/>
      <c r="BF12" s="270"/>
      <c r="BG12" s="109"/>
      <c r="BH12" s="109"/>
      <c r="BI12" s="58"/>
      <c r="BJ12" s="58"/>
      <c r="BK12" s="61"/>
      <c r="BL12" s="269"/>
    </row>
    <row r="13" ht="22.5" customHeight="1">
      <c r="A13" s="368"/>
      <c r="B13" s="270"/>
      <c r="C13" s="109"/>
      <c r="D13" s="373"/>
      <c r="E13" s="58"/>
      <c r="F13" s="58"/>
      <c r="G13" s="61"/>
      <c r="H13" s="269"/>
      <c r="J13" s="270"/>
      <c r="K13" s="109"/>
      <c r="L13" s="109"/>
      <c r="M13" s="344"/>
      <c r="N13" s="344"/>
      <c r="O13" s="109"/>
      <c r="P13" s="298"/>
      <c r="R13" s="270"/>
      <c r="S13" s="109"/>
      <c r="T13" s="109"/>
      <c r="U13" s="58"/>
      <c r="V13" s="58"/>
      <c r="W13" s="61"/>
      <c r="X13" s="269"/>
      <c r="Z13" s="270"/>
      <c r="AA13" s="109"/>
      <c r="AB13" s="109"/>
      <c r="AC13" s="58"/>
      <c r="AD13" s="58"/>
      <c r="AE13" s="109"/>
      <c r="AF13" s="269"/>
      <c r="AH13" s="270"/>
      <c r="AI13" s="109"/>
      <c r="AJ13" s="373"/>
      <c r="AK13" s="58"/>
      <c r="AL13" s="58"/>
      <c r="AM13" s="61"/>
      <c r="AN13" s="269"/>
      <c r="AP13" s="449"/>
      <c r="AQ13" s="453"/>
      <c r="AR13" s="453"/>
      <c r="AS13" s="465"/>
      <c r="AT13" s="454"/>
      <c r="AU13" s="109"/>
      <c r="AV13" s="298"/>
      <c r="AX13" s="379"/>
      <c r="AY13" s="109"/>
      <c r="AZ13" s="109"/>
      <c r="BA13" s="58"/>
      <c r="BB13" s="58"/>
      <c r="BC13" s="61"/>
      <c r="BD13" s="269"/>
      <c r="BF13" s="270"/>
      <c r="BG13" s="109"/>
      <c r="BH13" s="109"/>
      <c r="BI13" s="58"/>
      <c r="BJ13" s="58"/>
      <c r="BK13" s="61"/>
      <c r="BL13" s="269"/>
    </row>
    <row r="14" ht="22.5" customHeight="1">
      <c r="A14" s="368"/>
      <c r="B14" s="270"/>
      <c r="C14" s="109"/>
      <c r="D14" s="373"/>
      <c r="E14" s="58"/>
      <c r="F14" s="58"/>
      <c r="G14" s="61"/>
      <c r="H14" s="269"/>
      <c r="J14" s="270"/>
      <c r="K14" s="109"/>
      <c r="L14" s="109"/>
      <c r="M14" s="58"/>
      <c r="N14" s="58"/>
      <c r="O14" s="109"/>
      <c r="P14" s="269"/>
      <c r="R14" s="270"/>
      <c r="S14" s="109"/>
      <c r="T14" s="109"/>
      <c r="U14" s="58"/>
      <c r="V14" s="58"/>
      <c r="W14" s="61"/>
      <c r="X14" s="269"/>
      <c r="Z14" s="270"/>
      <c r="AA14" s="109"/>
      <c r="AB14" s="109"/>
      <c r="AC14" s="344"/>
      <c r="AD14" s="58"/>
      <c r="AE14" s="109"/>
      <c r="AF14" s="298"/>
      <c r="AH14" s="270"/>
      <c r="AI14" s="109"/>
      <c r="AJ14" s="373"/>
      <c r="AK14" s="58"/>
      <c r="AL14" s="58"/>
      <c r="AM14" s="61"/>
      <c r="AN14" s="269"/>
      <c r="AP14" s="270"/>
      <c r="AQ14" s="109"/>
      <c r="AR14" s="109"/>
      <c r="AS14" s="58"/>
      <c r="AT14" s="58"/>
      <c r="AU14" s="61"/>
      <c r="AV14" s="269"/>
      <c r="AX14" s="379"/>
      <c r="AY14" s="109"/>
      <c r="AZ14" s="109"/>
      <c r="BA14" s="344"/>
      <c r="BB14" s="58"/>
      <c r="BC14" s="109"/>
      <c r="BD14" s="298"/>
      <c r="BF14" s="466"/>
      <c r="BG14" s="453"/>
      <c r="BH14" s="453"/>
      <c r="BI14" s="467"/>
      <c r="BJ14" s="455"/>
      <c r="BK14" s="61"/>
      <c r="BL14" s="269"/>
    </row>
    <row r="15" ht="22.5" customHeight="1">
      <c r="A15" s="368"/>
      <c r="B15" s="270"/>
      <c r="C15" s="109"/>
      <c r="D15" s="373"/>
      <c r="E15" s="58"/>
      <c r="F15" s="58"/>
      <c r="G15" s="61"/>
      <c r="H15" s="269"/>
      <c r="J15" s="270"/>
      <c r="K15" s="109"/>
      <c r="L15" s="109"/>
      <c r="M15" s="58"/>
      <c r="N15" s="58"/>
      <c r="O15" s="61"/>
      <c r="P15" s="298"/>
      <c r="R15" s="270"/>
      <c r="S15" s="109"/>
      <c r="T15" s="109"/>
      <c r="U15" s="58"/>
      <c r="V15" s="58"/>
      <c r="W15" s="109"/>
      <c r="X15" s="269"/>
      <c r="Z15" s="270"/>
      <c r="AA15" s="109"/>
      <c r="AB15" s="109"/>
      <c r="AC15" s="58"/>
      <c r="AD15" s="58"/>
      <c r="AE15" s="109"/>
      <c r="AF15" s="298"/>
      <c r="AH15" s="270"/>
      <c r="AI15" s="109"/>
      <c r="AJ15" s="373"/>
      <c r="AK15" s="58"/>
      <c r="AL15" s="58"/>
      <c r="AM15" s="61"/>
      <c r="AN15" s="269"/>
      <c r="AP15" s="270"/>
      <c r="AQ15" s="109"/>
      <c r="AR15" s="109"/>
      <c r="AS15" s="58"/>
      <c r="AT15" s="58"/>
      <c r="AU15" s="61"/>
      <c r="AV15" s="269"/>
      <c r="AX15" s="270"/>
      <c r="AY15" s="384"/>
      <c r="AZ15" s="460"/>
      <c r="BA15" s="58"/>
      <c r="BB15" s="58"/>
      <c r="BC15" s="61"/>
      <c r="BD15" s="269"/>
      <c r="BF15" s="468"/>
      <c r="BG15" s="450"/>
      <c r="BH15" s="450"/>
      <c r="BI15" s="452"/>
      <c r="BJ15" s="452"/>
      <c r="BK15" s="61"/>
      <c r="BL15" s="269"/>
    </row>
    <row r="16" ht="22.5" customHeight="1">
      <c r="A16" s="368"/>
      <c r="B16" s="270"/>
      <c r="C16" s="109"/>
      <c r="D16" s="373"/>
      <c r="E16" s="58"/>
      <c r="F16" s="58"/>
      <c r="G16" s="61"/>
      <c r="H16" s="269"/>
      <c r="J16" s="270"/>
      <c r="K16" s="109"/>
      <c r="L16" s="109"/>
      <c r="M16" s="58"/>
      <c r="N16" s="58"/>
      <c r="O16" s="61"/>
      <c r="P16" s="269"/>
      <c r="R16" s="270"/>
      <c r="S16" s="109"/>
      <c r="T16" s="109"/>
      <c r="U16" s="58"/>
      <c r="V16" s="58"/>
      <c r="W16" s="61"/>
      <c r="X16" s="269"/>
      <c r="Z16" s="270"/>
      <c r="AA16" s="384"/>
      <c r="AB16" s="109"/>
      <c r="AC16" s="344"/>
      <c r="AD16" s="344"/>
      <c r="AE16" s="109"/>
      <c r="AF16" s="298"/>
      <c r="AH16" s="270"/>
      <c r="AI16" s="109"/>
      <c r="AJ16" s="373"/>
      <c r="AK16" s="344"/>
      <c r="AL16" s="58"/>
      <c r="AM16" s="109"/>
      <c r="AN16" s="298"/>
      <c r="AP16" s="270"/>
      <c r="AQ16" s="109"/>
      <c r="AR16" s="109"/>
      <c r="AS16" s="58"/>
      <c r="AT16" s="58"/>
      <c r="AU16" s="109"/>
      <c r="AV16" s="269"/>
      <c r="AX16" s="270"/>
      <c r="AY16" s="384"/>
      <c r="AZ16" s="439"/>
      <c r="BA16" s="58"/>
      <c r="BB16" s="58"/>
      <c r="BC16" s="61"/>
      <c r="BD16" s="269"/>
      <c r="BF16" s="466"/>
      <c r="BG16" s="453"/>
      <c r="BH16" s="453"/>
      <c r="BI16" s="455"/>
      <c r="BJ16" s="455"/>
      <c r="BK16" s="109"/>
      <c r="BL16" s="269"/>
    </row>
    <row r="17" ht="22.5" customHeight="1">
      <c r="A17" s="368"/>
      <c r="B17" s="270"/>
      <c r="C17" s="109"/>
      <c r="D17" s="373"/>
      <c r="E17" s="58"/>
      <c r="F17" s="58"/>
      <c r="G17" s="61"/>
      <c r="H17" s="269"/>
      <c r="J17" s="270"/>
      <c r="K17" s="109"/>
      <c r="L17" s="109"/>
      <c r="M17" s="58"/>
      <c r="N17" s="58"/>
      <c r="O17" s="61"/>
      <c r="P17" s="269"/>
      <c r="R17" s="270"/>
      <c r="S17" s="109"/>
      <c r="T17" s="109"/>
      <c r="U17" s="58"/>
      <c r="V17" s="58"/>
      <c r="W17" s="61"/>
      <c r="X17" s="269"/>
      <c r="Z17" s="270"/>
      <c r="AA17" s="109"/>
      <c r="AB17" s="109"/>
      <c r="AC17" s="58"/>
      <c r="AD17" s="58"/>
      <c r="AE17" s="61"/>
      <c r="AF17" s="269"/>
      <c r="AH17" s="270"/>
      <c r="AI17" s="384"/>
      <c r="AJ17" s="373"/>
      <c r="AK17" s="58"/>
      <c r="AL17" s="58"/>
      <c r="AM17" s="61"/>
      <c r="AN17" s="269"/>
      <c r="AP17" s="270"/>
      <c r="AQ17" s="109"/>
      <c r="AR17" s="109"/>
      <c r="AS17" s="58"/>
      <c r="AT17" s="58"/>
      <c r="AU17" s="61"/>
      <c r="AV17" s="269"/>
      <c r="AX17" s="270"/>
      <c r="AY17" s="384"/>
      <c r="AZ17" s="460"/>
      <c r="BA17" s="58"/>
      <c r="BB17" s="58"/>
      <c r="BC17" s="61"/>
      <c r="BD17" s="269"/>
      <c r="BF17" s="468"/>
      <c r="BG17" s="450"/>
      <c r="BH17" s="450"/>
      <c r="BI17" s="452"/>
      <c r="BJ17" s="452"/>
      <c r="BK17" s="61"/>
      <c r="BL17" s="269"/>
    </row>
    <row r="18" ht="22.5" customHeight="1">
      <c r="A18" s="368"/>
      <c r="B18" s="270"/>
      <c r="C18" s="109"/>
      <c r="D18" s="373"/>
      <c r="E18" s="58"/>
      <c r="F18" s="58"/>
      <c r="G18" s="61"/>
      <c r="H18" s="269"/>
      <c r="J18" s="270"/>
      <c r="K18" s="109"/>
      <c r="L18" s="109"/>
      <c r="M18" s="58"/>
      <c r="N18" s="58"/>
      <c r="O18" s="61"/>
      <c r="P18" s="269"/>
      <c r="R18" s="270"/>
      <c r="S18" s="109"/>
      <c r="T18" s="109"/>
      <c r="U18" s="58"/>
      <c r="V18" s="58"/>
      <c r="W18" s="61"/>
      <c r="X18" s="269"/>
      <c r="Z18" s="270"/>
      <c r="AA18" s="109"/>
      <c r="AB18" s="109"/>
      <c r="AC18" s="58"/>
      <c r="AD18" s="58"/>
      <c r="AE18" s="109"/>
      <c r="AF18" s="269"/>
      <c r="AH18" s="270"/>
      <c r="AI18" s="384"/>
      <c r="AJ18" s="373"/>
      <c r="AK18" s="58"/>
      <c r="AL18" s="58"/>
      <c r="AM18" s="61"/>
      <c r="AN18" s="269"/>
      <c r="AP18" s="270"/>
      <c r="AQ18" s="109"/>
      <c r="AR18" s="109"/>
      <c r="AS18" s="58"/>
      <c r="AT18" s="58"/>
      <c r="AU18" s="61"/>
      <c r="AV18" s="269"/>
      <c r="AX18" s="270"/>
      <c r="AY18" s="384"/>
      <c r="AZ18" s="460"/>
      <c r="BA18" s="58"/>
      <c r="BB18" s="58"/>
      <c r="BC18" s="61"/>
      <c r="BD18" s="269"/>
      <c r="BF18" s="449"/>
      <c r="BG18" s="450"/>
      <c r="BH18" s="450"/>
      <c r="BI18" s="452"/>
      <c r="BJ18" s="469"/>
      <c r="BK18" s="61"/>
      <c r="BL18" s="269"/>
    </row>
    <row r="19" ht="22.5" customHeight="1">
      <c r="A19" s="368"/>
      <c r="B19" s="270"/>
      <c r="C19" s="109"/>
      <c r="D19" s="373"/>
      <c r="E19" s="58"/>
      <c r="F19" s="58"/>
      <c r="G19" s="61"/>
      <c r="H19" s="269"/>
      <c r="J19" s="270"/>
      <c r="K19" s="109"/>
      <c r="L19" s="109"/>
      <c r="M19" s="58"/>
      <c r="N19" s="58"/>
      <c r="O19" s="109"/>
      <c r="P19" s="269"/>
      <c r="R19" s="270"/>
      <c r="S19" s="384"/>
      <c r="T19" s="109"/>
      <c r="U19" s="58"/>
      <c r="V19" s="58"/>
      <c r="W19" s="61"/>
      <c r="X19" s="269"/>
      <c r="Z19" s="270"/>
      <c r="AA19" s="109"/>
      <c r="AB19" s="109"/>
      <c r="AC19" s="58"/>
      <c r="AD19" s="58"/>
      <c r="AE19" s="61"/>
      <c r="AF19" s="269"/>
      <c r="AH19" s="270"/>
      <c r="AI19" s="109"/>
      <c r="AJ19" s="373"/>
      <c r="AK19" s="344"/>
      <c r="AL19" s="58"/>
      <c r="AM19" s="109"/>
      <c r="AN19" s="298"/>
      <c r="AP19" s="270"/>
      <c r="AQ19" s="109"/>
      <c r="AR19" s="109"/>
      <c r="AS19" s="58"/>
      <c r="AT19" s="58"/>
      <c r="AU19" s="61"/>
      <c r="AV19" s="269"/>
      <c r="AX19" s="270"/>
      <c r="AY19" s="384"/>
      <c r="AZ19" s="460"/>
      <c r="BA19" s="58"/>
      <c r="BB19" s="58"/>
      <c r="BC19" s="61"/>
      <c r="BD19" s="269"/>
      <c r="BF19" s="449"/>
      <c r="BG19" s="453"/>
      <c r="BH19" s="453"/>
      <c r="BI19" s="454"/>
      <c r="BJ19" s="455"/>
      <c r="BK19" s="61"/>
      <c r="BL19" s="269"/>
    </row>
    <row r="20" ht="22.5" customHeight="1">
      <c r="A20" s="368"/>
      <c r="B20" s="270"/>
      <c r="C20" s="109"/>
      <c r="D20" s="373"/>
      <c r="E20" s="58"/>
      <c r="F20" s="58"/>
      <c r="G20" s="61"/>
      <c r="H20" s="269"/>
      <c r="J20" s="270"/>
      <c r="K20" s="109"/>
      <c r="L20" s="109"/>
      <c r="M20" s="58"/>
      <c r="N20" s="58"/>
      <c r="O20" s="61"/>
      <c r="P20" s="269"/>
      <c r="R20" s="270"/>
      <c r="S20" s="384"/>
      <c r="T20" s="109"/>
      <c r="U20" s="58"/>
      <c r="V20" s="58"/>
      <c r="W20" s="109"/>
      <c r="X20" s="269"/>
      <c r="Z20" s="270"/>
      <c r="AA20" s="109"/>
      <c r="AB20" s="109"/>
      <c r="AC20" s="58"/>
      <c r="AD20" s="58"/>
      <c r="AE20" s="61"/>
      <c r="AF20" s="269"/>
      <c r="AH20" s="270"/>
      <c r="AI20" s="384"/>
      <c r="AJ20" s="373"/>
      <c r="AK20" s="81"/>
      <c r="AL20" s="58"/>
      <c r="AM20" s="61"/>
      <c r="AN20" s="269"/>
      <c r="AP20" s="466"/>
      <c r="AQ20" s="453"/>
      <c r="AR20" s="453"/>
      <c r="AS20" s="467"/>
      <c r="AT20" s="455"/>
      <c r="AU20" s="470"/>
      <c r="AV20" s="269"/>
      <c r="AX20" s="270"/>
      <c r="AY20" s="384"/>
      <c r="AZ20" s="460"/>
      <c r="BA20" s="58"/>
      <c r="BB20" s="58"/>
      <c r="BC20" s="61"/>
      <c r="BD20" s="269"/>
      <c r="BF20" s="449"/>
      <c r="BG20" s="453"/>
      <c r="BH20" s="453"/>
      <c r="BI20" s="455"/>
      <c r="BJ20" s="455"/>
      <c r="BK20" s="109"/>
      <c r="BL20" s="298"/>
    </row>
    <row r="21" ht="22.5" customHeight="1">
      <c r="A21" s="368"/>
      <c r="B21" s="270"/>
      <c r="C21" s="109"/>
      <c r="D21" s="373"/>
      <c r="E21" s="58"/>
      <c r="F21" s="58"/>
      <c r="G21" s="61"/>
      <c r="H21" s="269"/>
      <c r="J21" s="270"/>
      <c r="K21" s="109"/>
      <c r="L21" s="109"/>
      <c r="M21" s="58"/>
      <c r="N21" s="58"/>
      <c r="O21" s="61"/>
      <c r="P21" s="269"/>
      <c r="R21" s="270"/>
      <c r="S21" s="384"/>
      <c r="T21" s="109"/>
      <c r="U21" s="58"/>
      <c r="V21" s="58"/>
      <c r="W21" s="61"/>
      <c r="X21" s="269"/>
      <c r="Z21" s="270"/>
      <c r="AA21" s="109"/>
      <c r="AB21" s="407"/>
      <c r="AC21" s="58"/>
      <c r="AD21" s="58"/>
      <c r="AE21" s="109"/>
      <c r="AF21" s="269"/>
      <c r="AH21" s="270"/>
      <c r="AI21" s="384"/>
      <c r="AJ21" s="373"/>
      <c r="AK21" s="58"/>
      <c r="AL21" s="58"/>
      <c r="AM21" s="61"/>
      <c r="AN21" s="269"/>
      <c r="AP21" s="468"/>
      <c r="AQ21" s="450"/>
      <c r="AR21" s="450"/>
      <c r="AS21" s="471"/>
      <c r="AT21" s="452"/>
      <c r="AU21" s="472"/>
      <c r="AV21" s="269"/>
      <c r="AX21" s="270"/>
      <c r="AY21" s="384"/>
      <c r="AZ21" s="460"/>
      <c r="BA21" s="58"/>
      <c r="BB21" s="58"/>
      <c r="BC21" s="61"/>
      <c r="BD21" s="269"/>
      <c r="BF21" s="449"/>
      <c r="BG21" s="450"/>
      <c r="BH21" s="450"/>
      <c r="BI21" s="452"/>
      <c r="BJ21" s="452"/>
      <c r="BK21" s="109"/>
      <c r="BL21" s="298"/>
    </row>
    <row r="22" ht="22.5" customHeight="1">
      <c r="A22" s="368"/>
      <c r="B22" s="270"/>
      <c r="C22" s="109"/>
      <c r="D22" s="373"/>
      <c r="E22" s="58"/>
      <c r="F22" s="58"/>
      <c r="G22" s="61"/>
      <c r="H22" s="269"/>
      <c r="J22" s="270"/>
      <c r="K22" s="109"/>
      <c r="L22" s="109"/>
      <c r="M22" s="58"/>
      <c r="N22" s="58"/>
      <c r="O22" s="61"/>
      <c r="P22" s="298"/>
      <c r="R22" s="270"/>
      <c r="S22" s="384"/>
      <c r="T22" s="109"/>
      <c r="U22" s="58"/>
      <c r="V22" s="58"/>
      <c r="W22" s="109"/>
      <c r="X22" s="269"/>
      <c r="Z22" s="270"/>
      <c r="AA22" s="109"/>
      <c r="AB22" s="109"/>
      <c r="AC22" s="58"/>
      <c r="AD22" s="58"/>
      <c r="AE22" s="109"/>
      <c r="AF22" s="298"/>
      <c r="AH22" s="270"/>
      <c r="AI22" s="109"/>
      <c r="AJ22" s="373"/>
      <c r="AK22" s="58"/>
      <c r="AL22" s="58"/>
      <c r="AM22" s="61"/>
      <c r="AN22" s="269"/>
      <c r="AP22" s="466"/>
      <c r="AQ22" s="453"/>
      <c r="AR22" s="453"/>
      <c r="AS22" s="467"/>
      <c r="AT22" s="455"/>
      <c r="AU22" s="470"/>
      <c r="AV22" s="269"/>
      <c r="AX22" s="270"/>
      <c r="AY22" s="384"/>
      <c r="AZ22" s="473"/>
      <c r="BA22" s="58"/>
      <c r="BB22" s="58"/>
      <c r="BC22" s="61"/>
      <c r="BD22" s="269"/>
      <c r="BF22" s="466"/>
      <c r="BG22" s="453"/>
      <c r="BH22" s="453"/>
      <c r="BI22" s="455"/>
      <c r="BJ22" s="455"/>
      <c r="BK22" s="61"/>
      <c r="BL22" s="298"/>
    </row>
    <row r="23" ht="22.5" customHeight="1">
      <c r="A23" s="368"/>
      <c r="B23" s="270"/>
      <c r="C23" s="109"/>
      <c r="D23" s="373"/>
      <c r="E23" s="58"/>
      <c r="F23" s="58"/>
      <c r="G23" s="61"/>
      <c r="H23" s="269"/>
      <c r="J23" s="270"/>
      <c r="K23" s="109"/>
      <c r="L23" s="109"/>
      <c r="M23" s="58"/>
      <c r="N23" s="58"/>
      <c r="O23" s="109"/>
      <c r="P23" s="269"/>
      <c r="R23" s="270"/>
      <c r="S23" s="384"/>
      <c r="T23" s="109"/>
      <c r="U23" s="58"/>
      <c r="V23" s="58"/>
      <c r="W23" s="61"/>
      <c r="X23" s="269"/>
      <c r="Z23" s="270"/>
      <c r="AA23" s="109"/>
      <c r="AB23" s="109"/>
      <c r="AC23" s="58"/>
      <c r="AD23" s="58"/>
      <c r="AE23" s="61"/>
      <c r="AF23" s="269"/>
      <c r="AH23" s="270"/>
      <c r="AI23" s="109"/>
      <c r="AJ23" s="373"/>
      <c r="AK23" s="58"/>
      <c r="AL23" s="58"/>
      <c r="AM23" s="61"/>
      <c r="AN23" s="269"/>
      <c r="AP23" s="468"/>
      <c r="AQ23" s="450"/>
      <c r="AR23" s="450"/>
      <c r="AS23" s="471"/>
      <c r="AT23" s="452"/>
      <c r="AU23" s="472"/>
      <c r="AV23" s="269"/>
      <c r="AX23" s="270"/>
      <c r="AY23" s="109"/>
      <c r="AZ23" s="373"/>
      <c r="BA23" s="58"/>
      <c r="BB23" s="58"/>
      <c r="BC23" s="61"/>
      <c r="BD23" s="269"/>
      <c r="BF23" s="270"/>
      <c r="BG23" s="109"/>
      <c r="BH23" s="109"/>
      <c r="BI23" s="58"/>
      <c r="BJ23" s="58"/>
      <c r="BK23" s="61"/>
      <c r="BL23" s="269"/>
    </row>
    <row r="24" ht="22.5" customHeight="1">
      <c r="A24" s="368"/>
      <c r="B24" s="270"/>
      <c r="C24" s="109"/>
      <c r="D24" s="373"/>
      <c r="E24" s="58"/>
      <c r="F24" s="58"/>
      <c r="G24" s="61"/>
      <c r="H24" s="269"/>
      <c r="J24" s="270"/>
      <c r="K24" s="109"/>
      <c r="L24" s="109"/>
      <c r="M24" s="58"/>
      <c r="N24" s="58"/>
      <c r="O24" s="61"/>
      <c r="P24" s="269"/>
      <c r="R24" s="270"/>
      <c r="S24" s="384"/>
      <c r="T24" s="109"/>
      <c r="U24" s="58"/>
      <c r="V24" s="58"/>
      <c r="W24" s="61"/>
      <c r="X24" s="269"/>
      <c r="Z24" s="270"/>
      <c r="AA24" s="109"/>
      <c r="AB24" s="109"/>
      <c r="AC24" s="58"/>
      <c r="AD24" s="58"/>
      <c r="AE24" s="61"/>
      <c r="AF24" s="269"/>
      <c r="AH24" s="270"/>
      <c r="AI24" s="47"/>
      <c r="AJ24" s="373"/>
      <c r="AK24" s="58"/>
      <c r="AL24" s="58"/>
      <c r="AM24" s="61"/>
      <c r="AN24" s="269"/>
      <c r="AP24" s="466"/>
      <c r="AQ24" s="453"/>
      <c r="AR24" s="453"/>
      <c r="AS24" s="467"/>
      <c r="AT24" s="455"/>
      <c r="AU24" s="470"/>
      <c r="AV24" s="269"/>
      <c r="AX24" s="270"/>
      <c r="AY24" s="109"/>
      <c r="AZ24" s="373"/>
      <c r="BA24" s="322"/>
      <c r="BB24" s="58"/>
      <c r="BC24" s="61"/>
      <c r="BD24" s="269"/>
      <c r="BF24" s="270"/>
      <c r="BG24" s="109"/>
      <c r="BH24" s="109"/>
      <c r="BI24" s="58"/>
      <c r="BJ24" s="58"/>
      <c r="BK24" s="61"/>
      <c r="BL24" s="269"/>
    </row>
    <row r="25" ht="22.5" customHeight="1">
      <c r="A25" s="368"/>
      <c r="B25" s="270"/>
      <c r="C25" s="109"/>
      <c r="D25" s="373"/>
      <c r="E25" s="58"/>
      <c r="F25" s="58"/>
      <c r="G25" s="109"/>
      <c r="H25" s="269"/>
      <c r="J25" s="270"/>
      <c r="K25" s="109"/>
      <c r="L25" s="109"/>
      <c r="M25" s="58"/>
      <c r="N25" s="58"/>
      <c r="O25" s="109"/>
      <c r="P25" s="269"/>
      <c r="R25" s="270"/>
      <c r="S25" s="109"/>
      <c r="T25" s="109"/>
      <c r="U25" s="58"/>
      <c r="V25" s="58"/>
      <c r="W25" s="61"/>
      <c r="X25" s="269"/>
      <c r="Z25" s="270"/>
      <c r="AA25" s="109"/>
      <c r="AB25" s="109"/>
      <c r="AC25" s="58"/>
      <c r="AD25" s="58"/>
      <c r="AE25" s="61"/>
      <c r="AF25" s="269"/>
      <c r="AH25" s="270"/>
      <c r="AI25" s="109"/>
      <c r="AJ25" s="373"/>
      <c r="AK25" s="58"/>
      <c r="AL25" s="58"/>
      <c r="AM25" s="61"/>
      <c r="AN25" s="269"/>
      <c r="AP25" s="449"/>
      <c r="AQ25" s="450"/>
      <c r="AR25" s="450"/>
      <c r="AS25" s="465"/>
      <c r="AT25" s="452"/>
      <c r="AU25" s="61"/>
      <c r="AV25" s="269"/>
      <c r="AX25" s="270"/>
      <c r="AY25" s="384"/>
      <c r="AZ25" s="373"/>
      <c r="BA25" s="58"/>
      <c r="BB25" s="322"/>
      <c r="BC25" s="61"/>
      <c r="BD25" s="269"/>
      <c r="BF25" s="270"/>
      <c r="BG25" s="109"/>
      <c r="BH25" s="109"/>
      <c r="BI25" s="58"/>
      <c r="BJ25" s="58"/>
      <c r="BK25" s="61"/>
      <c r="BL25" s="269"/>
    </row>
    <row r="26" ht="22.5" customHeight="1">
      <c r="A26" s="368"/>
      <c r="B26" s="270"/>
      <c r="C26" s="109"/>
      <c r="D26" s="373"/>
      <c r="E26" s="58"/>
      <c r="F26" s="58"/>
      <c r="G26" s="61"/>
      <c r="H26" s="269"/>
      <c r="J26" s="270"/>
      <c r="K26" s="109"/>
      <c r="L26" s="109"/>
      <c r="M26" s="58"/>
      <c r="N26" s="58"/>
      <c r="O26" s="61"/>
      <c r="P26" s="269"/>
      <c r="R26" s="270"/>
      <c r="S26" s="109"/>
      <c r="T26" s="109"/>
      <c r="U26" s="58"/>
      <c r="V26" s="58"/>
      <c r="W26" s="61"/>
      <c r="X26" s="269"/>
      <c r="Z26" s="270"/>
      <c r="AA26" s="109"/>
      <c r="AB26" s="109"/>
      <c r="AC26" s="58"/>
      <c r="AD26" s="58"/>
      <c r="AE26" s="61"/>
      <c r="AF26" s="269"/>
      <c r="AH26" s="270"/>
      <c r="AI26" s="109"/>
      <c r="AJ26" s="373"/>
      <c r="AK26" s="58"/>
      <c r="AL26" s="58"/>
      <c r="AM26" s="61"/>
      <c r="AN26" s="269"/>
      <c r="AP26" s="449"/>
      <c r="AQ26" s="453"/>
      <c r="AR26" s="453"/>
      <c r="AS26" s="462"/>
      <c r="AT26" s="452"/>
      <c r="AU26" s="61"/>
      <c r="AV26" s="269"/>
      <c r="AX26" s="270"/>
      <c r="AY26" s="384"/>
      <c r="AZ26" s="373"/>
      <c r="BA26" s="58"/>
      <c r="BB26" s="58"/>
      <c r="BC26" s="61"/>
      <c r="BD26" s="269"/>
      <c r="BF26" s="270"/>
      <c r="BG26" s="109"/>
      <c r="BH26" s="109"/>
      <c r="BI26" s="58"/>
      <c r="BJ26" s="58"/>
      <c r="BK26" s="61"/>
      <c r="BL26" s="269"/>
    </row>
    <row r="27" ht="22.5" customHeight="1">
      <c r="A27" s="368"/>
      <c r="B27" s="270"/>
      <c r="C27" s="109"/>
      <c r="D27" s="373"/>
      <c r="E27" s="58"/>
      <c r="F27" s="58"/>
      <c r="G27" s="61"/>
      <c r="H27" s="269"/>
      <c r="J27" s="270"/>
      <c r="K27" s="109"/>
      <c r="L27" s="109"/>
      <c r="M27" s="58"/>
      <c r="N27" s="58"/>
      <c r="O27" s="61"/>
      <c r="P27" s="269"/>
      <c r="R27" s="270"/>
      <c r="S27" s="109"/>
      <c r="T27" s="109"/>
      <c r="U27" s="58"/>
      <c r="V27" s="58"/>
      <c r="W27" s="61"/>
      <c r="X27" s="269"/>
      <c r="Z27" s="270"/>
      <c r="AA27" s="109"/>
      <c r="AB27" s="109"/>
      <c r="AC27" s="58"/>
      <c r="AD27" s="58"/>
      <c r="AE27" s="109"/>
      <c r="AF27" s="269"/>
      <c r="AH27" s="270"/>
      <c r="AI27" s="109"/>
      <c r="AJ27" s="373"/>
      <c r="AK27" s="58"/>
      <c r="AL27" s="58"/>
      <c r="AM27" s="61"/>
      <c r="AN27" s="269"/>
      <c r="AP27" s="449"/>
      <c r="AQ27" s="450"/>
      <c r="AR27" s="450"/>
      <c r="AS27" s="465"/>
      <c r="AT27" s="451"/>
      <c r="AU27" s="61"/>
      <c r="AV27" s="269"/>
      <c r="AX27" s="270"/>
      <c r="AY27" s="384"/>
      <c r="AZ27" s="439"/>
      <c r="BA27" s="58"/>
      <c r="BB27" s="58"/>
      <c r="BC27" s="61"/>
      <c r="BD27" s="269"/>
      <c r="BF27" s="270"/>
      <c r="BG27" s="109"/>
      <c r="BH27" s="109"/>
      <c r="BI27" s="58"/>
      <c r="BJ27" s="58"/>
      <c r="BK27" s="61"/>
      <c r="BL27" s="269"/>
    </row>
    <row r="28" ht="22.5" customHeight="1">
      <c r="A28" s="368"/>
      <c r="B28" s="270"/>
      <c r="C28" s="109"/>
      <c r="D28" s="373"/>
      <c r="E28" s="58"/>
      <c r="F28" s="58"/>
      <c r="G28" s="61"/>
      <c r="H28" s="269"/>
      <c r="J28" s="270"/>
      <c r="K28" s="109"/>
      <c r="L28" s="109"/>
      <c r="M28" s="58"/>
      <c r="N28" s="58"/>
      <c r="O28" s="61"/>
      <c r="P28" s="269"/>
      <c r="R28" s="270"/>
      <c r="S28" s="109"/>
      <c r="T28" s="109"/>
      <c r="U28" s="322"/>
      <c r="V28" s="58"/>
      <c r="W28" s="109"/>
      <c r="X28" s="269"/>
      <c r="Z28" s="270"/>
      <c r="AA28" s="109"/>
      <c r="AB28" s="109"/>
      <c r="AC28" s="58"/>
      <c r="AD28" s="58"/>
      <c r="AE28" s="61"/>
      <c r="AF28" s="269"/>
      <c r="AH28" s="270"/>
      <c r="AI28" s="109"/>
      <c r="AJ28" s="373"/>
      <c r="AK28" s="322"/>
      <c r="AL28" s="58"/>
      <c r="AM28" s="61"/>
      <c r="AN28" s="269"/>
      <c r="AP28" s="468"/>
      <c r="AQ28" s="450"/>
      <c r="AR28" s="450"/>
      <c r="AS28" s="471"/>
      <c r="AT28" s="452"/>
      <c r="AU28" s="472"/>
      <c r="AV28" s="269"/>
      <c r="AX28" s="270"/>
      <c r="AY28" s="450"/>
      <c r="AZ28" s="474"/>
      <c r="BA28" s="58"/>
      <c r="BB28" s="58"/>
      <c r="BC28" s="61"/>
      <c r="BD28" s="269"/>
      <c r="BF28" s="270"/>
      <c r="BG28" s="109"/>
      <c r="BH28" s="109"/>
      <c r="BI28" s="58"/>
      <c r="BJ28" s="58"/>
      <c r="BK28" s="61"/>
      <c r="BL28" s="269"/>
    </row>
    <row r="29" ht="22.5" customHeight="1">
      <c r="A29" s="368"/>
      <c r="B29" s="270"/>
      <c r="C29" s="109"/>
      <c r="D29" s="373"/>
      <c r="E29" s="58"/>
      <c r="F29" s="58"/>
      <c r="G29" s="61"/>
      <c r="H29" s="269"/>
      <c r="J29" s="270"/>
      <c r="K29" s="109"/>
      <c r="L29" s="109"/>
      <c r="M29" s="58"/>
      <c r="N29" s="58"/>
      <c r="O29" s="61"/>
      <c r="P29" s="269"/>
      <c r="R29" s="270"/>
      <c r="S29" s="323"/>
      <c r="T29" s="109"/>
      <c r="U29" s="58"/>
      <c r="V29" s="322"/>
      <c r="W29" s="61"/>
      <c r="X29" s="269"/>
      <c r="Z29" s="270"/>
      <c r="AA29" s="109"/>
      <c r="AB29" s="109"/>
      <c r="AC29" s="58"/>
      <c r="AD29" s="58"/>
      <c r="AE29" s="61"/>
      <c r="AF29" s="269"/>
      <c r="AH29" s="270"/>
      <c r="AI29" s="109"/>
      <c r="AJ29" s="373"/>
      <c r="AK29" s="413"/>
      <c r="AL29" s="344"/>
      <c r="AM29" s="109"/>
      <c r="AN29" s="298"/>
      <c r="AP29" s="466"/>
      <c r="AQ29" s="453"/>
      <c r="AR29" s="453"/>
      <c r="AS29" s="467"/>
      <c r="AT29" s="455"/>
      <c r="AU29" s="470"/>
      <c r="AV29" s="269"/>
      <c r="AX29" s="270"/>
      <c r="AY29" s="453"/>
      <c r="AZ29" s="475"/>
      <c r="BA29" s="58"/>
      <c r="BB29" s="58"/>
      <c r="BC29" s="61"/>
      <c r="BD29" s="269"/>
      <c r="BF29" s="270"/>
      <c r="BG29" s="109"/>
      <c r="BH29" s="109"/>
      <c r="BI29" s="58"/>
      <c r="BJ29" s="58"/>
      <c r="BK29" s="61"/>
      <c r="BL29" s="269"/>
    </row>
    <row r="30" ht="22.5" customHeight="1">
      <c r="A30" s="368"/>
      <c r="B30" s="270"/>
      <c r="C30" s="109"/>
      <c r="D30" s="373"/>
      <c r="E30" s="58"/>
      <c r="F30" s="58"/>
      <c r="G30" s="61"/>
      <c r="H30" s="269"/>
      <c r="J30" s="270"/>
      <c r="K30" s="109"/>
      <c r="L30" s="109"/>
      <c r="M30" s="58"/>
      <c r="N30" s="58"/>
      <c r="O30" s="61"/>
      <c r="P30" s="269"/>
      <c r="R30" s="270"/>
      <c r="S30" s="384"/>
      <c r="T30" s="326"/>
      <c r="U30" s="58"/>
      <c r="V30" s="58"/>
      <c r="W30" s="61"/>
      <c r="X30" s="269"/>
      <c r="Z30" s="270"/>
      <c r="AA30" s="109"/>
      <c r="AB30" s="109"/>
      <c r="AC30" s="58"/>
      <c r="AD30" s="58"/>
      <c r="AE30" s="61"/>
      <c r="AF30" s="269"/>
      <c r="AH30" s="270"/>
      <c r="AI30" s="109"/>
      <c r="AJ30" s="373"/>
      <c r="AK30" s="413"/>
      <c r="AL30" s="344"/>
      <c r="AM30" s="109"/>
      <c r="AN30" s="298"/>
      <c r="AP30" s="468"/>
      <c r="AQ30" s="450"/>
      <c r="AR30" s="450"/>
      <c r="AS30" s="471"/>
      <c r="AT30" s="452"/>
      <c r="AU30" s="472"/>
      <c r="AV30" s="269"/>
      <c r="AX30" s="270"/>
      <c r="AY30" s="450"/>
      <c r="AZ30" s="474"/>
      <c r="BA30" s="58"/>
      <c r="BB30" s="58"/>
      <c r="BC30" s="61"/>
      <c r="BD30" s="269"/>
      <c r="BF30" s="270"/>
      <c r="BG30" s="109"/>
      <c r="BH30" s="109"/>
      <c r="BI30" s="58"/>
      <c r="BJ30" s="58"/>
      <c r="BK30" s="61"/>
      <c r="BL30" s="269"/>
    </row>
    <row r="31" ht="22.5" customHeight="1">
      <c r="A31" s="368"/>
      <c r="B31" s="270"/>
      <c r="C31" s="109"/>
      <c r="D31" s="373"/>
      <c r="E31" s="58"/>
      <c r="F31" s="58"/>
      <c r="G31" s="109"/>
      <c r="H31" s="269"/>
      <c r="J31" s="270"/>
      <c r="K31" s="109"/>
      <c r="L31" s="109"/>
      <c r="M31" s="58"/>
      <c r="N31" s="58"/>
      <c r="O31" s="61"/>
      <c r="P31" s="269"/>
      <c r="R31" s="270"/>
      <c r="S31" s="384"/>
      <c r="T31" s="109"/>
      <c r="U31" s="58"/>
      <c r="V31" s="58"/>
      <c r="W31" s="61"/>
      <c r="X31" s="269"/>
      <c r="Z31" s="270"/>
      <c r="AA31" s="109"/>
      <c r="AB31" s="109"/>
      <c r="AC31" s="58"/>
      <c r="AD31" s="58"/>
      <c r="AE31" s="61"/>
      <c r="AF31" s="269"/>
      <c r="AH31" s="270"/>
      <c r="AI31" s="384"/>
      <c r="AJ31" s="373"/>
      <c r="AK31" s="58"/>
      <c r="AL31" s="58"/>
      <c r="AM31" s="61"/>
      <c r="AN31" s="269"/>
      <c r="AP31" s="466"/>
      <c r="AQ31" s="453"/>
      <c r="AR31" s="453"/>
      <c r="AS31" s="455"/>
      <c r="AT31" s="455"/>
      <c r="AU31" s="476"/>
      <c r="AV31" s="298"/>
      <c r="AX31" s="270"/>
      <c r="AY31" s="453"/>
      <c r="AZ31" s="475"/>
      <c r="BA31" s="58"/>
      <c r="BB31" s="58"/>
      <c r="BC31" s="61"/>
      <c r="BD31" s="269"/>
      <c r="BF31" s="270"/>
      <c r="BG31" s="109"/>
      <c r="BH31" s="109"/>
      <c r="BI31" s="58"/>
      <c r="BJ31" s="58"/>
      <c r="BK31" s="109"/>
      <c r="BL31" s="269"/>
    </row>
    <row r="32" ht="22.5" customHeight="1">
      <c r="A32" s="368"/>
      <c r="B32" s="270"/>
      <c r="C32" s="109"/>
      <c r="D32" s="373"/>
      <c r="E32" s="58"/>
      <c r="F32" s="58"/>
      <c r="G32" s="61"/>
      <c r="H32" s="269"/>
      <c r="J32" s="270"/>
      <c r="K32" s="109"/>
      <c r="L32" s="109"/>
      <c r="M32" s="58"/>
      <c r="N32" s="58"/>
      <c r="O32" s="61"/>
      <c r="P32" s="269"/>
      <c r="R32" s="270"/>
      <c r="S32" s="384"/>
      <c r="T32" s="460"/>
      <c r="U32" s="58"/>
      <c r="V32" s="58"/>
      <c r="W32" s="61"/>
      <c r="X32" s="269"/>
      <c r="Z32" s="270"/>
      <c r="AA32" s="109"/>
      <c r="AB32" s="109"/>
      <c r="AC32" s="58"/>
      <c r="AD32" s="58"/>
      <c r="AE32" s="61"/>
      <c r="AF32" s="269"/>
      <c r="AH32" s="468"/>
      <c r="AI32" s="450"/>
      <c r="AJ32" s="450"/>
      <c r="AK32" s="471"/>
      <c r="AL32" s="452"/>
      <c r="AM32" s="61"/>
      <c r="AN32" s="269"/>
      <c r="AP32" s="449"/>
      <c r="AQ32" s="450"/>
      <c r="AR32" s="450"/>
      <c r="AS32" s="465"/>
      <c r="AT32" s="452"/>
      <c r="AU32" s="477"/>
      <c r="AV32" s="269"/>
      <c r="AX32" s="270"/>
      <c r="AY32" s="450"/>
      <c r="AZ32" s="474"/>
      <c r="BA32" s="58"/>
      <c r="BB32" s="58"/>
      <c r="BC32" s="61"/>
      <c r="BD32" s="269"/>
      <c r="BF32" s="270"/>
      <c r="BG32" s="109"/>
      <c r="BH32" s="109"/>
      <c r="BI32" s="58"/>
      <c r="BJ32" s="58"/>
      <c r="BK32" s="61"/>
      <c r="BL32" s="269"/>
    </row>
    <row r="33" ht="22.5" customHeight="1">
      <c r="A33" s="368"/>
      <c r="B33" s="270"/>
      <c r="C33" s="109"/>
      <c r="D33" s="373"/>
      <c r="E33" s="58"/>
      <c r="F33" s="58"/>
      <c r="G33" s="61"/>
      <c r="H33" s="269"/>
      <c r="J33" s="270"/>
      <c r="K33" s="109"/>
      <c r="L33" s="109"/>
      <c r="M33" s="58"/>
      <c r="N33" s="58"/>
      <c r="O33" s="61"/>
      <c r="P33" s="269"/>
      <c r="R33" s="270"/>
      <c r="S33" s="384"/>
      <c r="T33" s="439"/>
      <c r="U33" s="58"/>
      <c r="V33" s="58"/>
      <c r="W33" s="61"/>
      <c r="X33" s="269"/>
      <c r="Z33" s="478"/>
      <c r="AA33" s="479"/>
      <c r="AB33" s="480"/>
      <c r="AC33" s="481"/>
      <c r="AD33" s="482"/>
      <c r="AE33" s="61"/>
      <c r="AF33" s="269"/>
      <c r="AH33" s="466"/>
      <c r="AI33" s="453"/>
      <c r="AJ33" s="453"/>
      <c r="AK33" s="467"/>
      <c r="AL33" s="455"/>
      <c r="AM33" s="61"/>
      <c r="AN33" s="269"/>
      <c r="AP33" s="449"/>
      <c r="AQ33" s="453"/>
      <c r="AR33" s="453"/>
      <c r="AS33" s="462"/>
      <c r="AT33" s="455"/>
      <c r="AU33" s="458"/>
      <c r="AV33" s="298"/>
      <c r="AX33" s="270"/>
      <c r="AY33" s="453"/>
      <c r="AZ33" s="475"/>
      <c r="BA33" s="58"/>
      <c r="BB33" s="58"/>
      <c r="BC33" s="61"/>
      <c r="BD33" s="269"/>
      <c r="BF33" s="270"/>
      <c r="BG33" s="109"/>
      <c r="BH33" s="109"/>
      <c r="BI33" s="58"/>
      <c r="BJ33" s="58"/>
      <c r="BK33" s="61"/>
      <c r="BL33" s="269"/>
    </row>
    <row r="34" ht="22.5" customHeight="1">
      <c r="A34" s="368"/>
      <c r="B34" s="270"/>
      <c r="C34" s="109"/>
      <c r="D34" s="373"/>
      <c r="E34" s="58"/>
      <c r="F34" s="58"/>
      <c r="G34" s="109"/>
      <c r="H34" s="269"/>
      <c r="J34" s="270"/>
      <c r="K34" s="109"/>
      <c r="L34" s="109"/>
      <c r="M34" s="58"/>
      <c r="N34" s="58"/>
      <c r="O34" s="61"/>
      <c r="P34" s="269"/>
      <c r="R34" s="270"/>
      <c r="S34" s="384"/>
      <c r="T34" s="483"/>
      <c r="U34" s="58"/>
      <c r="V34" s="58"/>
      <c r="W34" s="61"/>
      <c r="X34" s="269"/>
      <c r="Z34" s="478"/>
      <c r="AA34" s="479"/>
      <c r="AB34" s="479"/>
      <c r="AC34" s="484"/>
      <c r="AD34" s="485"/>
      <c r="AE34" s="61"/>
      <c r="AF34" s="269"/>
      <c r="AH34" s="468"/>
      <c r="AI34" s="450"/>
      <c r="AJ34" s="450"/>
      <c r="AK34" s="452"/>
      <c r="AL34" s="452"/>
      <c r="AM34" s="109"/>
      <c r="AN34" s="269"/>
      <c r="AP34" s="449"/>
      <c r="AQ34" s="450"/>
      <c r="AR34" s="450"/>
      <c r="AS34" s="465"/>
      <c r="AT34" s="452"/>
      <c r="AU34" s="486"/>
      <c r="AV34" s="298"/>
      <c r="AX34" s="270"/>
      <c r="AY34" s="450"/>
      <c r="AZ34" s="474"/>
      <c r="BA34" s="58"/>
      <c r="BB34" s="58"/>
      <c r="BC34" s="61"/>
      <c r="BD34" s="269"/>
      <c r="BF34" s="270"/>
      <c r="BG34" s="109"/>
      <c r="BH34" s="109"/>
      <c r="BI34" s="58"/>
      <c r="BJ34" s="58"/>
      <c r="BK34" s="61"/>
      <c r="BL34" s="269"/>
    </row>
    <row r="35" ht="22.5" customHeight="1">
      <c r="A35" s="368"/>
      <c r="B35" s="270"/>
      <c r="C35" s="109"/>
      <c r="D35" s="373"/>
      <c r="E35" s="58"/>
      <c r="F35" s="58"/>
      <c r="G35" s="61"/>
      <c r="H35" s="269"/>
      <c r="J35" s="270"/>
      <c r="K35" s="109"/>
      <c r="L35" s="109"/>
      <c r="M35" s="58"/>
      <c r="N35" s="58"/>
      <c r="O35" s="61"/>
      <c r="P35" s="269"/>
      <c r="R35" s="270"/>
      <c r="S35" s="109"/>
      <c r="T35" s="109"/>
      <c r="U35" s="58"/>
      <c r="V35" s="58"/>
      <c r="W35" s="61"/>
      <c r="X35" s="269"/>
      <c r="Z35" s="270"/>
      <c r="AA35" s="109"/>
      <c r="AB35" s="109"/>
      <c r="AC35" s="58"/>
      <c r="AD35" s="58"/>
      <c r="AE35" s="61"/>
      <c r="AF35" s="269"/>
      <c r="AH35" s="449"/>
      <c r="AI35" s="453"/>
      <c r="AJ35" s="453"/>
      <c r="AK35" s="462"/>
      <c r="AL35" s="455"/>
      <c r="AM35" s="61"/>
      <c r="AN35" s="269"/>
      <c r="AP35" s="270"/>
      <c r="AQ35" s="109"/>
      <c r="AR35" s="109"/>
      <c r="AS35" s="58"/>
      <c r="AT35" s="58"/>
      <c r="AU35" s="61"/>
      <c r="AV35" s="269"/>
      <c r="AX35" s="270"/>
      <c r="AY35" s="453"/>
      <c r="AZ35" s="475"/>
      <c r="BA35" s="58"/>
      <c r="BB35" s="58"/>
      <c r="BC35" s="61"/>
      <c r="BD35" s="269"/>
      <c r="BF35" s="270"/>
      <c r="BG35" s="109"/>
      <c r="BH35" s="109"/>
      <c r="BI35" s="58"/>
      <c r="BJ35" s="58"/>
      <c r="BK35" s="61"/>
      <c r="BL35" s="269"/>
    </row>
    <row r="36" ht="22.5" customHeight="1">
      <c r="A36" s="368"/>
      <c r="B36" s="270"/>
      <c r="C36" s="109"/>
      <c r="D36" s="373"/>
      <c r="E36" s="58"/>
      <c r="F36" s="58"/>
      <c r="G36" s="61"/>
      <c r="H36" s="269"/>
      <c r="J36" s="270"/>
      <c r="K36" s="109"/>
      <c r="L36" s="109"/>
      <c r="M36" s="58"/>
      <c r="N36" s="58"/>
      <c r="O36" s="61"/>
      <c r="P36" s="269"/>
      <c r="R36" s="270"/>
      <c r="S36" s="109"/>
      <c r="T36" s="109"/>
      <c r="U36" s="58"/>
      <c r="V36" s="58"/>
      <c r="W36" s="61"/>
      <c r="X36" s="269"/>
      <c r="Z36" s="270"/>
      <c r="AA36" s="109"/>
      <c r="AB36" s="109"/>
      <c r="AC36" s="58"/>
      <c r="AD36" s="58"/>
      <c r="AE36" s="61"/>
      <c r="AF36" s="269"/>
      <c r="AH36" s="449"/>
      <c r="AI36" s="450"/>
      <c r="AJ36" s="450"/>
      <c r="AK36" s="465"/>
      <c r="AL36" s="452"/>
      <c r="AM36" s="109"/>
      <c r="AN36" s="269"/>
      <c r="AP36" s="270"/>
      <c r="AQ36" s="109"/>
      <c r="AR36" s="109"/>
      <c r="AS36" s="58"/>
      <c r="AT36" s="58"/>
      <c r="AU36" s="61"/>
      <c r="AV36" s="269"/>
      <c r="AX36" s="270"/>
      <c r="AY36" s="450"/>
      <c r="AZ36" s="474"/>
      <c r="BA36" s="58"/>
      <c r="BB36" s="58"/>
      <c r="BC36" s="61"/>
      <c r="BD36" s="269"/>
      <c r="BF36" s="270"/>
      <c r="BG36" s="109"/>
      <c r="BH36" s="109"/>
      <c r="BI36" s="58"/>
      <c r="BJ36" s="58"/>
      <c r="BK36" s="61"/>
      <c r="BL36" s="269"/>
    </row>
    <row r="37" ht="22.5" customHeight="1">
      <c r="A37" s="368"/>
      <c r="B37" s="270"/>
      <c r="C37" s="109"/>
      <c r="D37" s="373"/>
      <c r="E37" s="58"/>
      <c r="F37" s="58"/>
      <c r="G37" s="61"/>
      <c r="H37" s="269"/>
      <c r="J37" s="270"/>
      <c r="K37" s="109"/>
      <c r="L37" s="109"/>
      <c r="M37" s="58"/>
      <c r="N37" s="58"/>
      <c r="O37" s="61"/>
      <c r="P37" s="269"/>
      <c r="R37" s="270"/>
      <c r="S37" s="109"/>
      <c r="T37" s="109"/>
      <c r="U37" s="58"/>
      <c r="V37" s="58"/>
      <c r="W37" s="61"/>
      <c r="X37" s="269"/>
      <c r="Z37" s="270"/>
      <c r="AA37" s="109"/>
      <c r="AB37" s="109"/>
      <c r="AC37" s="58"/>
      <c r="AD37" s="58"/>
      <c r="AE37" s="61"/>
      <c r="AF37" s="269"/>
      <c r="AH37" s="270"/>
      <c r="AI37" s="109"/>
      <c r="AJ37" s="373"/>
      <c r="AK37" s="58"/>
      <c r="AL37" s="58"/>
      <c r="AM37" s="61"/>
      <c r="AN37" s="269"/>
      <c r="AP37" s="270"/>
      <c r="AQ37" s="109"/>
      <c r="AR37" s="109"/>
      <c r="AS37" s="58"/>
      <c r="AT37" s="58"/>
      <c r="AU37" s="61"/>
      <c r="AV37" s="269"/>
      <c r="AX37" s="270"/>
      <c r="AY37" s="453"/>
      <c r="AZ37" s="475"/>
      <c r="BA37" s="58"/>
      <c r="BB37" s="58"/>
      <c r="BC37" s="61"/>
      <c r="BD37" s="269"/>
      <c r="BF37" s="270"/>
      <c r="BG37" s="109"/>
      <c r="BH37" s="109"/>
      <c r="BI37" s="58"/>
      <c r="BJ37" s="58"/>
      <c r="BK37" s="61"/>
      <c r="BL37" s="269"/>
    </row>
    <row r="38" ht="22.5" customHeight="1">
      <c r="A38" s="368"/>
      <c r="B38" s="270"/>
      <c r="C38" s="109"/>
      <c r="D38" s="373"/>
      <c r="E38" s="58"/>
      <c r="F38" s="58"/>
      <c r="G38" s="109"/>
      <c r="H38" s="269"/>
      <c r="J38" s="270"/>
      <c r="K38" s="109"/>
      <c r="L38" s="109"/>
      <c r="M38" s="58"/>
      <c r="N38" s="58"/>
      <c r="O38" s="61"/>
      <c r="P38" s="269"/>
      <c r="R38" s="270"/>
      <c r="S38" s="109"/>
      <c r="T38" s="109"/>
      <c r="U38" s="58"/>
      <c r="V38" s="58"/>
      <c r="W38" s="61"/>
      <c r="X38" s="269"/>
      <c r="Z38" s="270"/>
      <c r="AA38" s="109"/>
      <c r="AB38" s="109"/>
      <c r="AC38" s="58"/>
      <c r="AD38" s="58"/>
      <c r="AE38" s="61"/>
      <c r="AF38" s="269"/>
      <c r="AH38" s="270"/>
      <c r="AI38" s="109"/>
      <c r="AJ38" s="373"/>
      <c r="AK38" s="58"/>
      <c r="AL38" s="58"/>
      <c r="AM38" s="61"/>
      <c r="AN38" s="269"/>
      <c r="AP38" s="270"/>
      <c r="AQ38" s="109"/>
      <c r="AR38" s="109"/>
      <c r="AS38" s="58"/>
      <c r="AT38" s="58"/>
      <c r="AU38" s="61"/>
      <c r="AV38" s="269"/>
      <c r="AX38" s="270"/>
      <c r="AY38" s="450"/>
      <c r="AZ38" s="474"/>
      <c r="BA38" s="58"/>
      <c r="BB38" s="58"/>
      <c r="BC38" s="61"/>
      <c r="BD38" s="269"/>
      <c r="BF38" s="270"/>
      <c r="BG38" s="109"/>
      <c r="BH38" s="109"/>
      <c r="BI38" s="58"/>
      <c r="BJ38" s="58"/>
      <c r="BK38" s="61"/>
      <c r="BL38" s="298"/>
    </row>
    <row r="39" ht="22.5" customHeight="1">
      <c r="A39" s="368"/>
      <c r="B39" s="270"/>
      <c r="C39" s="109"/>
      <c r="D39" s="373"/>
      <c r="E39" s="58"/>
      <c r="F39" s="58"/>
      <c r="G39" s="61"/>
      <c r="H39" s="269"/>
      <c r="J39" s="270"/>
      <c r="K39" s="109"/>
      <c r="L39" s="109"/>
      <c r="M39" s="58"/>
      <c r="N39" s="58"/>
      <c r="O39" s="61"/>
      <c r="P39" s="269"/>
      <c r="R39" s="270"/>
      <c r="S39" s="109"/>
      <c r="T39" s="109"/>
      <c r="U39" s="58"/>
      <c r="V39" s="58"/>
      <c r="W39" s="61"/>
      <c r="X39" s="269"/>
      <c r="Z39" s="270"/>
      <c r="AA39" s="109"/>
      <c r="AB39" s="109"/>
      <c r="AC39" s="58"/>
      <c r="AD39" s="58"/>
      <c r="AE39" s="61"/>
      <c r="AF39" s="269"/>
      <c r="AH39" s="270"/>
      <c r="AI39" s="109"/>
      <c r="AJ39" s="373"/>
      <c r="AK39" s="58"/>
      <c r="AL39" s="58"/>
      <c r="AM39" s="61"/>
      <c r="AN39" s="269"/>
      <c r="AP39" s="270"/>
      <c r="AQ39" s="109"/>
      <c r="AR39" s="109"/>
      <c r="AS39" s="58"/>
      <c r="AT39" s="58"/>
      <c r="AU39" s="61"/>
      <c r="AV39" s="269"/>
      <c r="AX39" s="270"/>
      <c r="AY39" s="453"/>
      <c r="AZ39" s="475"/>
      <c r="BA39" s="58"/>
      <c r="BB39" s="58"/>
      <c r="BC39" s="61"/>
      <c r="BD39" s="269"/>
      <c r="BF39" s="449"/>
      <c r="BG39" s="450"/>
      <c r="BH39" s="450"/>
      <c r="BI39" s="451"/>
      <c r="BJ39" s="469"/>
      <c r="BK39" s="61"/>
      <c r="BL39" s="298"/>
    </row>
    <row r="40" ht="22.5" customHeight="1">
      <c r="A40" s="368"/>
      <c r="B40" s="270"/>
      <c r="C40" s="109"/>
      <c r="D40" s="373"/>
      <c r="E40" s="58"/>
      <c r="F40" s="58"/>
      <c r="G40" s="61"/>
      <c r="H40" s="269"/>
      <c r="J40" s="270"/>
      <c r="K40" s="109"/>
      <c r="L40" s="109"/>
      <c r="M40" s="58"/>
      <c r="N40" s="58"/>
      <c r="O40" s="61"/>
      <c r="P40" s="269"/>
      <c r="R40" s="270"/>
      <c r="S40" s="109"/>
      <c r="T40" s="109"/>
      <c r="U40" s="58"/>
      <c r="V40" s="58"/>
      <c r="W40" s="61"/>
      <c r="X40" s="269"/>
      <c r="Z40" s="270"/>
      <c r="AA40" s="109"/>
      <c r="AB40" s="109"/>
      <c r="AC40" s="58"/>
      <c r="AD40" s="58"/>
      <c r="AE40" s="109"/>
      <c r="AF40" s="269"/>
      <c r="AH40" s="270"/>
      <c r="AI40" s="109"/>
      <c r="AJ40" s="373"/>
      <c r="AK40" s="58"/>
      <c r="AL40" s="58"/>
      <c r="AM40" s="61"/>
      <c r="AN40" s="269"/>
      <c r="AP40" s="270"/>
      <c r="AQ40" s="109"/>
      <c r="AR40" s="109"/>
      <c r="AS40" s="58"/>
      <c r="AT40" s="58"/>
      <c r="AU40" s="61"/>
      <c r="AV40" s="269"/>
      <c r="AX40" s="270"/>
      <c r="AY40" s="450"/>
      <c r="AZ40" s="474"/>
      <c r="BA40" s="58"/>
      <c r="BB40" s="58"/>
      <c r="BC40" s="61"/>
      <c r="BD40" s="269"/>
      <c r="BF40" s="449"/>
      <c r="BG40" s="453"/>
      <c r="BH40" s="453"/>
      <c r="BI40" s="454"/>
      <c r="BJ40" s="455"/>
      <c r="BK40" s="61"/>
      <c r="BL40" s="298"/>
    </row>
    <row r="41" ht="22.5" customHeight="1">
      <c r="A41" s="368"/>
      <c r="B41" s="270"/>
      <c r="C41" s="109"/>
      <c r="D41" s="373"/>
      <c r="E41" s="58"/>
      <c r="F41" s="58"/>
      <c r="G41" s="109"/>
      <c r="H41" s="269"/>
      <c r="J41" s="270"/>
      <c r="K41" s="109"/>
      <c r="L41" s="109"/>
      <c r="M41" s="58"/>
      <c r="N41" s="58"/>
      <c r="O41" s="61"/>
      <c r="P41" s="269"/>
      <c r="R41" s="270"/>
      <c r="S41" s="109"/>
      <c r="T41" s="109"/>
      <c r="U41" s="58"/>
      <c r="V41" s="58"/>
      <c r="W41" s="61"/>
      <c r="X41" s="269"/>
      <c r="Z41" s="270"/>
      <c r="AA41" s="109"/>
      <c r="AB41" s="109"/>
      <c r="AC41" s="58"/>
      <c r="AD41" s="58"/>
      <c r="AE41" s="61"/>
      <c r="AF41" s="269"/>
      <c r="AH41" s="270"/>
      <c r="AI41" s="109"/>
      <c r="AJ41" s="373"/>
      <c r="AK41" s="58"/>
      <c r="AL41" s="58"/>
      <c r="AM41" s="61"/>
      <c r="AN41" s="269"/>
      <c r="AP41" s="270"/>
      <c r="AQ41" s="109"/>
      <c r="AR41" s="109"/>
      <c r="AS41" s="58"/>
      <c r="AT41" s="58"/>
      <c r="AU41" s="61"/>
      <c r="AV41" s="269"/>
      <c r="AX41" s="270"/>
      <c r="AY41" s="453"/>
      <c r="AZ41" s="475"/>
      <c r="BA41" s="58"/>
      <c r="BB41" s="58"/>
      <c r="BC41" s="61"/>
      <c r="BD41" s="269"/>
      <c r="BF41" s="449"/>
      <c r="BG41" s="450"/>
      <c r="BH41" s="450"/>
      <c r="BI41" s="451"/>
      <c r="BJ41" s="455"/>
      <c r="BK41" s="61"/>
      <c r="BL41" s="298"/>
    </row>
    <row r="42" ht="22.5" customHeight="1">
      <c r="A42" s="368"/>
      <c r="B42" s="270"/>
      <c r="C42" s="109"/>
      <c r="D42" s="373"/>
      <c r="E42" s="58"/>
      <c r="F42" s="58"/>
      <c r="G42" s="61"/>
      <c r="H42" s="269"/>
      <c r="J42" s="270"/>
      <c r="K42" s="109"/>
      <c r="L42" s="109"/>
      <c r="M42" s="58"/>
      <c r="N42" s="58"/>
      <c r="O42" s="61"/>
      <c r="P42" s="269"/>
      <c r="R42" s="270"/>
      <c r="S42" s="384"/>
      <c r="T42" s="109"/>
      <c r="U42" s="344"/>
      <c r="V42" s="58"/>
      <c r="W42" s="109"/>
      <c r="X42" s="298"/>
      <c r="Z42" s="270"/>
      <c r="AA42" s="109"/>
      <c r="AB42" s="109"/>
      <c r="AC42" s="58"/>
      <c r="AD42" s="58"/>
      <c r="AE42" s="61"/>
      <c r="AF42" s="269"/>
      <c r="AH42" s="270"/>
      <c r="AI42" s="109"/>
      <c r="AJ42" s="373"/>
      <c r="AK42" s="58"/>
      <c r="AL42" s="58"/>
      <c r="AM42" s="61"/>
      <c r="AN42" s="269"/>
      <c r="AP42" s="270"/>
      <c r="AQ42" s="109"/>
      <c r="AR42" s="109"/>
      <c r="AS42" s="58"/>
      <c r="AT42" s="58"/>
      <c r="AU42" s="61"/>
      <c r="AV42" s="269"/>
      <c r="AX42" s="270"/>
      <c r="AY42" s="450"/>
      <c r="AZ42" s="474"/>
      <c r="BA42" s="58"/>
      <c r="BB42" s="58"/>
      <c r="BC42" s="61"/>
      <c r="BD42" s="269"/>
      <c r="BF42" s="449"/>
      <c r="BG42" s="453"/>
      <c r="BH42" s="453"/>
      <c r="BI42" s="454"/>
      <c r="BJ42" s="452"/>
      <c r="BK42" s="61"/>
      <c r="BL42" s="298"/>
    </row>
    <row r="43" ht="22.5" customHeight="1">
      <c r="A43" s="368"/>
      <c r="B43" s="270"/>
      <c r="C43" s="109"/>
      <c r="D43" s="373"/>
      <c r="E43" s="58"/>
      <c r="F43" s="58"/>
      <c r="G43" s="109"/>
      <c r="H43" s="269"/>
      <c r="J43" s="270"/>
      <c r="K43" s="109"/>
      <c r="L43" s="109"/>
      <c r="M43" s="58"/>
      <c r="N43" s="58"/>
      <c r="O43" s="61"/>
      <c r="P43" s="269"/>
      <c r="R43" s="270"/>
      <c r="S43" s="384"/>
      <c r="T43" s="109"/>
      <c r="U43" s="58"/>
      <c r="V43" s="58"/>
      <c r="W43" s="61"/>
      <c r="X43" s="269"/>
      <c r="Z43" s="270"/>
      <c r="AA43" s="109"/>
      <c r="AB43" s="109"/>
      <c r="AC43" s="58"/>
      <c r="AD43" s="58"/>
      <c r="AE43" s="61"/>
      <c r="AF43" s="269"/>
      <c r="AH43" s="270"/>
      <c r="AI43" s="109"/>
      <c r="AJ43" s="373"/>
      <c r="AK43" s="58"/>
      <c r="AL43" s="58"/>
      <c r="AM43" s="61"/>
      <c r="AN43" s="269"/>
      <c r="AP43" s="270"/>
      <c r="AQ43" s="109"/>
      <c r="AR43" s="109"/>
      <c r="AS43" s="58"/>
      <c r="AT43" s="58"/>
      <c r="AU43" s="61"/>
      <c r="AV43" s="269"/>
      <c r="AX43" s="270"/>
      <c r="AY43" s="453"/>
      <c r="AZ43" s="475"/>
      <c r="BA43" s="58"/>
      <c r="BB43" s="58"/>
      <c r="BC43" s="61"/>
      <c r="BD43" s="269"/>
      <c r="BF43" s="468"/>
      <c r="BG43" s="450"/>
      <c r="BH43" s="450"/>
      <c r="BI43" s="452"/>
      <c r="BJ43" s="452"/>
      <c r="BK43" s="61"/>
      <c r="BL43" s="298"/>
    </row>
    <row r="44" ht="22.5" customHeight="1">
      <c r="A44" s="368"/>
      <c r="B44" s="270"/>
      <c r="C44" s="109"/>
      <c r="D44" s="373"/>
      <c r="E44" s="58"/>
      <c r="F44" s="58"/>
      <c r="G44" s="61"/>
      <c r="H44" s="269"/>
      <c r="J44" s="270"/>
      <c r="K44" s="109"/>
      <c r="L44" s="109"/>
      <c r="M44" s="58"/>
      <c r="N44" s="58"/>
      <c r="O44" s="61"/>
      <c r="P44" s="269"/>
      <c r="R44" s="270"/>
      <c r="S44" s="384"/>
      <c r="T44" s="109"/>
      <c r="U44" s="58"/>
      <c r="V44" s="58"/>
      <c r="W44" s="61"/>
      <c r="X44" s="269"/>
      <c r="Z44" s="270"/>
      <c r="AA44" s="109"/>
      <c r="AB44" s="109"/>
      <c r="AC44" s="58"/>
      <c r="AD44" s="58"/>
      <c r="AE44" s="109"/>
      <c r="AF44" s="298"/>
      <c r="AH44" s="270"/>
      <c r="AI44" s="109"/>
      <c r="AJ44" s="373"/>
      <c r="AK44" s="58"/>
      <c r="AL44" s="58"/>
      <c r="AM44" s="61"/>
      <c r="AN44" s="269"/>
      <c r="AP44" s="270"/>
      <c r="AQ44" s="109"/>
      <c r="AR44" s="109"/>
      <c r="AS44" s="58"/>
      <c r="AT44" s="58"/>
      <c r="AU44" s="61"/>
      <c r="AV44" s="269"/>
      <c r="AX44" s="270"/>
      <c r="AY44" s="384"/>
      <c r="AZ44" s="373"/>
      <c r="BA44" s="58"/>
      <c r="BB44" s="58"/>
      <c r="BC44" s="61"/>
      <c r="BD44" s="269"/>
      <c r="BF44" s="466"/>
      <c r="BG44" s="453"/>
      <c r="BH44" s="453"/>
      <c r="BI44" s="455"/>
      <c r="BJ44" s="455"/>
      <c r="BK44" s="61"/>
      <c r="BL44" s="298"/>
    </row>
    <row r="45" ht="22.5" customHeight="1">
      <c r="A45" s="368"/>
      <c r="B45" s="270"/>
      <c r="C45" s="109"/>
      <c r="D45" s="373"/>
      <c r="E45" s="58"/>
      <c r="F45" s="58"/>
      <c r="G45" s="61"/>
      <c r="H45" s="269"/>
      <c r="J45" s="270"/>
      <c r="K45" s="109"/>
      <c r="L45" s="109"/>
      <c r="M45" s="58"/>
      <c r="N45" s="58"/>
      <c r="O45" s="61"/>
      <c r="P45" s="269"/>
      <c r="R45" s="270"/>
      <c r="S45" s="109"/>
      <c r="T45" s="109"/>
      <c r="U45" s="58"/>
      <c r="V45" s="58"/>
      <c r="W45" s="61"/>
      <c r="X45" s="269"/>
      <c r="Z45" s="270"/>
      <c r="AA45" s="109"/>
      <c r="AB45" s="109"/>
      <c r="AC45" s="58"/>
      <c r="AD45" s="58"/>
      <c r="AE45" s="109"/>
      <c r="AF45" s="298"/>
      <c r="AH45" s="270"/>
      <c r="AI45" s="109"/>
      <c r="AJ45" s="373"/>
      <c r="AK45" s="58"/>
      <c r="AL45" s="58"/>
      <c r="AM45" s="61"/>
      <c r="AN45" s="269"/>
      <c r="AP45" s="270"/>
      <c r="AQ45" s="109"/>
      <c r="AR45" s="109"/>
      <c r="AS45" s="58"/>
      <c r="AT45" s="58"/>
      <c r="AU45" s="61"/>
      <c r="AV45" s="269"/>
      <c r="AX45" s="270"/>
      <c r="AY45" s="384"/>
      <c r="AZ45" s="373"/>
      <c r="BA45" s="58"/>
      <c r="BB45" s="58"/>
      <c r="BC45" s="61"/>
      <c r="BD45" s="269"/>
      <c r="BF45" s="468"/>
      <c r="BG45" s="450"/>
      <c r="BH45" s="450"/>
      <c r="BI45" s="452"/>
      <c r="BJ45" s="452"/>
      <c r="BK45" s="61"/>
      <c r="BL45" s="298"/>
    </row>
    <row r="46" ht="22.5" customHeight="1">
      <c r="A46" s="368"/>
      <c r="B46" s="270"/>
      <c r="C46" s="109"/>
      <c r="D46" s="373"/>
      <c r="E46" s="58"/>
      <c r="F46" s="58"/>
      <c r="G46" s="109"/>
      <c r="H46" s="269"/>
      <c r="J46" s="270"/>
      <c r="K46" s="109"/>
      <c r="L46" s="109"/>
      <c r="M46" s="58"/>
      <c r="N46" s="58"/>
      <c r="O46" s="61"/>
      <c r="P46" s="269"/>
      <c r="R46" s="270"/>
      <c r="S46" s="109"/>
      <c r="T46" s="109"/>
      <c r="U46" s="58"/>
      <c r="V46" s="58"/>
      <c r="W46" s="61"/>
      <c r="X46" s="269"/>
      <c r="Z46" s="270"/>
      <c r="AA46" s="109"/>
      <c r="AB46" s="109"/>
      <c r="AC46" s="58"/>
      <c r="AD46" s="58"/>
      <c r="AE46" s="61"/>
      <c r="AF46" s="269"/>
      <c r="AH46" s="270"/>
      <c r="AI46" s="109"/>
      <c r="AJ46" s="373"/>
      <c r="AK46" s="58"/>
      <c r="AL46" s="58"/>
      <c r="AM46" s="61"/>
      <c r="AN46" s="269"/>
      <c r="AP46" s="270"/>
      <c r="AQ46" s="109"/>
      <c r="AR46" s="109"/>
      <c r="AS46" s="58"/>
      <c r="AT46" s="58"/>
      <c r="AU46" s="61"/>
      <c r="AV46" s="269"/>
      <c r="AX46" s="270"/>
      <c r="AY46" s="384"/>
      <c r="AZ46" s="373"/>
      <c r="BA46" s="344"/>
      <c r="BB46" s="344"/>
      <c r="BC46" s="61"/>
      <c r="BD46" s="269"/>
      <c r="BF46" s="466"/>
      <c r="BG46" s="453"/>
      <c r="BH46" s="453"/>
      <c r="BI46" s="455"/>
      <c r="BJ46" s="455"/>
      <c r="BK46" s="61"/>
      <c r="BL46" s="298"/>
    </row>
    <row r="47" ht="22.5" customHeight="1">
      <c r="A47" s="368"/>
      <c r="B47" s="270"/>
      <c r="C47" s="109"/>
      <c r="D47" s="373"/>
      <c r="E47" s="58"/>
      <c r="F47" s="58"/>
      <c r="G47" s="61"/>
      <c r="H47" s="269"/>
      <c r="J47" s="270"/>
      <c r="K47" s="109"/>
      <c r="L47" s="109"/>
      <c r="M47" s="58"/>
      <c r="N47" s="58"/>
      <c r="O47" s="61"/>
      <c r="P47" s="269"/>
      <c r="R47" s="270"/>
      <c r="S47" s="109"/>
      <c r="T47" s="109"/>
      <c r="U47" s="58"/>
      <c r="V47" s="58"/>
      <c r="W47" s="61"/>
      <c r="X47" s="269"/>
      <c r="Z47" s="270"/>
      <c r="AA47" s="109"/>
      <c r="AB47" s="109"/>
      <c r="AC47" s="58"/>
      <c r="AD47" s="58"/>
      <c r="AE47" s="61"/>
      <c r="AF47" s="269"/>
      <c r="AH47" s="270"/>
      <c r="AI47" s="109"/>
      <c r="AJ47" s="373"/>
      <c r="AK47" s="58"/>
      <c r="AL47" s="58"/>
      <c r="AM47" s="61"/>
      <c r="AN47" s="269"/>
      <c r="AP47" s="270"/>
      <c r="AQ47" s="109"/>
      <c r="AR47" s="109"/>
      <c r="AS47" s="58"/>
      <c r="AT47" s="58"/>
      <c r="AU47" s="61"/>
      <c r="AV47" s="269"/>
      <c r="AX47" s="270"/>
      <c r="AY47" s="384"/>
      <c r="AZ47" s="373"/>
      <c r="BA47" s="344"/>
      <c r="BB47" s="344"/>
      <c r="BC47" s="61"/>
      <c r="BD47" s="269"/>
      <c r="BF47" s="468"/>
      <c r="BG47" s="450"/>
      <c r="BH47" s="450"/>
      <c r="BI47" s="452"/>
      <c r="BJ47" s="452"/>
      <c r="BK47" s="61"/>
      <c r="BL47" s="298"/>
    </row>
    <row r="48" ht="22.5" customHeight="1">
      <c r="A48" s="368"/>
      <c r="B48" s="270"/>
      <c r="C48" s="109"/>
      <c r="D48" s="373"/>
      <c r="E48" s="58"/>
      <c r="F48" s="58"/>
      <c r="G48" s="61"/>
      <c r="H48" s="269"/>
      <c r="J48" s="270"/>
      <c r="K48" s="109"/>
      <c r="L48" s="109"/>
      <c r="M48" s="58"/>
      <c r="N48" s="58"/>
      <c r="O48" s="61"/>
      <c r="P48" s="269"/>
      <c r="R48" s="270"/>
      <c r="S48" s="384"/>
      <c r="T48" s="439"/>
      <c r="U48" s="344"/>
      <c r="V48" s="58"/>
      <c r="W48" s="109"/>
      <c r="X48" s="269"/>
      <c r="Z48" s="270"/>
      <c r="AA48" s="109"/>
      <c r="AB48" s="109"/>
      <c r="AC48" s="58"/>
      <c r="AD48" s="58"/>
      <c r="AE48" s="61"/>
      <c r="AF48" s="269"/>
      <c r="AH48" s="270"/>
      <c r="AI48" s="109"/>
      <c r="AJ48" s="373"/>
      <c r="AK48" s="58"/>
      <c r="AL48" s="58"/>
      <c r="AM48" s="61"/>
      <c r="AN48" s="269"/>
      <c r="AP48" s="270"/>
      <c r="AQ48" s="109"/>
      <c r="AR48" s="109"/>
      <c r="AS48" s="58"/>
      <c r="AT48" s="58"/>
      <c r="AU48" s="61"/>
      <c r="AV48" s="269"/>
      <c r="AX48" s="270"/>
      <c r="AY48" s="384"/>
      <c r="AZ48" s="373"/>
      <c r="BA48" s="344"/>
      <c r="BB48" s="344"/>
      <c r="BC48" s="61"/>
      <c r="BD48" s="269"/>
      <c r="BF48" s="466"/>
      <c r="BG48" s="453"/>
      <c r="BH48" s="453"/>
      <c r="BI48" s="455"/>
      <c r="BJ48" s="455"/>
      <c r="BK48" s="61"/>
      <c r="BL48" s="298"/>
    </row>
    <row r="49" ht="22.5" customHeight="1">
      <c r="A49" s="368"/>
      <c r="B49" s="270"/>
      <c r="C49" s="109"/>
      <c r="D49" s="373"/>
      <c r="E49" s="58"/>
      <c r="F49" s="58"/>
      <c r="G49" s="109"/>
      <c r="H49" s="269"/>
      <c r="J49" s="270"/>
      <c r="K49" s="109"/>
      <c r="L49" s="109"/>
      <c r="M49" s="58"/>
      <c r="N49" s="58"/>
      <c r="O49" s="61"/>
      <c r="P49" s="269"/>
      <c r="R49" s="270"/>
      <c r="S49" s="384"/>
      <c r="T49" s="460"/>
      <c r="U49" s="58"/>
      <c r="V49" s="58"/>
      <c r="W49" s="61"/>
      <c r="X49" s="269"/>
      <c r="Z49" s="270"/>
      <c r="AA49" s="109"/>
      <c r="AB49" s="109"/>
      <c r="AC49" s="58"/>
      <c r="AD49" s="58"/>
      <c r="AE49" s="61"/>
      <c r="AF49" s="269"/>
      <c r="AH49" s="270"/>
      <c r="AI49" s="109"/>
      <c r="AJ49" s="373"/>
      <c r="AK49" s="58"/>
      <c r="AL49" s="58"/>
      <c r="AM49" s="109"/>
      <c r="AN49" s="298"/>
      <c r="AP49" s="270"/>
      <c r="AQ49" s="109"/>
      <c r="AR49" s="109"/>
      <c r="AS49" s="58"/>
      <c r="AT49" s="58"/>
      <c r="AU49" s="61"/>
      <c r="AV49" s="269"/>
      <c r="AX49" s="270"/>
      <c r="AY49" s="384"/>
      <c r="AZ49" s="373"/>
      <c r="BA49" s="344"/>
      <c r="BB49" s="344"/>
      <c r="BC49" s="61"/>
      <c r="BD49" s="269"/>
      <c r="BF49" s="270"/>
      <c r="BG49" s="109"/>
      <c r="BH49" s="109"/>
      <c r="BI49" s="344"/>
      <c r="BJ49" s="344"/>
      <c r="BK49" s="61"/>
      <c r="BL49" s="298"/>
    </row>
    <row r="50" ht="22.5" customHeight="1">
      <c r="A50" s="368"/>
      <c r="B50" s="270"/>
      <c r="C50" s="109"/>
      <c r="D50" s="373"/>
      <c r="E50" s="58"/>
      <c r="F50" s="58"/>
      <c r="G50" s="61"/>
      <c r="H50" s="269"/>
      <c r="J50" s="270"/>
      <c r="K50" s="109"/>
      <c r="L50" s="109"/>
      <c r="M50" s="58"/>
      <c r="N50" s="58"/>
      <c r="O50" s="61"/>
      <c r="P50" s="269"/>
      <c r="R50" s="270"/>
      <c r="S50" s="384"/>
      <c r="T50" s="460"/>
      <c r="U50" s="58"/>
      <c r="V50" s="58"/>
      <c r="W50" s="61"/>
      <c r="X50" s="269"/>
      <c r="Z50" s="270"/>
      <c r="AA50" s="109"/>
      <c r="AB50" s="109"/>
      <c r="AC50" s="58"/>
      <c r="AD50" s="58"/>
      <c r="AE50" s="61"/>
      <c r="AF50" s="269"/>
      <c r="AH50" s="487"/>
      <c r="AI50" s="453"/>
      <c r="AJ50" s="453"/>
      <c r="AK50" s="467"/>
      <c r="AL50" s="455"/>
      <c r="AM50" s="61"/>
      <c r="AN50" s="269"/>
      <c r="AP50" s="449"/>
      <c r="AQ50" s="450"/>
      <c r="AR50" s="480"/>
      <c r="AS50" s="465"/>
      <c r="AT50" s="452"/>
      <c r="AU50" s="61"/>
      <c r="AV50" s="269"/>
      <c r="AX50" s="270"/>
      <c r="AY50" s="384"/>
      <c r="AZ50" s="373"/>
      <c r="BA50" s="58"/>
      <c r="BB50" s="58"/>
      <c r="BC50" s="109"/>
      <c r="BD50" s="269"/>
      <c r="BF50" s="270"/>
      <c r="BG50" s="109"/>
      <c r="BH50" s="109"/>
      <c r="BI50" s="344"/>
      <c r="BJ50" s="344"/>
      <c r="BK50" s="61"/>
      <c r="BL50" s="298"/>
    </row>
    <row r="51" ht="22.5" customHeight="1">
      <c r="A51" s="368"/>
      <c r="B51" s="270"/>
      <c r="C51" s="109"/>
      <c r="D51" s="373"/>
      <c r="E51" s="58"/>
      <c r="F51" s="58"/>
      <c r="G51" s="61"/>
      <c r="H51" s="269"/>
      <c r="J51" s="270"/>
      <c r="K51" s="109"/>
      <c r="L51" s="109"/>
      <c r="M51" s="58"/>
      <c r="N51" s="58"/>
      <c r="O51" s="61"/>
      <c r="P51" s="269"/>
      <c r="R51" s="270"/>
      <c r="S51" s="109"/>
      <c r="T51" s="464"/>
      <c r="U51" s="58"/>
      <c r="V51" s="58"/>
      <c r="W51" s="109"/>
      <c r="X51" s="269"/>
      <c r="Z51" s="270"/>
      <c r="AA51" s="109"/>
      <c r="AB51" s="109"/>
      <c r="AC51" s="58"/>
      <c r="AD51" s="58"/>
      <c r="AE51" s="61"/>
      <c r="AF51" s="269"/>
      <c r="AH51" s="488"/>
      <c r="AI51" s="450"/>
      <c r="AJ51" s="450"/>
      <c r="AK51" s="471"/>
      <c r="AL51" s="452"/>
      <c r="AM51" s="61"/>
      <c r="AN51" s="269"/>
      <c r="AP51" s="194"/>
      <c r="AQ51" s="61"/>
      <c r="AR51" s="61"/>
      <c r="AS51" s="81"/>
      <c r="AT51" s="81"/>
      <c r="AU51" s="61"/>
      <c r="AV51" s="298"/>
      <c r="AX51" s="270"/>
      <c r="AY51" s="384"/>
      <c r="AZ51" s="373"/>
      <c r="BA51" s="58"/>
      <c r="BB51" s="58"/>
      <c r="BC51" s="109"/>
      <c r="BD51" s="298"/>
      <c r="BF51" s="270"/>
      <c r="BG51" s="109"/>
      <c r="BH51" s="109"/>
      <c r="BI51" s="344"/>
      <c r="BJ51" s="344"/>
      <c r="BK51" s="61"/>
      <c r="BL51" s="298"/>
    </row>
    <row r="52" ht="22.5" customHeight="1">
      <c r="A52" s="368"/>
      <c r="B52" s="270"/>
      <c r="C52" s="109"/>
      <c r="D52" s="373"/>
      <c r="E52" s="58"/>
      <c r="F52" s="58"/>
      <c r="G52" s="61"/>
      <c r="H52" s="269"/>
      <c r="J52" s="270"/>
      <c r="K52" s="109"/>
      <c r="L52" s="109"/>
      <c r="M52" s="58"/>
      <c r="N52" s="58"/>
      <c r="O52" s="61"/>
      <c r="P52" s="269"/>
      <c r="R52" s="270"/>
      <c r="S52" s="384"/>
      <c r="T52" s="460"/>
      <c r="U52" s="344"/>
      <c r="V52" s="58"/>
      <c r="W52" s="109"/>
      <c r="X52" s="298"/>
      <c r="Z52" s="270"/>
      <c r="AA52" s="109"/>
      <c r="AB52" s="109"/>
      <c r="AC52" s="58"/>
      <c r="AD52" s="58"/>
      <c r="AE52" s="61"/>
      <c r="AF52" s="269"/>
      <c r="AH52" s="487"/>
      <c r="AI52" s="453"/>
      <c r="AJ52" s="453"/>
      <c r="AK52" s="467"/>
      <c r="AL52" s="455"/>
      <c r="AM52" s="61"/>
      <c r="AN52" s="269"/>
      <c r="AP52" s="194"/>
      <c r="AQ52" s="61"/>
      <c r="AR52" s="61"/>
      <c r="AS52" s="81"/>
      <c r="AT52" s="81"/>
      <c r="AU52" s="61"/>
      <c r="AV52" s="298"/>
      <c r="AX52" s="270"/>
      <c r="AY52" s="109"/>
      <c r="AZ52" s="373"/>
      <c r="BA52" s="58"/>
      <c r="BB52" s="58"/>
      <c r="BC52" s="61"/>
      <c r="BD52" s="269"/>
      <c r="BF52" s="270"/>
      <c r="BG52" s="109"/>
      <c r="BH52" s="109"/>
      <c r="BI52" s="344"/>
      <c r="BJ52" s="344"/>
      <c r="BK52" s="61"/>
      <c r="BL52" s="298"/>
    </row>
    <row r="53" ht="22.5" customHeight="1">
      <c r="A53" s="368"/>
      <c r="B53" s="270"/>
      <c r="C53" s="109"/>
      <c r="D53" s="373"/>
      <c r="E53" s="58"/>
      <c r="F53" s="58"/>
      <c r="G53" s="109"/>
      <c r="H53" s="298"/>
      <c r="J53" s="270"/>
      <c r="K53" s="109"/>
      <c r="L53" s="109"/>
      <c r="M53" s="58"/>
      <c r="N53" s="58"/>
      <c r="O53" s="61"/>
      <c r="P53" s="269"/>
      <c r="R53" s="270"/>
      <c r="S53" s="384"/>
      <c r="T53" s="109"/>
      <c r="U53" s="58"/>
      <c r="V53" s="58"/>
      <c r="W53" s="61"/>
      <c r="X53" s="269"/>
      <c r="Z53" s="270"/>
      <c r="AA53" s="109"/>
      <c r="AB53" s="109"/>
      <c r="AC53" s="58"/>
      <c r="AD53" s="58"/>
      <c r="AE53" s="61"/>
      <c r="AF53" s="269"/>
      <c r="AH53" s="488"/>
      <c r="AI53" s="450"/>
      <c r="AJ53" s="450"/>
      <c r="AK53" s="471"/>
      <c r="AL53" s="452"/>
      <c r="AM53" s="61"/>
      <c r="AN53" s="269"/>
      <c r="AP53" s="270"/>
      <c r="AQ53" s="109"/>
      <c r="AR53" s="109"/>
      <c r="AS53" s="344"/>
      <c r="AT53" s="344"/>
      <c r="AU53" s="61"/>
      <c r="AV53" s="298"/>
      <c r="AX53" s="270"/>
      <c r="AY53" s="384"/>
      <c r="AZ53" s="373"/>
      <c r="BA53" s="58"/>
      <c r="BB53" s="58"/>
      <c r="BC53" s="61"/>
      <c r="BD53" s="269"/>
      <c r="BF53" s="270"/>
      <c r="BG53" s="109"/>
      <c r="BH53" s="109"/>
      <c r="BI53" s="344"/>
      <c r="BJ53" s="344"/>
      <c r="BK53" s="61"/>
      <c r="BL53" s="298"/>
    </row>
    <row r="54" ht="22.5" customHeight="1">
      <c r="A54" s="368"/>
      <c r="B54" s="270"/>
      <c r="C54" s="109"/>
      <c r="D54" s="373"/>
      <c r="E54" s="58"/>
      <c r="F54" s="58"/>
      <c r="G54" s="61"/>
      <c r="H54" s="269"/>
      <c r="J54" s="270"/>
      <c r="K54" s="109"/>
      <c r="L54" s="109"/>
      <c r="M54" s="58"/>
      <c r="N54" s="58"/>
      <c r="O54" s="61"/>
      <c r="P54" s="269"/>
      <c r="R54" s="270"/>
      <c r="S54" s="384"/>
      <c r="T54" s="109"/>
      <c r="U54" s="58"/>
      <c r="V54" s="58"/>
      <c r="W54" s="61"/>
      <c r="X54" s="269"/>
      <c r="Z54" s="270"/>
      <c r="AA54" s="109"/>
      <c r="AB54" s="109"/>
      <c r="AC54" s="58"/>
      <c r="AD54" s="58"/>
      <c r="AE54" s="61"/>
      <c r="AF54" s="269"/>
      <c r="AH54" s="487"/>
      <c r="AI54" s="453"/>
      <c r="AJ54" s="453"/>
      <c r="AK54" s="467"/>
      <c r="AL54" s="455"/>
      <c r="AM54" s="61"/>
      <c r="AN54" s="298"/>
      <c r="AP54" s="270"/>
      <c r="AQ54" s="109"/>
      <c r="AR54" s="109"/>
      <c r="AS54" s="344"/>
      <c r="AT54" s="344"/>
      <c r="AU54" s="61"/>
      <c r="AV54" s="298"/>
      <c r="AX54" s="270"/>
      <c r="AY54" s="450"/>
      <c r="AZ54" s="450"/>
      <c r="BA54" s="471"/>
      <c r="BB54" s="452"/>
      <c r="BC54" s="61"/>
      <c r="BD54" s="269"/>
      <c r="BF54" s="270"/>
      <c r="BG54" s="109"/>
      <c r="BH54" s="109"/>
      <c r="BI54" s="344"/>
      <c r="BJ54" s="344"/>
      <c r="BK54" s="61"/>
      <c r="BL54" s="298"/>
    </row>
    <row r="55" ht="22.5" customHeight="1">
      <c r="A55" s="368"/>
      <c r="B55" s="270"/>
      <c r="C55" s="109"/>
      <c r="D55" s="373"/>
      <c r="E55" s="58"/>
      <c r="F55" s="58"/>
      <c r="G55" s="61"/>
      <c r="H55" s="269"/>
      <c r="J55" s="270"/>
      <c r="K55" s="109"/>
      <c r="L55" s="297"/>
      <c r="M55" s="58"/>
      <c r="N55" s="58"/>
      <c r="O55" s="109"/>
      <c r="P55" s="269"/>
      <c r="R55" s="270"/>
      <c r="S55" s="384"/>
      <c r="T55" s="109"/>
      <c r="U55" s="58"/>
      <c r="V55" s="58"/>
      <c r="W55" s="61"/>
      <c r="X55" s="269"/>
      <c r="Z55" s="270"/>
      <c r="AA55" s="109"/>
      <c r="AB55" s="109"/>
      <c r="AC55" s="58"/>
      <c r="AD55" s="58"/>
      <c r="AE55" s="61"/>
      <c r="AF55" s="269"/>
      <c r="AH55" s="449"/>
      <c r="AI55" s="450"/>
      <c r="AJ55" s="450"/>
      <c r="AK55" s="451"/>
      <c r="AL55" s="452"/>
      <c r="AM55" s="489"/>
      <c r="AN55" s="298"/>
      <c r="AP55" s="270"/>
      <c r="AQ55" s="109"/>
      <c r="AR55" s="109"/>
      <c r="AS55" s="344"/>
      <c r="AT55" s="344"/>
      <c r="AU55" s="61"/>
      <c r="AV55" s="298"/>
      <c r="AX55" s="270"/>
      <c r="AY55" s="109"/>
      <c r="AZ55" s="373"/>
      <c r="BA55" s="344"/>
      <c r="BB55" s="344"/>
      <c r="BC55" s="61"/>
      <c r="BD55" s="298"/>
      <c r="BF55" s="270"/>
      <c r="BG55" s="109"/>
      <c r="BH55" s="109"/>
      <c r="BI55" s="344"/>
      <c r="BJ55" s="344"/>
      <c r="BK55" s="61"/>
      <c r="BL55" s="298"/>
    </row>
    <row r="56" ht="22.5" customHeight="1">
      <c r="A56" s="368"/>
      <c r="B56" s="270"/>
      <c r="C56" s="109"/>
      <c r="D56" s="373"/>
      <c r="E56" s="58"/>
      <c r="F56" s="58"/>
      <c r="G56" s="61"/>
      <c r="H56" s="269"/>
      <c r="J56" s="270"/>
      <c r="K56" s="109"/>
      <c r="L56" s="109"/>
      <c r="M56" s="58"/>
      <c r="N56" s="58"/>
      <c r="O56" s="61"/>
      <c r="P56" s="269"/>
      <c r="R56" s="270"/>
      <c r="S56" s="384"/>
      <c r="T56" s="109"/>
      <c r="U56" s="58"/>
      <c r="V56" s="58"/>
      <c r="W56" s="109"/>
      <c r="X56" s="269"/>
      <c r="Z56" s="270"/>
      <c r="AA56" s="109"/>
      <c r="AB56" s="109"/>
      <c r="AC56" s="58"/>
      <c r="AD56" s="58"/>
      <c r="AE56" s="61"/>
      <c r="AF56" s="269"/>
      <c r="AH56" s="449"/>
      <c r="AI56" s="453"/>
      <c r="AJ56" s="453"/>
      <c r="AK56" s="462"/>
      <c r="AL56" s="455"/>
      <c r="AM56" s="61"/>
      <c r="AN56" s="269"/>
      <c r="AP56" s="270"/>
      <c r="AQ56" s="109"/>
      <c r="AR56" s="109"/>
      <c r="AS56" s="344"/>
      <c r="AT56" s="344"/>
      <c r="AU56" s="61"/>
      <c r="AV56" s="298"/>
      <c r="AX56" s="270"/>
      <c r="AY56" s="109"/>
      <c r="AZ56" s="373"/>
      <c r="BA56" s="344"/>
      <c r="BB56" s="344"/>
      <c r="BC56" s="61"/>
      <c r="BD56" s="298"/>
      <c r="BF56" s="270"/>
      <c r="BG56" s="109"/>
      <c r="BH56" s="109"/>
      <c r="BI56" s="344"/>
      <c r="BJ56" s="344"/>
      <c r="BK56" s="61"/>
      <c r="BL56" s="298"/>
    </row>
    <row r="57" ht="22.5" customHeight="1">
      <c r="A57" s="368"/>
      <c r="B57" s="270"/>
      <c r="C57" s="109"/>
      <c r="D57" s="373"/>
      <c r="E57" s="58"/>
      <c r="F57" s="58"/>
      <c r="G57" s="61"/>
      <c r="H57" s="269"/>
      <c r="J57" s="270"/>
      <c r="K57" s="109"/>
      <c r="L57" s="109"/>
      <c r="M57" s="58"/>
      <c r="N57" s="58"/>
      <c r="O57" s="61"/>
      <c r="P57" s="269"/>
      <c r="R57" s="270"/>
      <c r="S57" s="384"/>
      <c r="T57" s="109"/>
      <c r="U57" s="58"/>
      <c r="V57" s="58"/>
      <c r="W57" s="109"/>
      <c r="X57" s="269"/>
      <c r="Z57" s="270"/>
      <c r="AA57" s="109"/>
      <c r="AB57" s="109"/>
      <c r="AC57" s="58"/>
      <c r="AD57" s="58"/>
      <c r="AE57" s="61"/>
      <c r="AF57" s="269"/>
      <c r="AH57" s="449"/>
      <c r="AI57" s="450"/>
      <c r="AJ57" s="450"/>
      <c r="AK57" s="465"/>
      <c r="AL57" s="452"/>
      <c r="AM57" s="61"/>
      <c r="AN57" s="269"/>
      <c r="AP57" s="270"/>
      <c r="AQ57" s="109"/>
      <c r="AR57" s="109"/>
      <c r="AS57" s="344"/>
      <c r="AT57" s="344"/>
      <c r="AU57" s="61"/>
      <c r="AV57" s="298"/>
      <c r="AX57" s="270"/>
      <c r="AY57" s="109"/>
      <c r="AZ57" s="373"/>
      <c r="BA57" s="344"/>
      <c r="BB57" s="344"/>
      <c r="BC57" s="61"/>
      <c r="BD57" s="298"/>
      <c r="BF57" s="270"/>
      <c r="BG57" s="109"/>
      <c r="BH57" s="109"/>
      <c r="BI57" s="344"/>
      <c r="BJ57" s="344"/>
      <c r="BK57" s="61"/>
      <c r="BL57" s="298"/>
    </row>
    <row r="58" ht="22.5" customHeight="1">
      <c r="A58" s="368"/>
      <c r="B58" s="270"/>
      <c r="C58" s="109"/>
      <c r="D58" s="373"/>
      <c r="E58" s="58"/>
      <c r="F58" s="58"/>
      <c r="G58" s="61"/>
      <c r="H58" s="269"/>
      <c r="J58" s="270"/>
      <c r="K58" s="109"/>
      <c r="L58" s="109"/>
      <c r="M58" s="58"/>
      <c r="N58" s="58"/>
      <c r="O58" s="61"/>
      <c r="P58" s="269"/>
      <c r="R58" s="270"/>
      <c r="S58" s="384"/>
      <c r="T58" s="109"/>
      <c r="U58" s="344"/>
      <c r="V58" s="58"/>
      <c r="W58" s="489"/>
      <c r="X58" s="298"/>
      <c r="Z58" s="270"/>
      <c r="AA58" s="109"/>
      <c r="AB58" s="109"/>
      <c r="AC58" s="58"/>
      <c r="AD58" s="58"/>
      <c r="AE58" s="61"/>
      <c r="AF58" s="269"/>
      <c r="AH58" s="449"/>
      <c r="AI58" s="453"/>
      <c r="AJ58" s="453"/>
      <c r="AK58" s="462"/>
      <c r="AL58" s="455"/>
      <c r="AM58" s="61"/>
      <c r="AN58" s="269"/>
      <c r="AP58" s="270"/>
      <c r="AQ58" s="109"/>
      <c r="AR58" s="109"/>
      <c r="AS58" s="344"/>
      <c r="AT58" s="344"/>
      <c r="AU58" s="61"/>
      <c r="AV58" s="298"/>
      <c r="AX58" s="270"/>
      <c r="AY58" s="109"/>
      <c r="AZ58" s="373"/>
      <c r="BA58" s="344"/>
      <c r="BB58" s="344"/>
      <c r="BC58" s="61"/>
      <c r="BD58" s="298"/>
      <c r="BF58" s="270"/>
      <c r="BG58" s="109"/>
      <c r="BH58" s="109"/>
      <c r="BI58" s="344"/>
      <c r="BJ58" s="344"/>
      <c r="BK58" s="61"/>
      <c r="BL58" s="298"/>
    </row>
    <row r="59" ht="22.5" customHeight="1">
      <c r="A59" s="368"/>
      <c r="B59" s="270"/>
      <c r="C59" s="109"/>
      <c r="D59" s="373"/>
      <c r="E59" s="58"/>
      <c r="F59" s="58"/>
      <c r="G59" s="61"/>
      <c r="H59" s="269"/>
      <c r="J59" s="270"/>
      <c r="K59" s="109"/>
      <c r="L59" s="109"/>
      <c r="M59" s="58"/>
      <c r="N59" s="58"/>
      <c r="O59" s="61"/>
      <c r="P59" s="269"/>
      <c r="R59" s="270"/>
      <c r="S59" s="384"/>
      <c r="T59" s="109"/>
      <c r="U59" s="58"/>
      <c r="V59" s="58"/>
      <c r="W59" s="109"/>
      <c r="X59" s="269"/>
      <c r="Z59" s="270"/>
      <c r="AA59" s="109"/>
      <c r="AB59" s="109"/>
      <c r="AC59" s="58"/>
      <c r="AD59" s="58"/>
      <c r="AE59" s="61"/>
      <c r="AF59" s="269"/>
      <c r="AH59" s="468"/>
      <c r="AI59" s="450"/>
      <c r="AJ59" s="450"/>
      <c r="AK59" s="471"/>
      <c r="AL59" s="452"/>
      <c r="AM59" s="61"/>
      <c r="AN59" s="269"/>
      <c r="AP59" s="270"/>
      <c r="AQ59" s="109"/>
      <c r="AR59" s="109"/>
      <c r="AS59" s="344"/>
      <c r="AT59" s="344"/>
      <c r="AU59" s="61"/>
      <c r="AV59" s="298"/>
      <c r="AX59" s="270"/>
      <c r="AY59" s="109"/>
      <c r="AZ59" s="373"/>
      <c r="BA59" s="344"/>
      <c r="BB59" s="344"/>
      <c r="BC59" s="61"/>
      <c r="BD59" s="298"/>
      <c r="BF59" s="270"/>
      <c r="BG59" s="109"/>
      <c r="BH59" s="109"/>
      <c r="BI59" s="344"/>
      <c r="BJ59" s="344"/>
      <c r="BK59" s="61"/>
      <c r="BL59" s="298"/>
    </row>
    <row r="60" ht="22.5" customHeight="1">
      <c r="A60" s="368"/>
      <c r="B60" s="270"/>
      <c r="C60" s="109"/>
      <c r="D60" s="373"/>
      <c r="E60" s="58"/>
      <c r="F60" s="58"/>
      <c r="G60" s="61"/>
      <c r="H60" s="269"/>
      <c r="J60" s="270"/>
      <c r="K60" s="109"/>
      <c r="L60" s="109"/>
      <c r="M60" s="58"/>
      <c r="N60" s="58"/>
      <c r="O60" s="61"/>
      <c r="P60" s="269"/>
      <c r="R60" s="270"/>
      <c r="S60" s="384"/>
      <c r="T60" s="109"/>
      <c r="U60" s="58"/>
      <c r="V60" s="58"/>
      <c r="W60" s="109"/>
      <c r="X60" s="269"/>
      <c r="Z60" s="270"/>
      <c r="AA60" s="109"/>
      <c r="AB60" s="109"/>
      <c r="AC60" s="58"/>
      <c r="AD60" s="58"/>
      <c r="AE60" s="61"/>
      <c r="AF60" s="269"/>
      <c r="AH60" s="466"/>
      <c r="AI60" s="453"/>
      <c r="AJ60" s="453"/>
      <c r="AK60" s="467"/>
      <c r="AL60" s="455"/>
      <c r="AM60" s="61"/>
      <c r="AN60" s="269"/>
      <c r="AP60" s="270"/>
      <c r="AQ60" s="109"/>
      <c r="AR60" s="109"/>
      <c r="AS60" s="344"/>
      <c r="AT60" s="344"/>
      <c r="AU60" s="109"/>
      <c r="AV60" s="298"/>
      <c r="AX60" s="270"/>
      <c r="AY60" s="109"/>
      <c r="AZ60" s="373"/>
      <c r="BA60" s="344"/>
      <c r="BB60" s="344"/>
      <c r="BC60" s="61"/>
      <c r="BD60" s="298"/>
      <c r="BF60" s="270"/>
      <c r="BG60" s="109"/>
      <c r="BH60" s="109"/>
      <c r="BI60" s="344"/>
      <c r="BJ60" s="344"/>
      <c r="BK60" s="61"/>
      <c r="BL60" s="298"/>
    </row>
    <row r="61" ht="22.5" customHeight="1">
      <c r="A61" s="368"/>
      <c r="B61" s="270"/>
      <c r="C61" s="109"/>
      <c r="D61" s="373"/>
      <c r="E61" s="58"/>
      <c r="F61" s="58"/>
      <c r="G61" s="61"/>
      <c r="H61" s="269"/>
      <c r="J61" s="270"/>
      <c r="K61" s="109"/>
      <c r="L61" s="109"/>
      <c r="M61" s="58"/>
      <c r="N61" s="58"/>
      <c r="O61" s="61"/>
      <c r="P61" s="269"/>
      <c r="R61" s="270"/>
      <c r="S61" s="384"/>
      <c r="T61" s="384"/>
      <c r="U61" s="344"/>
      <c r="V61" s="58"/>
      <c r="W61" s="109"/>
      <c r="X61" s="298"/>
      <c r="Z61" s="270"/>
      <c r="AA61" s="109"/>
      <c r="AB61" s="109"/>
      <c r="AC61" s="58"/>
      <c r="AD61" s="58"/>
      <c r="AE61" s="61"/>
      <c r="AF61" s="269"/>
      <c r="AH61" s="468"/>
      <c r="AI61" s="450"/>
      <c r="AJ61" s="450"/>
      <c r="AK61" s="471"/>
      <c r="AL61" s="452"/>
      <c r="AM61" s="61"/>
      <c r="AN61" s="269"/>
      <c r="AP61" s="270"/>
      <c r="AQ61" s="109"/>
      <c r="AR61" s="109"/>
      <c r="AS61" s="344"/>
      <c r="AT61" s="344"/>
      <c r="AU61" s="61"/>
      <c r="AV61" s="298"/>
      <c r="AX61" s="270"/>
      <c r="AY61" s="109"/>
      <c r="AZ61" s="373"/>
      <c r="BA61" s="344"/>
      <c r="BB61" s="344"/>
      <c r="BC61" s="61"/>
      <c r="BD61" s="298"/>
      <c r="BF61" s="270"/>
      <c r="BG61" s="109"/>
      <c r="BH61" s="109"/>
      <c r="BI61" s="344"/>
      <c r="BJ61" s="344"/>
      <c r="BK61" s="61"/>
      <c r="BL61" s="298"/>
    </row>
    <row r="62" ht="22.5" customHeight="1">
      <c r="A62" s="368"/>
      <c r="B62" s="270"/>
      <c r="C62" s="109"/>
      <c r="D62" s="373"/>
      <c r="E62" s="58"/>
      <c r="F62" s="58"/>
      <c r="G62" s="61"/>
      <c r="H62" s="269"/>
      <c r="J62" s="270"/>
      <c r="K62" s="109"/>
      <c r="L62" s="109"/>
      <c r="M62" s="58"/>
      <c r="N62" s="58"/>
      <c r="O62" s="61"/>
      <c r="P62" s="269"/>
      <c r="R62" s="270"/>
      <c r="S62" s="384"/>
      <c r="T62" s="439"/>
      <c r="U62" s="344"/>
      <c r="V62" s="58"/>
      <c r="W62" s="109"/>
      <c r="X62" s="298"/>
      <c r="Z62" s="270"/>
      <c r="AA62" s="109"/>
      <c r="AB62" s="109"/>
      <c r="AC62" s="58"/>
      <c r="AD62" s="58"/>
      <c r="AE62" s="61"/>
      <c r="AF62" s="269"/>
      <c r="AH62" s="270"/>
      <c r="AI62" s="109"/>
      <c r="AJ62" s="373"/>
      <c r="AK62" s="58"/>
      <c r="AL62" s="58"/>
      <c r="AM62" s="109"/>
      <c r="AN62" s="298"/>
      <c r="AP62" s="270"/>
      <c r="AQ62" s="109"/>
      <c r="AR62" s="109"/>
      <c r="AS62" s="344"/>
      <c r="AT62" s="344"/>
      <c r="AU62" s="61"/>
      <c r="AV62" s="298"/>
      <c r="AX62" s="270"/>
      <c r="AY62" s="109"/>
      <c r="AZ62" s="373"/>
      <c r="BA62" s="344"/>
      <c r="BB62" s="344"/>
      <c r="BC62" s="61"/>
      <c r="BD62" s="298"/>
      <c r="BF62" s="270"/>
      <c r="BG62" s="109"/>
      <c r="BH62" s="109"/>
      <c r="BI62" s="344"/>
      <c r="BJ62" s="344"/>
      <c r="BK62" s="61"/>
      <c r="BL62" s="298"/>
    </row>
    <row r="63" ht="22.5" customHeight="1">
      <c r="A63" s="368"/>
      <c r="B63" s="270"/>
      <c r="C63" s="109"/>
      <c r="D63" s="373"/>
      <c r="E63" s="58"/>
      <c r="F63" s="58"/>
      <c r="G63" s="109"/>
      <c r="H63" s="269"/>
      <c r="J63" s="270"/>
      <c r="K63" s="109"/>
      <c r="L63" s="109"/>
      <c r="M63" s="58"/>
      <c r="N63" s="58"/>
      <c r="O63" s="61"/>
      <c r="P63" s="269"/>
      <c r="R63" s="270"/>
      <c r="S63" s="384"/>
      <c r="T63" s="483"/>
      <c r="U63" s="58"/>
      <c r="V63" s="58"/>
      <c r="W63" s="61"/>
      <c r="X63" s="269"/>
      <c r="Z63" s="270"/>
      <c r="AA63" s="109"/>
      <c r="AB63" s="109"/>
      <c r="AC63" s="58"/>
      <c r="AD63" s="58"/>
      <c r="AE63" s="61"/>
      <c r="AF63" s="269"/>
      <c r="AH63" s="270"/>
      <c r="AI63" s="109"/>
      <c r="AJ63" s="373"/>
      <c r="AK63" s="58"/>
      <c r="AL63" s="58"/>
      <c r="AM63" s="109"/>
      <c r="AN63" s="298"/>
      <c r="AP63" s="270"/>
      <c r="AQ63" s="109"/>
      <c r="AR63" s="109"/>
      <c r="AS63" s="344"/>
      <c r="AT63" s="344"/>
      <c r="AU63" s="61"/>
      <c r="AV63" s="298"/>
      <c r="AX63" s="270"/>
      <c r="AY63" s="109"/>
      <c r="AZ63" s="373"/>
      <c r="BA63" s="344"/>
      <c r="BB63" s="344"/>
      <c r="BC63" s="61"/>
      <c r="BD63" s="298"/>
      <c r="BF63" s="270"/>
      <c r="BG63" s="109"/>
      <c r="BH63" s="109"/>
      <c r="BI63" s="344"/>
      <c r="BJ63" s="344"/>
      <c r="BK63" s="61"/>
      <c r="BL63" s="298"/>
    </row>
    <row r="64" ht="22.5" customHeight="1">
      <c r="A64" s="368"/>
      <c r="B64" s="270"/>
      <c r="C64" s="109"/>
      <c r="D64" s="373"/>
      <c r="E64" s="58"/>
      <c r="F64" s="58"/>
      <c r="G64" s="109"/>
      <c r="H64" s="269"/>
      <c r="J64" s="270"/>
      <c r="K64" s="109"/>
      <c r="L64" s="109"/>
      <c r="M64" s="344"/>
      <c r="N64" s="344"/>
      <c r="O64" s="61"/>
      <c r="P64" s="298"/>
      <c r="R64" s="270"/>
      <c r="S64" s="384"/>
      <c r="T64" s="47"/>
      <c r="U64" s="58"/>
      <c r="V64" s="58"/>
      <c r="W64" s="61"/>
      <c r="X64" s="269"/>
      <c r="Z64" s="270"/>
      <c r="AA64" s="109"/>
      <c r="AB64" s="109"/>
      <c r="AC64" s="58"/>
      <c r="AD64" s="58"/>
      <c r="AE64" s="61"/>
      <c r="AF64" s="298"/>
      <c r="AH64" s="270"/>
      <c r="AI64" s="109"/>
      <c r="AJ64" s="373"/>
      <c r="AK64" s="344"/>
      <c r="AL64" s="344"/>
      <c r="AM64" s="61"/>
      <c r="AN64" s="298"/>
      <c r="AP64" s="270"/>
      <c r="AQ64" s="109"/>
      <c r="AR64" s="109"/>
      <c r="AS64" s="344"/>
      <c r="AT64" s="344"/>
      <c r="AU64" s="61"/>
      <c r="AV64" s="298"/>
      <c r="AX64" s="270"/>
      <c r="AY64" s="109"/>
      <c r="AZ64" s="373"/>
      <c r="BA64" s="344"/>
      <c r="BB64" s="344"/>
      <c r="BC64" s="61"/>
      <c r="BD64" s="298"/>
      <c r="BF64" s="270"/>
      <c r="BG64" s="109"/>
      <c r="BH64" s="109"/>
      <c r="BI64" s="344"/>
      <c r="BJ64" s="344"/>
      <c r="BK64" s="61"/>
      <c r="BL64" s="298"/>
    </row>
    <row r="65" ht="22.5" customHeight="1">
      <c r="A65" s="368"/>
      <c r="B65" s="270"/>
      <c r="C65" s="109"/>
      <c r="D65" s="373"/>
      <c r="E65" s="58"/>
      <c r="F65" s="58"/>
      <c r="G65" s="109"/>
      <c r="H65" s="269"/>
      <c r="J65" s="270"/>
      <c r="K65" s="109"/>
      <c r="L65" s="109"/>
      <c r="M65" s="58"/>
      <c r="N65" s="58"/>
      <c r="O65" s="61"/>
      <c r="P65" s="269"/>
      <c r="R65" s="270"/>
      <c r="S65" s="109"/>
      <c r="T65" s="47"/>
      <c r="U65" s="58"/>
      <c r="V65" s="58"/>
      <c r="W65" s="61"/>
      <c r="X65" s="269"/>
      <c r="Z65" s="270"/>
      <c r="AA65" s="109"/>
      <c r="AB65" s="109"/>
      <c r="AC65" s="58"/>
      <c r="AD65" s="58"/>
      <c r="AE65" s="61"/>
      <c r="AF65" s="269"/>
      <c r="AH65" s="270"/>
      <c r="AI65" s="109"/>
      <c r="AJ65" s="373"/>
      <c r="AK65" s="344"/>
      <c r="AL65" s="344"/>
      <c r="AM65" s="61"/>
      <c r="AN65" s="298"/>
      <c r="AP65" s="270"/>
      <c r="AQ65" s="109"/>
      <c r="AR65" s="109"/>
      <c r="AS65" s="344"/>
      <c r="AT65" s="344"/>
      <c r="AU65" s="61"/>
      <c r="AV65" s="298"/>
      <c r="AX65" s="270"/>
      <c r="AY65" s="109"/>
      <c r="AZ65" s="373"/>
      <c r="BA65" s="344"/>
      <c r="BB65" s="344"/>
      <c r="BC65" s="61"/>
      <c r="BD65" s="298"/>
      <c r="BF65" s="270"/>
      <c r="BG65" s="109"/>
      <c r="BH65" s="109"/>
      <c r="BI65" s="344"/>
      <c r="BJ65" s="344"/>
      <c r="BK65" s="61"/>
      <c r="BL65" s="298"/>
    </row>
    <row r="66" ht="22.5" customHeight="1">
      <c r="A66" s="368"/>
      <c r="B66" s="270"/>
      <c r="C66" s="109"/>
      <c r="D66" s="373"/>
      <c r="E66" s="58"/>
      <c r="F66" s="58"/>
      <c r="G66" s="109"/>
      <c r="H66" s="269"/>
      <c r="J66" s="270"/>
      <c r="K66" s="384"/>
      <c r="L66" s="109"/>
      <c r="M66" s="58"/>
      <c r="N66" s="58"/>
      <c r="O66" s="61"/>
      <c r="P66" s="269"/>
      <c r="R66" s="270"/>
      <c r="S66" s="109"/>
      <c r="T66" s="47"/>
      <c r="U66" s="58"/>
      <c r="V66" s="58"/>
      <c r="W66" s="61"/>
      <c r="X66" s="269"/>
      <c r="Z66" s="270"/>
      <c r="AA66" s="109"/>
      <c r="AB66" s="109"/>
      <c r="AC66" s="58"/>
      <c r="AD66" s="58"/>
      <c r="AE66" s="61"/>
      <c r="AF66" s="269"/>
      <c r="AH66" s="270"/>
      <c r="AI66" s="109"/>
      <c r="AJ66" s="373"/>
      <c r="AK66" s="344"/>
      <c r="AL66" s="344"/>
      <c r="AM66" s="61"/>
      <c r="AN66" s="298"/>
      <c r="AP66" s="270"/>
      <c r="AQ66" s="109"/>
      <c r="AR66" s="109"/>
      <c r="AS66" s="344"/>
      <c r="AT66" s="344"/>
      <c r="AU66" s="61"/>
      <c r="AV66" s="298"/>
      <c r="AX66" s="270"/>
      <c r="AY66" s="109"/>
      <c r="AZ66" s="373"/>
      <c r="BA66" s="344"/>
      <c r="BB66" s="344"/>
      <c r="BC66" s="61"/>
      <c r="BD66" s="298"/>
      <c r="BF66" s="270"/>
      <c r="BG66" s="109"/>
      <c r="BH66" s="109"/>
      <c r="BI66" s="344"/>
      <c r="BJ66" s="344"/>
      <c r="BK66" s="61"/>
      <c r="BL66" s="298"/>
    </row>
    <row r="67" ht="22.5" customHeight="1">
      <c r="A67" s="368"/>
      <c r="B67" s="270"/>
      <c r="C67" s="109"/>
      <c r="D67" s="373"/>
      <c r="E67" s="58"/>
      <c r="F67" s="58"/>
      <c r="G67" s="61"/>
      <c r="H67" s="269"/>
      <c r="J67" s="270"/>
      <c r="K67" s="384"/>
      <c r="L67" s="109"/>
      <c r="M67" s="58"/>
      <c r="N67" s="58"/>
      <c r="O67" s="61"/>
      <c r="P67" s="269"/>
      <c r="R67" s="270"/>
      <c r="S67" s="384"/>
      <c r="T67" s="47"/>
      <c r="U67" s="344"/>
      <c r="V67" s="58"/>
      <c r="W67" s="109"/>
      <c r="X67" s="298"/>
      <c r="Z67" s="270"/>
      <c r="AA67" s="109"/>
      <c r="AB67" s="109"/>
      <c r="AC67" s="58"/>
      <c r="AD67" s="58"/>
      <c r="AE67" s="109"/>
      <c r="AF67" s="298"/>
      <c r="AH67" s="270"/>
      <c r="AI67" s="109"/>
      <c r="AJ67" s="373"/>
      <c r="AK67" s="344"/>
      <c r="AL67" s="344"/>
      <c r="AM67" s="61"/>
      <c r="AN67" s="298"/>
      <c r="AP67" s="270"/>
      <c r="AQ67" s="109"/>
      <c r="AR67" s="109"/>
      <c r="AS67" s="344"/>
      <c r="AT67" s="344"/>
      <c r="AU67" s="109"/>
      <c r="AV67" s="298"/>
      <c r="AX67" s="270"/>
      <c r="AY67" s="109"/>
      <c r="AZ67" s="373"/>
      <c r="BA67" s="344"/>
      <c r="BB67" s="344"/>
      <c r="BC67" s="61"/>
      <c r="BD67" s="298"/>
      <c r="BF67" s="270"/>
      <c r="BG67" s="109"/>
      <c r="BH67" s="109"/>
      <c r="BI67" s="344"/>
      <c r="BJ67" s="344"/>
      <c r="BK67" s="109"/>
      <c r="BL67" s="298"/>
    </row>
    <row r="68" ht="22.5" customHeight="1">
      <c r="A68" s="368"/>
      <c r="B68" s="270"/>
      <c r="C68" s="109"/>
      <c r="D68" s="373"/>
      <c r="E68" s="58"/>
      <c r="F68" s="58"/>
      <c r="G68" s="61"/>
      <c r="H68" s="269"/>
      <c r="J68" s="270"/>
      <c r="K68" s="109"/>
      <c r="L68" s="109"/>
      <c r="M68" s="58"/>
      <c r="N68" s="58"/>
      <c r="O68" s="61"/>
      <c r="P68" s="269"/>
      <c r="R68" s="270"/>
      <c r="S68" s="384"/>
      <c r="T68" s="109"/>
      <c r="U68" s="58"/>
      <c r="V68" s="58"/>
      <c r="W68" s="61"/>
      <c r="X68" s="269"/>
      <c r="Z68" s="270"/>
      <c r="AA68" s="109"/>
      <c r="AB68" s="109"/>
      <c r="AC68" s="58"/>
      <c r="AD68" s="58"/>
      <c r="AE68" s="61"/>
      <c r="AF68" s="269"/>
      <c r="AH68" s="270"/>
      <c r="AI68" s="61"/>
      <c r="AJ68" s="373"/>
      <c r="AK68" s="344"/>
      <c r="AL68" s="344"/>
      <c r="AM68" s="61"/>
      <c r="AN68" s="298"/>
      <c r="AP68" s="270"/>
      <c r="AQ68" s="109"/>
      <c r="AR68" s="109"/>
      <c r="AS68" s="344"/>
      <c r="AT68" s="344"/>
      <c r="AU68" s="61"/>
      <c r="AV68" s="298"/>
      <c r="AX68" s="270"/>
      <c r="AY68" s="109"/>
      <c r="AZ68" s="373"/>
      <c r="BA68" s="344"/>
      <c r="BB68" s="344"/>
      <c r="BC68" s="61"/>
      <c r="BD68" s="298"/>
      <c r="BF68" s="270"/>
      <c r="BG68" s="109"/>
      <c r="BH68" s="109"/>
      <c r="BI68" s="344"/>
      <c r="BJ68" s="344"/>
      <c r="BK68" s="61"/>
      <c r="BL68" s="298"/>
    </row>
    <row r="69" ht="22.5" customHeight="1">
      <c r="A69" s="368"/>
      <c r="B69" s="270"/>
      <c r="C69" s="109"/>
      <c r="D69" s="373"/>
      <c r="E69" s="58"/>
      <c r="F69" s="58"/>
      <c r="G69" s="109"/>
      <c r="H69" s="298"/>
      <c r="J69" s="270"/>
      <c r="K69" s="109"/>
      <c r="L69" s="109"/>
      <c r="M69" s="58"/>
      <c r="N69" s="58"/>
      <c r="O69" s="109"/>
      <c r="P69" s="269"/>
      <c r="R69" s="270"/>
      <c r="S69" s="109"/>
      <c r="T69" s="109"/>
      <c r="U69" s="58"/>
      <c r="V69" s="58"/>
      <c r="W69" s="61"/>
      <c r="X69" s="298"/>
      <c r="Z69" s="270"/>
      <c r="AA69" s="109"/>
      <c r="AB69" s="109"/>
      <c r="AC69" s="58"/>
      <c r="AD69" s="58"/>
      <c r="AE69" s="109"/>
      <c r="AF69" s="298"/>
      <c r="AH69" s="270"/>
      <c r="AI69" s="109"/>
      <c r="AJ69" s="373"/>
      <c r="AK69" s="344"/>
      <c r="AL69" s="344"/>
      <c r="AM69" s="61"/>
      <c r="AN69" s="298"/>
      <c r="AP69" s="270"/>
      <c r="AQ69" s="109"/>
      <c r="AR69" s="109"/>
      <c r="AS69" s="344"/>
      <c r="AT69" s="344"/>
      <c r="AU69" s="61"/>
      <c r="AV69" s="298"/>
      <c r="AX69" s="270"/>
      <c r="AY69" s="109"/>
      <c r="AZ69" s="373"/>
      <c r="BA69" s="344"/>
      <c r="BB69" s="344"/>
      <c r="BC69" s="61"/>
      <c r="BD69" s="298"/>
      <c r="BF69" s="270"/>
      <c r="BG69" s="109"/>
      <c r="BH69" s="109"/>
      <c r="BI69" s="344"/>
      <c r="BJ69" s="344"/>
      <c r="BK69" s="61"/>
      <c r="BL69" s="298"/>
    </row>
    <row r="70" ht="22.5" customHeight="1">
      <c r="A70" s="368"/>
      <c r="B70" s="270"/>
      <c r="C70" s="109"/>
      <c r="D70" s="373"/>
      <c r="E70" s="58"/>
      <c r="F70" s="58"/>
      <c r="G70" s="61"/>
      <c r="H70" s="269"/>
      <c r="J70" s="270"/>
      <c r="K70" s="109"/>
      <c r="L70" s="109"/>
      <c r="M70" s="58"/>
      <c r="N70" s="58"/>
      <c r="O70" s="61"/>
      <c r="P70" s="269"/>
      <c r="R70" s="270"/>
      <c r="S70" s="109"/>
      <c r="T70" s="109"/>
      <c r="U70" s="58"/>
      <c r="V70" s="58"/>
      <c r="W70" s="61"/>
      <c r="X70" s="298"/>
      <c r="Z70" s="270"/>
      <c r="AA70" s="109"/>
      <c r="AB70" s="109"/>
      <c r="AC70" s="58"/>
      <c r="AD70" s="58"/>
      <c r="AE70" s="61"/>
      <c r="AF70" s="269"/>
      <c r="AH70" s="270"/>
      <c r="AI70" s="109"/>
      <c r="AJ70" s="373"/>
      <c r="AK70" s="344"/>
      <c r="AL70" s="344"/>
      <c r="AM70" s="61"/>
      <c r="AN70" s="298"/>
      <c r="AP70" s="270"/>
      <c r="AQ70" s="109"/>
      <c r="AR70" s="109"/>
      <c r="AS70" s="344"/>
      <c r="AT70" s="344"/>
      <c r="AU70" s="61"/>
      <c r="AV70" s="298"/>
      <c r="AX70" s="270"/>
      <c r="AY70" s="109"/>
      <c r="AZ70" s="373"/>
      <c r="BA70" s="344"/>
      <c r="BB70" s="344"/>
      <c r="BC70" s="61"/>
      <c r="BD70" s="298"/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270"/>
      <c r="C71" s="109"/>
      <c r="D71" s="373"/>
      <c r="E71" s="58"/>
      <c r="F71" s="58"/>
      <c r="G71" s="61"/>
      <c r="H71" s="269"/>
      <c r="J71" s="270"/>
      <c r="K71" s="109"/>
      <c r="L71" s="109"/>
      <c r="M71" s="58"/>
      <c r="N71" s="58"/>
      <c r="O71" s="61"/>
      <c r="P71" s="269"/>
      <c r="R71" s="270"/>
      <c r="S71" s="384"/>
      <c r="T71" s="109"/>
      <c r="U71" s="344"/>
      <c r="V71" s="344"/>
      <c r="W71" s="61"/>
      <c r="X71" s="298"/>
      <c r="Z71" s="270"/>
      <c r="AA71" s="109"/>
      <c r="AB71" s="109"/>
      <c r="AC71" s="58"/>
      <c r="AD71" s="58"/>
      <c r="AE71" s="61"/>
      <c r="AF71" s="269"/>
      <c r="AH71" s="270"/>
      <c r="AI71" s="109"/>
      <c r="AJ71" s="373"/>
      <c r="AK71" s="344"/>
      <c r="AL71" s="344"/>
      <c r="AM71" s="61"/>
      <c r="AN71" s="298"/>
      <c r="AP71" s="270"/>
      <c r="AQ71" s="109"/>
      <c r="AR71" s="109"/>
      <c r="AS71" s="344"/>
      <c r="AT71" s="344"/>
      <c r="AU71" s="61"/>
      <c r="AV71" s="298"/>
      <c r="AX71" s="270"/>
      <c r="AY71" s="109"/>
      <c r="AZ71" s="373"/>
      <c r="BA71" s="344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270"/>
      <c r="C72" s="109"/>
      <c r="D72" s="373"/>
      <c r="E72" s="58"/>
      <c r="F72" s="58"/>
      <c r="G72" s="61"/>
      <c r="H72" s="269"/>
      <c r="J72" s="270"/>
      <c r="K72" s="109"/>
      <c r="L72" s="109"/>
      <c r="M72" s="58"/>
      <c r="N72" s="58"/>
      <c r="O72" s="109"/>
      <c r="P72" s="269"/>
      <c r="R72" s="270"/>
      <c r="S72" s="384"/>
      <c r="T72" s="109"/>
      <c r="U72" s="344"/>
      <c r="V72" s="344"/>
      <c r="W72" s="61"/>
      <c r="X72" s="298"/>
      <c r="Z72" s="270"/>
      <c r="AA72" s="109"/>
      <c r="AB72" s="109"/>
      <c r="AC72" s="58"/>
      <c r="AD72" s="58"/>
      <c r="AE72" s="61"/>
      <c r="AF72" s="269"/>
      <c r="AH72" s="270"/>
      <c r="AI72" s="109"/>
      <c r="AJ72" s="373"/>
      <c r="AK72" s="344"/>
      <c r="AL72" s="344"/>
      <c r="AM72" s="61"/>
      <c r="AN72" s="298"/>
      <c r="AP72" s="270"/>
      <c r="AQ72" s="109"/>
      <c r="AR72" s="109"/>
      <c r="AS72" s="344"/>
      <c r="AT72" s="344"/>
      <c r="AU72" s="61"/>
      <c r="AV72" s="298"/>
      <c r="AX72" s="270"/>
      <c r="AY72" s="109"/>
      <c r="AZ72" s="373"/>
      <c r="BA72" s="344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270"/>
      <c r="C73" s="109"/>
      <c r="D73" s="373"/>
      <c r="E73" s="58"/>
      <c r="F73" s="58"/>
      <c r="G73" s="109"/>
      <c r="H73" s="298"/>
      <c r="J73" s="270"/>
      <c r="K73" s="109"/>
      <c r="L73" s="109"/>
      <c r="M73" s="58"/>
      <c r="N73" s="58"/>
      <c r="O73" s="109"/>
      <c r="P73" s="269"/>
      <c r="R73" s="270"/>
      <c r="S73" s="384"/>
      <c r="T73" s="109"/>
      <c r="U73" s="344"/>
      <c r="V73" s="344"/>
      <c r="W73" s="61"/>
      <c r="X73" s="298"/>
      <c r="Z73" s="270"/>
      <c r="AA73" s="109"/>
      <c r="AB73" s="109"/>
      <c r="AC73" s="58"/>
      <c r="AD73" s="58"/>
      <c r="AE73" s="61"/>
      <c r="AF73" s="269"/>
      <c r="AG73" s="429"/>
      <c r="AH73" s="270"/>
      <c r="AI73" s="109"/>
      <c r="AJ73" s="373"/>
      <c r="AK73" s="344"/>
      <c r="AL73" s="344"/>
      <c r="AM73" s="61"/>
      <c r="AN73" s="298"/>
      <c r="AP73" s="270"/>
      <c r="AQ73" s="109"/>
      <c r="AR73" s="109"/>
      <c r="AS73" s="344"/>
      <c r="AT73" s="344"/>
      <c r="AU73" s="61"/>
      <c r="AV73" s="298"/>
      <c r="AX73" s="270"/>
      <c r="AY73" s="109"/>
      <c r="AZ73" s="373"/>
      <c r="BA73" s="344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270"/>
      <c r="C74" s="109"/>
      <c r="D74" s="373"/>
      <c r="E74" s="58"/>
      <c r="F74" s="58"/>
      <c r="G74" s="61"/>
      <c r="H74" s="269"/>
      <c r="J74" s="270"/>
      <c r="K74" s="109"/>
      <c r="L74" s="109"/>
      <c r="M74" s="58"/>
      <c r="N74" s="58"/>
      <c r="O74" s="61"/>
      <c r="P74" s="269"/>
      <c r="R74" s="270"/>
      <c r="S74" s="384"/>
      <c r="T74" s="109"/>
      <c r="U74" s="344"/>
      <c r="V74" s="344"/>
      <c r="W74" s="109"/>
      <c r="X74" s="298"/>
      <c r="Z74" s="270"/>
      <c r="AA74" s="109"/>
      <c r="AB74" s="109"/>
      <c r="AC74" s="58"/>
      <c r="AD74" s="58"/>
      <c r="AE74" s="61"/>
      <c r="AF74" s="269"/>
      <c r="AH74" s="270"/>
      <c r="AI74" s="109"/>
      <c r="AJ74" s="373"/>
      <c r="AK74" s="344"/>
      <c r="AL74" s="344"/>
      <c r="AM74" s="61"/>
      <c r="AN74" s="298"/>
      <c r="AP74" s="270"/>
      <c r="AQ74" s="109"/>
      <c r="AR74" s="109"/>
      <c r="AS74" s="344"/>
      <c r="AT74" s="344"/>
      <c r="AU74" s="61"/>
      <c r="AV74" s="298"/>
      <c r="AX74" s="270"/>
      <c r="AY74" s="109"/>
      <c r="AZ74" s="373"/>
      <c r="BA74" s="344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270"/>
      <c r="C75" s="109"/>
      <c r="D75" s="373"/>
      <c r="E75" s="58"/>
      <c r="F75" s="58"/>
      <c r="G75" s="61"/>
      <c r="H75" s="269"/>
      <c r="J75" s="270"/>
      <c r="K75" s="109"/>
      <c r="L75" s="109"/>
      <c r="M75" s="58"/>
      <c r="N75" s="58"/>
      <c r="O75" s="109"/>
      <c r="P75" s="298"/>
      <c r="R75" s="270"/>
      <c r="S75" s="384"/>
      <c r="T75" s="109"/>
      <c r="U75" s="344"/>
      <c r="V75" s="344"/>
      <c r="W75" s="61"/>
      <c r="X75" s="298"/>
      <c r="Z75" s="270"/>
      <c r="AA75" s="109"/>
      <c r="AB75" s="109"/>
      <c r="AC75" s="58"/>
      <c r="AD75" s="58"/>
      <c r="AE75" s="61"/>
      <c r="AF75" s="269"/>
      <c r="AH75" s="270"/>
      <c r="AI75" s="109"/>
      <c r="AJ75" s="373"/>
      <c r="AK75" s="344"/>
      <c r="AL75" s="344"/>
      <c r="AM75" s="61"/>
      <c r="AN75" s="298"/>
      <c r="AP75" s="270"/>
      <c r="AQ75" s="109"/>
      <c r="AR75" s="109"/>
      <c r="AS75" s="344"/>
      <c r="AT75" s="344"/>
      <c r="AU75" s="61"/>
      <c r="AV75" s="298"/>
      <c r="AX75" s="270"/>
      <c r="AY75" s="109"/>
      <c r="AZ75" s="373"/>
      <c r="BA75" s="344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270"/>
      <c r="C76" s="109"/>
      <c r="D76" s="373"/>
      <c r="E76" s="58"/>
      <c r="F76" s="58"/>
      <c r="G76" s="61"/>
      <c r="H76" s="269"/>
      <c r="J76" s="270"/>
      <c r="K76" s="109"/>
      <c r="L76" s="490"/>
      <c r="M76" s="58"/>
      <c r="N76" s="58"/>
      <c r="O76" s="61"/>
      <c r="P76" s="269"/>
      <c r="R76" s="270"/>
      <c r="S76" s="384"/>
      <c r="T76" s="109"/>
      <c r="U76" s="344"/>
      <c r="V76" s="344"/>
      <c r="W76" s="61"/>
      <c r="X76" s="298"/>
      <c r="Z76" s="466"/>
      <c r="AA76" s="453"/>
      <c r="AB76" s="453"/>
      <c r="AC76" s="467"/>
      <c r="AD76" s="455"/>
      <c r="AE76" s="61"/>
      <c r="AF76" s="269"/>
      <c r="AH76" s="270"/>
      <c r="AI76" s="109"/>
      <c r="AJ76" s="373"/>
      <c r="AK76" s="344"/>
      <c r="AL76" s="344"/>
      <c r="AM76" s="61"/>
      <c r="AN76" s="298"/>
      <c r="AP76" s="270"/>
      <c r="AQ76" s="109"/>
      <c r="AR76" s="109"/>
      <c r="AS76" s="344"/>
      <c r="AT76" s="344"/>
      <c r="AU76" s="61"/>
      <c r="AV76" s="298"/>
      <c r="AX76" s="270"/>
      <c r="AY76" s="109"/>
      <c r="AZ76" s="373"/>
      <c r="BA76" s="344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270"/>
      <c r="C77" s="109"/>
      <c r="D77" s="373"/>
      <c r="E77" s="58"/>
      <c r="F77" s="58"/>
      <c r="G77" s="61"/>
      <c r="H77" s="269"/>
      <c r="J77" s="270"/>
      <c r="K77" s="109"/>
      <c r="L77" s="109"/>
      <c r="M77" s="58"/>
      <c r="N77" s="58"/>
      <c r="O77" s="61"/>
      <c r="P77" s="269"/>
      <c r="R77" s="270"/>
      <c r="S77" s="384"/>
      <c r="T77" s="109"/>
      <c r="U77" s="344"/>
      <c r="V77" s="344"/>
      <c r="W77" s="109"/>
      <c r="X77" s="298"/>
      <c r="Z77" s="468"/>
      <c r="AA77" s="450"/>
      <c r="AB77" s="450"/>
      <c r="AC77" s="471"/>
      <c r="AD77" s="452"/>
      <c r="AE77" s="61"/>
      <c r="AF77" s="269"/>
      <c r="AH77" s="270"/>
      <c r="AI77" s="109"/>
      <c r="AJ77" s="373"/>
      <c r="AK77" s="344"/>
      <c r="AL77" s="344"/>
      <c r="AM77" s="61"/>
      <c r="AN77" s="298"/>
      <c r="AP77" s="270"/>
      <c r="AQ77" s="109"/>
      <c r="AR77" s="109"/>
      <c r="AS77" s="344"/>
      <c r="AT77" s="344"/>
      <c r="AU77" s="61"/>
      <c r="AV77" s="298"/>
      <c r="AX77" s="270"/>
      <c r="AY77" s="109"/>
      <c r="AZ77" s="373"/>
      <c r="BA77" s="344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270"/>
      <c r="C78" s="109"/>
      <c r="D78" s="373"/>
      <c r="E78" s="58"/>
      <c r="F78" s="58"/>
      <c r="G78" s="61"/>
      <c r="H78" s="269"/>
      <c r="J78" s="270"/>
      <c r="K78" s="109"/>
      <c r="L78" s="109"/>
      <c r="M78" s="58"/>
      <c r="N78" s="58"/>
      <c r="O78" s="61"/>
      <c r="P78" s="269"/>
      <c r="R78" s="270"/>
      <c r="S78" s="384"/>
      <c r="T78" s="109"/>
      <c r="U78" s="344"/>
      <c r="V78" s="344"/>
      <c r="W78" s="61"/>
      <c r="X78" s="298"/>
      <c r="Z78" s="466"/>
      <c r="AA78" s="453"/>
      <c r="AB78" s="453"/>
      <c r="AC78" s="467"/>
      <c r="AD78" s="455"/>
      <c r="AE78" s="61"/>
      <c r="AF78" s="269"/>
      <c r="AH78" s="270"/>
      <c r="AI78" s="109"/>
      <c r="AJ78" s="373"/>
      <c r="AK78" s="344"/>
      <c r="AL78" s="344"/>
      <c r="AM78" s="61"/>
      <c r="AN78" s="298"/>
      <c r="AP78" s="270"/>
      <c r="AQ78" s="109"/>
      <c r="AR78" s="109"/>
      <c r="AS78" s="344"/>
      <c r="AT78" s="344"/>
      <c r="AU78" s="61"/>
      <c r="AV78" s="298"/>
      <c r="AX78" s="270"/>
      <c r="AY78" s="109"/>
      <c r="AZ78" s="373"/>
      <c r="BA78" s="344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270"/>
      <c r="C79" s="109"/>
      <c r="D79" s="373"/>
      <c r="E79" s="58"/>
      <c r="F79" s="58"/>
      <c r="G79" s="61"/>
      <c r="H79" s="269"/>
      <c r="J79" s="270"/>
      <c r="K79" s="109"/>
      <c r="L79" s="109"/>
      <c r="M79" s="58"/>
      <c r="N79" s="58"/>
      <c r="O79" s="61"/>
      <c r="P79" s="269"/>
      <c r="R79" s="270"/>
      <c r="S79" s="384"/>
      <c r="T79" s="109"/>
      <c r="U79" s="344"/>
      <c r="V79" s="344"/>
      <c r="W79" s="109"/>
      <c r="X79" s="298"/>
      <c r="Z79" s="468"/>
      <c r="AA79" s="450"/>
      <c r="AB79" s="450"/>
      <c r="AC79" s="471"/>
      <c r="AD79" s="452"/>
      <c r="AE79" s="61"/>
      <c r="AF79" s="269"/>
      <c r="AH79" s="270"/>
      <c r="AI79" s="109"/>
      <c r="AJ79" s="373"/>
      <c r="AK79" s="344"/>
      <c r="AL79" s="344"/>
      <c r="AM79" s="61"/>
      <c r="AN79" s="298"/>
      <c r="AP79" s="270"/>
      <c r="AQ79" s="109"/>
      <c r="AR79" s="109"/>
      <c r="AS79" s="344"/>
      <c r="AT79" s="344"/>
      <c r="AU79" s="61"/>
      <c r="AV79" s="298"/>
      <c r="AX79" s="270"/>
      <c r="AY79" s="109"/>
      <c r="AZ79" s="373"/>
      <c r="BA79" s="344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270"/>
      <c r="C80" s="109"/>
      <c r="D80" s="373"/>
      <c r="E80" s="58"/>
      <c r="F80" s="58"/>
      <c r="G80" s="61"/>
      <c r="H80" s="269"/>
      <c r="J80" s="270"/>
      <c r="K80" s="109"/>
      <c r="L80" s="109"/>
      <c r="M80" s="58"/>
      <c r="N80" s="58"/>
      <c r="O80" s="61"/>
      <c r="P80" s="269"/>
      <c r="R80" s="270"/>
      <c r="S80" s="384"/>
      <c r="T80" s="109"/>
      <c r="U80" s="344"/>
      <c r="V80" s="344"/>
      <c r="W80" s="61"/>
      <c r="X80" s="298"/>
      <c r="Z80" s="466"/>
      <c r="AA80" s="453"/>
      <c r="AB80" s="453"/>
      <c r="AC80" s="467"/>
      <c r="AD80" s="455"/>
      <c r="AE80" s="61"/>
      <c r="AF80" s="269"/>
      <c r="AG80" s="429"/>
      <c r="AH80" s="270"/>
      <c r="AI80" s="109"/>
      <c r="AJ80" s="373"/>
      <c r="AK80" s="344"/>
      <c r="AL80" s="344"/>
      <c r="AM80" s="61"/>
      <c r="AN80" s="298"/>
      <c r="AP80" s="270"/>
      <c r="AQ80" s="109"/>
      <c r="AR80" s="109"/>
      <c r="AS80" s="344"/>
      <c r="AT80" s="344"/>
      <c r="AU80" s="61"/>
      <c r="AV80" s="298"/>
      <c r="AX80" s="270"/>
      <c r="AY80" s="109"/>
      <c r="AZ80" s="373"/>
      <c r="BA80" s="344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270"/>
      <c r="C81" s="109"/>
      <c r="D81" s="373"/>
      <c r="E81" s="58"/>
      <c r="F81" s="58"/>
      <c r="G81" s="61"/>
      <c r="H81" s="269"/>
      <c r="J81" s="270"/>
      <c r="K81" s="109"/>
      <c r="L81" s="109"/>
      <c r="M81" s="58"/>
      <c r="N81" s="58"/>
      <c r="O81" s="61"/>
      <c r="P81" s="269"/>
      <c r="R81" s="270"/>
      <c r="S81" s="384"/>
      <c r="T81" s="109"/>
      <c r="U81" s="344"/>
      <c r="V81" s="344"/>
      <c r="W81" s="109"/>
      <c r="X81" s="298"/>
      <c r="Z81" s="449"/>
      <c r="AA81" s="453"/>
      <c r="AB81" s="450"/>
      <c r="AC81" s="471"/>
      <c r="AD81" s="452"/>
      <c r="AE81" s="61"/>
      <c r="AF81" s="269"/>
      <c r="AH81" s="270"/>
      <c r="AI81" s="109"/>
      <c r="AJ81" s="373"/>
      <c r="AK81" s="344"/>
      <c r="AL81" s="344"/>
      <c r="AM81" s="61"/>
      <c r="AN81" s="298"/>
      <c r="AP81" s="270"/>
      <c r="AQ81" s="109"/>
      <c r="AR81" s="109"/>
      <c r="AS81" s="344"/>
      <c r="AT81" s="344"/>
      <c r="AU81" s="61"/>
      <c r="AV81" s="298"/>
      <c r="AX81" s="270"/>
      <c r="AY81" s="109"/>
      <c r="AZ81" s="373"/>
      <c r="BA81" s="344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270"/>
      <c r="C82" s="109"/>
      <c r="D82" s="373"/>
      <c r="E82" s="58"/>
      <c r="F82" s="58"/>
      <c r="G82" s="61"/>
      <c r="H82" s="269"/>
      <c r="J82" s="270"/>
      <c r="K82" s="109"/>
      <c r="L82" s="109"/>
      <c r="M82" s="58"/>
      <c r="N82" s="58"/>
      <c r="O82" s="61"/>
      <c r="P82" s="269"/>
      <c r="R82" s="270"/>
      <c r="S82" s="384"/>
      <c r="T82" s="109"/>
      <c r="U82" s="344"/>
      <c r="V82" s="344"/>
      <c r="W82" s="61"/>
      <c r="X82" s="298"/>
      <c r="Z82" s="449"/>
      <c r="AA82" s="450"/>
      <c r="AB82" s="450"/>
      <c r="AC82" s="465"/>
      <c r="AD82" s="451"/>
      <c r="AE82" s="61"/>
      <c r="AF82" s="269"/>
      <c r="AH82" s="270"/>
      <c r="AI82" s="109"/>
      <c r="AJ82" s="373"/>
      <c r="AK82" s="344"/>
      <c r="AL82" s="344"/>
      <c r="AM82" s="61"/>
      <c r="AN82" s="298"/>
      <c r="AP82" s="270"/>
      <c r="AQ82" s="109"/>
      <c r="AR82" s="109"/>
      <c r="AS82" s="344"/>
      <c r="AT82" s="344"/>
      <c r="AU82" s="61"/>
      <c r="AV82" s="298"/>
      <c r="AX82" s="270"/>
      <c r="AY82" s="109"/>
      <c r="AZ82" s="373"/>
      <c r="BA82" s="344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270"/>
      <c r="C83" s="109"/>
      <c r="D83" s="373"/>
      <c r="E83" s="58"/>
      <c r="F83" s="58"/>
      <c r="G83" s="61"/>
      <c r="H83" s="269"/>
      <c r="J83" s="270"/>
      <c r="K83" s="109"/>
      <c r="L83" s="109"/>
      <c r="M83" s="58"/>
      <c r="N83" s="58"/>
      <c r="O83" s="61"/>
      <c r="P83" s="269"/>
      <c r="R83" s="270"/>
      <c r="S83" s="109"/>
      <c r="T83" s="109"/>
      <c r="U83" s="344"/>
      <c r="V83" s="344"/>
      <c r="W83" s="61"/>
      <c r="X83" s="298"/>
      <c r="Z83" s="449"/>
      <c r="AA83" s="453"/>
      <c r="AB83" s="453"/>
      <c r="AC83" s="462"/>
      <c r="AD83" s="454"/>
      <c r="AE83" s="61"/>
      <c r="AF83" s="269"/>
      <c r="AH83" s="270"/>
      <c r="AI83" s="109"/>
      <c r="AJ83" s="373"/>
      <c r="AK83" s="344"/>
      <c r="AL83" s="344"/>
      <c r="AM83" s="61"/>
      <c r="AN83" s="298"/>
      <c r="AP83" s="270"/>
      <c r="AQ83" s="109"/>
      <c r="AR83" s="109"/>
      <c r="AS83" s="344"/>
      <c r="AT83" s="344"/>
      <c r="AU83" s="61"/>
      <c r="AV83" s="298"/>
      <c r="AX83" s="270"/>
      <c r="AY83" s="109"/>
      <c r="AZ83" s="373"/>
      <c r="BA83" s="344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270"/>
      <c r="C84" s="109"/>
      <c r="D84" s="373"/>
      <c r="E84" s="58"/>
      <c r="F84" s="58"/>
      <c r="G84" s="61"/>
      <c r="H84" s="269"/>
      <c r="J84" s="270"/>
      <c r="K84" s="109"/>
      <c r="L84" s="109"/>
      <c r="M84" s="58"/>
      <c r="N84" s="58"/>
      <c r="O84" s="61"/>
      <c r="P84" s="269"/>
      <c r="R84" s="270"/>
      <c r="S84" s="109"/>
      <c r="T84" s="109"/>
      <c r="U84" s="344"/>
      <c r="V84" s="344"/>
      <c r="W84" s="61"/>
      <c r="X84" s="298"/>
      <c r="Z84" s="491"/>
      <c r="AA84" s="480"/>
      <c r="AB84" s="480"/>
      <c r="AC84" s="492"/>
      <c r="AD84" s="493"/>
      <c r="AE84" s="61"/>
      <c r="AF84" s="269"/>
      <c r="AH84" s="270"/>
      <c r="AI84" s="109"/>
      <c r="AJ84" s="373"/>
      <c r="AK84" s="344"/>
      <c r="AL84" s="344"/>
      <c r="AM84" s="61"/>
      <c r="AN84" s="298"/>
      <c r="AP84" s="270"/>
      <c r="AQ84" s="109"/>
      <c r="AR84" s="109"/>
      <c r="AS84" s="344"/>
      <c r="AT84" s="344"/>
      <c r="AU84" s="61"/>
      <c r="AV84" s="298"/>
      <c r="AX84" s="270"/>
      <c r="AY84" s="109"/>
      <c r="AZ84" s="373"/>
      <c r="BA84" s="344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270"/>
      <c r="C85" s="326"/>
      <c r="D85" s="326"/>
      <c r="E85" s="370"/>
      <c r="F85" s="370"/>
      <c r="G85" s="195"/>
      <c r="H85" s="371"/>
      <c r="J85" s="270"/>
      <c r="K85" s="109"/>
      <c r="L85" s="109"/>
      <c r="M85" s="58"/>
      <c r="N85" s="58"/>
      <c r="O85" s="61"/>
      <c r="P85" s="269"/>
      <c r="R85" s="270"/>
      <c r="S85" s="109"/>
      <c r="T85" s="109"/>
      <c r="U85" s="344"/>
      <c r="V85" s="344"/>
      <c r="W85" s="61"/>
      <c r="X85" s="298"/>
      <c r="Z85" s="270"/>
      <c r="AA85" s="109"/>
      <c r="AB85" s="109"/>
      <c r="AC85" s="58"/>
      <c r="AD85" s="58"/>
      <c r="AE85" s="109"/>
      <c r="AF85" s="298"/>
      <c r="AH85" s="270"/>
      <c r="AI85" s="109"/>
      <c r="AJ85" s="373"/>
      <c r="AK85" s="344"/>
      <c r="AL85" s="344"/>
      <c r="AM85" s="61"/>
      <c r="AN85" s="298"/>
      <c r="AP85" s="270"/>
      <c r="AQ85" s="109"/>
      <c r="AR85" s="109"/>
      <c r="AS85" s="344"/>
      <c r="AT85" s="344"/>
      <c r="AU85" s="61"/>
      <c r="AV85" s="298"/>
      <c r="AX85" s="270"/>
      <c r="AY85" s="109"/>
      <c r="AZ85" s="373"/>
      <c r="BA85" s="344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270"/>
      <c r="C86" s="326"/>
      <c r="D86" s="326"/>
      <c r="E86" s="370"/>
      <c r="F86" s="370"/>
      <c r="G86" s="195"/>
      <c r="H86" s="371"/>
      <c r="J86" s="270"/>
      <c r="K86" s="109"/>
      <c r="L86" s="109"/>
      <c r="M86" s="58"/>
      <c r="N86" s="58"/>
      <c r="O86" s="109"/>
      <c r="P86" s="269"/>
      <c r="R86" s="270"/>
      <c r="S86" s="109"/>
      <c r="T86" s="109"/>
      <c r="U86" s="344"/>
      <c r="V86" s="344"/>
      <c r="W86" s="61"/>
      <c r="X86" s="298"/>
      <c r="Z86" s="270"/>
      <c r="AA86" s="109"/>
      <c r="AB86" s="109"/>
      <c r="AC86" s="58"/>
      <c r="AD86" s="58"/>
      <c r="AE86" s="61"/>
      <c r="AF86" s="269"/>
      <c r="AH86" s="270"/>
      <c r="AI86" s="109"/>
      <c r="AJ86" s="373"/>
      <c r="AK86" s="344"/>
      <c r="AL86" s="344"/>
      <c r="AM86" s="61"/>
      <c r="AN86" s="298"/>
      <c r="AP86" s="270"/>
      <c r="AQ86" s="109"/>
      <c r="AR86" s="109"/>
      <c r="AS86" s="344"/>
      <c r="AT86" s="344"/>
      <c r="AU86" s="61"/>
      <c r="AV86" s="298"/>
      <c r="AX86" s="270"/>
      <c r="AY86" s="109"/>
      <c r="AZ86" s="373"/>
      <c r="BA86" s="344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270"/>
      <c r="C87" s="326"/>
      <c r="D87" s="326"/>
      <c r="E87" s="370"/>
      <c r="F87" s="370"/>
      <c r="G87" s="326"/>
      <c r="H87" s="371"/>
      <c r="J87" s="270"/>
      <c r="K87" s="109"/>
      <c r="L87" s="109"/>
      <c r="M87" s="58"/>
      <c r="N87" s="58"/>
      <c r="O87" s="109"/>
      <c r="P87" s="269"/>
      <c r="R87" s="270"/>
      <c r="S87" s="109"/>
      <c r="T87" s="109"/>
      <c r="U87" s="344"/>
      <c r="V87" s="344"/>
      <c r="W87" s="61"/>
      <c r="X87" s="298"/>
      <c r="Z87" s="270"/>
      <c r="AA87" s="109"/>
      <c r="AB87" s="109"/>
      <c r="AC87" s="58"/>
      <c r="AD87" s="58"/>
      <c r="AE87" s="61"/>
      <c r="AF87" s="269"/>
      <c r="AH87" s="270"/>
      <c r="AI87" s="109"/>
      <c r="AJ87" s="373"/>
      <c r="AK87" s="344"/>
      <c r="AL87" s="344"/>
      <c r="AM87" s="61"/>
      <c r="AN87" s="298"/>
      <c r="AP87" s="270"/>
      <c r="AQ87" s="109"/>
      <c r="AR87" s="109"/>
      <c r="AS87" s="344"/>
      <c r="AT87" s="344"/>
      <c r="AU87" s="61"/>
      <c r="AV87" s="298"/>
      <c r="AX87" s="270"/>
      <c r="AY87" s="109"/>
      <c r="AZ87" s="373"/>
      <c r="BA87" s="344"/>
      <c r="BB87" s="344"/>
      <c r="BC87" s="61"/>
      <c r="BD87" s="298"/>
      <c r="BF87" s="270"/>
      <c r="BG87" s="109"/>
      <c r="BH87" s="109"/>
      <c r="BI87" s="344"/>
      <c r="BJ87" s="344"/>
      <c r="BK87" s="61"/>
      <c r="BL87" s="298"/>
    </row>
    <row r="88" ht="22.5" customHeight="1">
      <c r="A88" s="368"/>
      <c r="B88" s="369"/>
      <c r="C88" s="326"/>
      <c r="D88" s="326"/>
      <c r="E88" s="370"/>
      <c r="F88" s="370"/>
      <c r="G88" s="195"/>
      <c r="H88" s="371"/>
      <c r="J88" s="270"/>
      <c r="K88" s="109"/>
      <c r="L88" s="109"/>
      <c r="M88" s="58"/>
      <c r="N88" s="58"/>
      <c r="O88" s="61"/>
      <c r="P88" s="269"/>
      <c r="R88" s="270"/>
      <c r="S88" s="109"/>
      <c r="T88" s="109"/>
      <c r="U88" s="344"/>
      <c r="V88" s="344"/>
      <c r="W88" s="61"/>
      <c r="X88" s="298"/>
      <c r="Z88" s="270"/>
      <c r="AA88" s="109"/>
      <c r="AB88" s="109"/>
      <c r="AC88" s="58"/>
      <c r="AD88" s="58"/>
      <c r="AE88" s="61"/>
      <c r="AF88" s="269"/>
      <c r="AH88" s="270"/>
      <c r="AI88" s="109"/>
      <c r="AJ88" s="373"/>
      <c r="AK88" s="344"/>
      <c r="AL88" s="344"/>
      <c r="AM88" s="61"/>
      <c r="AN88" s="298"/>
      <c r="AP88" s="270"/>
      <c r="AQ88" s="61"/>
      <c r="AR88" s="109"/>
      <c r="AS88" s="344"/>
      <c r="AT88" s="344"/>
      <c r="AU88" s="61"/>
      <c r="AV88" s="298"/>
      <c r="AX88" s="270"/>
      <c r="AY88" s="109"/>
      <c r="AZ88" s="373"/>
      <c r="BA88" s="344"/>
      <c r="BB88" s="344"/>
      <c r="BC88" s="61"/>
      <c r="BD88" s="298"/>
      <c r="BF88" s="270"/>
      <c r="BG88" s="61"/>
      <c r="BH88" s="109"/>
      <c r="BI88" s="344"/>
      <c r="BJ88" s="344"/>
      <c r="BK88" s="61"/>
      <c r="BL88" s="298"/>
    </row>
    <row r="89" ht="22.5" customHeight="1">
      <c r="A89" s="368"/>
      <c r="B89" s="369"/>
      <c r="C89" s="326"/>
      <c r="D89" s="326"/>
      <c r="E89" s="370"/>
      <c r="F89" s="370"/>
      <c r="G89" s="195"/>
      <c r="H89" s="371"/>
      <c r="J89" s="270"/>
      <c r="K89" s="109"/>
      <c r="L89" s="109"/>
      <c r="M89" s="58"/>
      <c r="N89" s="58"/>
      <c r="O89" s="61"/>
      <c r="P89" s="269"/>
      <c r="R89" s="270"/>
      <c r="S89" s="109"/>
      <c r="T89" s="109"/>
      <c r="U89" s="344"/>
      <c r="V89" s="344"/>
      <c r="W89" s="61"/>
      <c r="X89" s="298"/>
      <c r="Z89" s="270"/>
      <c r="AA89" s="109"/>
      <c r="AB89" s="109"/>
      <c r="AC89" s="58"/>
      <c r="AD89" s="58"/>
      <c r="AE89" s="61"/>
      <c r="AF89" s="269"/>
      <c r="AH89" s="270"/>
      <c r="AI89" s="109"/>
      <c r="AJ89" s="373"/>
      <c r="AK89" s="344"/>
      <c r="AL89" s="344"/>
      <c r="AM89" s="61"/>
      <c r="AN89" s="298"/>
      <c r="AP89" s="270"/>
      <c r="AQ89" s="61"/>
      <c r="AR89" s="61"/>
      <c r="AS89" s="81"/>
      <c r="AT89" s="344"/>
      <c r="AU89" s="61"/>
      <c r="AV89" s="298"/>
      <c r="AX89" s="270"/>
      <c r="AY89" s="109"/>
      <c r="AZ89" s="373"/>
      <c r="BA89" s="344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369"/>
      <c r="C90" s="326"/>
      <c r="D90" s="326"/>
      <c r="E90" s="370"/>
      <c r="F90" s="436"/>
      <c r="G90" s="195"/>
      <c r="H90" s="371"/>
      <c r="J90" s="270"/>
      <c r="K90" s="109"/>
      <c r="L90" s="109"/>
      <c r="M90" s="58"/>
      <c r="N90" s="58"/>
      <c r="O90" s="61"/>
      <c r="P90" s="269"/>
      <c r="R90" s="270"/>
      <c r="S90" s="109"/>
      <c r="T90" s="109"/>
      <c r="U90" s="344"/>
      <c r="V90" s="344"/>
      <c r="W90" s="109"/>
      <c r="X90" s="298"/>
      <c r="Z90" s="468"/>
      <c r="AA90" s="480"/>
      <c r="AB90" s="450"/>
      <c r="AC90" s="471"/>
      <c r="AD90" s="452"/>
      <c r="AE90" s="472"/>
      <c r="AF90" s="269"/>
      <c r="AH90" s="270"/>
      <c r="AI90" s="109"/>
      <c r="AJ90" s="373"/>
      <c r="AK90" s="344"/>
      <c r="AL90" s="344"/>
      <c r="AM90" s="61"/>
      <c r="AN90" s="298"/>
      <c r="AP90" s="270"/>
      <c r="AQ90" s="61"/>
      <c r="AR90" s="61"/>
      <c r="AS90" s="81"/>
      <c r="AT90" s="344"/>
      <c r="AU90" s="61"/>
      <c r="AV90" s="298"/>
      <c r="AX90" s="270"/>
      <c r="AY90" s="109"/>
      <c r="AZ90" s="373"/>
      <c r="BA90" s="344"/>
      <c r="BB90" s="344"/>
      <c r="BC90" s="61"/>
      <c r="BD90" s="298"/>
      <c r="BF90" s="270"/>
      <c r="BG90" s="61"/>
      <c r="BH90" s="61"/>
      <c r="BI90" s="81"/>
      <c r="BJ90" s="344"/>
      <c r="BK90" s="61"/>
      <c r="BL90" s="298"/>
    </row>
    <row r="91" ht="22.5" customHeight="1">
      <c r="A91" s="368"/>
      <c r="B91" s="437"/>
      <c r="C91" s="326"/>
      <c r="D91" s="326"/>
      <c r="E91" s="370"/>
      <c r="F91" s="436"/>
      <c r="G91" s="195"/>
      <c r="H91" s="371"/>
      <c r="J91" s="270"/>
      <c r="K91" s="109"/>
      <c r="L91" s="109"/>
      <c r="M91" s="58"/>
      <c r="N91" s="58"/>
      <c r="O91" s="61"/>
      <c r="P91" s="269"/>
      <c r="R91" s="270"/>
      <c r="S91" s="384"/>
      <c r="T91" s="109"/>
      <c r="U91" s="344"/>
      <c r="V91" s="344"/>
      <c r="W91" s="61"/>
      <c r="X91" s="298"/>
      <c r="Z91" s="466"/>
      <c r="AA91" s="453"/>
      <c r="AB91" s="453"/>
      <c r="AC91" s="467"/>
      <c r="AD91" s="455"/>
      <c r="AE91" s="470"/>
      <c r="AF91" s="269"/>
      <c r="AH91" s="270"/>
      <c r="AI91" s="109"/>
      <c r="AJ91" s="373"/>
      <c r="AK91" s="344"/>
      <c r="AL91" s="344"/>
      <c r="AM91" s="61"/>
      <c r="AN91" s="298"/>
      <c r="AP91" s="194"/>
      <c r="AQ91" s="61"/>
      <c r="AR91" s="61"/>
      <c r="AS91" s="81"/>
      <c r="AT91" s="344"/>
      <c r="AU91" s="61"/>
      <c r="AV91" s="298"/>
      <c r="AX91" s="270"/>
      <c r="AY91" s="109"/>
      <c r="AZ91" s="373"/>
      <c r="BA91" s="344"/>
      <c r="BB91" s="344"/>
      <c r="BC91" s="61"/>
      <c r="BD91" s="298"/>
      <c r="BF91" s="194"/>
      <c r="BG91" s="61"/>
      <c r="BH91" s="61"/>
      <c r="BI91" s="81"/>
      <c r="BJ91" s="344"/>
      <c r="BK91" s="61"/>
      <c r="BL91" s="298"/>
    </row>
    <row r="92" ht="22.5" customHeight="1">
      <c r="A92" s="368"/>
      <c r="B92" s="369"/>
      <c r="C92" s="326"/>
      <c r="D92" s="326"/>
      <c r="E92" s="370"/>
      <c r="F92" s="370"/>
      <c r="G92" s="326"/>
      <c r="H92" s="371"/>
      <c r="J92" s="270"/>
      <c r="K92" s="109"/>
      <c r="L92" s="109"/>
      <c r="M92" s="58"/>
      <c r="N92" s="58"/>
      <c r="O92" s="61"/>
      <c r="P92" s="269"/>
      <c r="R92" s="270"/>
      <c r="S92" s="384"/>
      <c r="T92" s="109"/>
      <c r="U92" s="344"/>
      <c r="V92" s="344"/>
      <c r="W92" s="61"/>
      <c r="X92" s="298"/>
      <c r="Z92" s="468"/>
      <c r="AA92" s="450"/>
      <c r="AB92" s="450"/>
      <c r="AC92" s="452"/>
      <c r="AD92" s="452"/>
      <c r="AE92" s="494"/>
      <c r="AF92" s="298"/>
      <c r="AH92" s="270"/>
      <c r="AI92" s="109"/>
      <c r="AJ92" s="373"/>
      <c r="AK92" s="344"/>
      <c r="AL92" s="344"/>
      <c r="AM92" s="61"/>
      <c r="AN92" s="298"/>
      <c r="AP92" s="194"/>
      <c r="AQ92" s="61"/>
      <c r="AR92" s="61"/>
      <c r="AS92" s="81"/>
      <c r="AT92" s="81"/>
      <c r="AU92" s="61"/>
      <c r="AV92" s="298"/>
      <c r="AX92" s="270"/>
      <c r="AY92" s="109"/>
      <c r="AZ92" s="373"/>
      <c r="BA92" s="344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/>
      <c r="C93" s="326"/>
      <c r="D93" s="326"/>
      <c r="E93" s="370"/>
      <c r="F93" s="370"/>
      <c r="G93" s="326"/>
      <c r="H93" s="386"/>
      <c r="J93" s="270"/>
      <c r="K93" s="109"/>
      <c r="L93" s="439"/>
      <c r="M93" s="271"/>
      <c r="N93" s="58"/>
      <c r="O93" s="61"/>
      <c r="P93" s="269"/>
      <c r="R93" s="270"/>
      <c r="S93" s="384"/>
      <c r="T93" s="109"/>
      <c r="U93" s="344"/>
      <c r="V93" s="344"/>
      <c r="W93" s="61"/>
      <c r="X93" s="298"/>
      <c r="Z93" s="466"/>
      <c r="AA93" s="453"/>
      <c r="AB93" s="453"/>
      <c r="AC93" s="467"/>
      <c r="AD93" s="455"/>
      <c r="AE93" s="470"/>
      <c r="AF93" s="269"/>
      <c r="AH93" s="270"/>
      <c r="AI93" s="109"/>
      <c r="AJ93" s="373"/>
      <c r="AK93" s="344"/>
      <c r="AL93" s="344"/>
      <c r="AM93" s="61"/>
      <c r="AN93" s="298"/>
      <c r="AP93" s="194"/>
      <c r="AQ93" s="61"/>
      <c r="AR93" s="61"/>
      <c r="AS93" s="81"/>
      <c r="AT93" s="81"/>
      <c r="AU93" s="61"/>
      <c r="AV93" s="298"/>
      <c r="AX93" s="270"/>
      <c r="AY93" s="109"/>
      <c r="AZ93" s="373"/>
      <c r="BA93" s="344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/>
      <c r="C94" s="326"/>
      <c r="D94" s="326"/>
      <c r="E94" s="370"/>
      <c r="F94" s="370"/>
      <c r="G94" s="195"/>
      <c r="H94" s="371"/>
      <c r="J94" s="270"/>
      <c r="K94" s="109"/>
      <c r="L94" s="440"/>
      <c r="M94" s="271"/>
      <c r="N94" s="58"/>
      <c r="O94" s="61"/>
      <c r="P94" s="269"/>
      <c r="R94" s="270"/>
      <c r="S94" s="384"/>
      <c r="T94" s="109"/>
      <c r="U94" s="344"/>
      <c r="V94" s="344"/>
      <c r="W94" s="61"/>
      <c r="X94" s="298"/>
      <c r="Z94" s="468"/>
      <c r="AA94" s="450"/>
      <c r="AB94" s="480"/>
      <c r="AC94" s="452"/>
      <c r="AD94" s="452"/>
      <c r="AE94" s="494"/>
      <c r="AF94" s="298"/>
      <c r="AH94" s="270"/>
      <c r="AI94" s="109"/>
      <c r="AJ94" s="373"/>
      <c r="AK94" s="344"/>
      <c r="AL94" s="344"/>
      <c r="AM94" s="61"/>
      <c r="AN94" s="298"/>
      <c r="AP94" s="194"/>
      <c r="AQ94" s="61"/>
      <c r="AR94" s="61"/>
      <c r="AS94" s="81"/>
      <c r="AT94" s="81"/>
      <c r="AU94" s="61"/>
      <c r="AV94" s="298"/>
      <c r="AX94" s="270"/>
      <c r="AY94" s="109"/>
      <c r="AZ94" s="373"/>
      <c r="BA94" s="344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/>
      <c r="C95" s="326"/>
      <c r="D95" s="326"/>
      <c r="E95" s="370"/>
      <c r="F95" s="370"/>
      <c r="G95" s="326"/>
      <c r="H95" s="371"/>
      <c r="J95" s="270"/>
      <c r="K95" s="109"/>
      <c r="L95" s="109"/>
      <c r="M95" s="271"/>
      <c r="N95" s="58"/>
      <c r="O95" s="61"/>
      <c r="P95" s="269"/>
      <c r="R95" s="270"/>
      <c r="S95" s="384"/>
      <c r="T95" s="109"/>
      <c r="U95" s="344"/>
      <c r="V95" s="344"/>
      <c r="W95" s="61"/>
      <c r="X95" s="298"/>
      <c r="Z95" s="270"/>
      <c r="AA95" s="109"/>
      <c r="AB95" s="109"/>
      <c r="AC95" s="271"/>
      <c r="AD95" s="58"/>
      <c r="AE95" s="109"/>
      <c r="AF95" s="269"/>
      <c r="AH95" s="270"/>
      <c r="AI95" s="109"/>
      <c r="AJ95" s="373"/>
      <c r="AK95" s="344"/>
      <c r="AL95" s="344"/>
      <c r="AM95" s="61"/>
      <c r="AN95" s="298"/>
      <c r="AP95" s="194"/>
      <c r="AQ95" s="61"/>
      <c r="AR95" s="61"/>
      <c r="AS95" s="81"/>
      <c r="AT95" s="81"/>
      <c r="AU95" s="61"/>
      <c r="AV95" s="298"/>
      <c r="AX95" s="270"/>
      <c r="AY95" s="109"/>
      <c r="AZ95" s="373"/>
      <c r="BA95" s="344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/>
      <c r="C96" s="326"/>
      <c r="D96" s="326"/>
      <c r="E96" s="370"/>
      <c r="F96" s="370"/>
      <c r="G96" s="326"/>
      <c r="H96" s="371"/>
      <c r="J96" s="270"/>
      <c r="K96" s="109"/>
      <c r="L96" s="109"/>
      <c r="M96" s="58"/>
      <c r="N96" s="58"/>
      <c r="O96" s="61"/>
      <c r="P96" s="269"/>
      <c r="R96" s="270"/>
      <c r="S96" s="384"/>
      <c r="T96" s="109"/>
      <c r="U96" s="344"/>
      <c r="V96" s="344"/>
      <c r="W96" s="61"/>
      <c r="X96" s="298"/>
      <c r="Z96" s="270"/>
      <c r="AA96" s="109"/>
      <c r="AB96" s="109"/>
      <c r="AC96" s="58"/>
      <c r="AD96" s="58"/>
      <c r="AE96" s="61"/>
      <c r="AF96" s="269"/>
      <c r="AH96" s="270"/>
      <c r="AI96" s="109"/>
      <c r="AJ96" s="373"/>
      <c r="AK96" s="344"/>
      <c r="AL96" s="344"/>
      <c r="AM96" s="61"/>
      <c r="AN96" s="298"/>
      <c r="AP96" s="194"/>
      <c r="AQ96" s="61"/>
      <c r="AR96" s="61"/>
      <c r="AS96" s="81"/>
      <c r="AT96" s="81"/>
      <c r="AU96" s="61"/>
      <c r="AV96" s="298"/>
      <c r="AX96" s="270"/>
      <c r="AY96" s="109"/>
      <c r="AZ96" s="373"/>
      <c r="BA96" s="344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/>
      <c r="C97" s="326"/>
      <c r="D97" s="326"/>
      <c r="E97" s="370"/>
      <c r="F97" s="370"/>
      <c r="G97" s="326"/>
      <c r="H97" s="386"/>
      <c r="J97" s="270"/>
      <c r="K97" s="109"/>
      <c r="L97" s="109"/>
      <c r="M97" s="58"/>
      <c r="N97" s="58"/>
      <c r="O97" s="61"/>
      <c r="P97" s="269"/>
      <c r="R97" s="270"/>
      <c r="S97" s="109"/>
      <c r="T97" s="109"/>
      <c r="U97" s="344"/>
      <c r="V97" s="344"/>
      <c r="W97" s="61"/>
      <c r="X97" s="298"/>
      <c r="Z97" s="270"/>
      <c r="AA97" s="109"/>
      <c r="AB97" s="109"/>
      <c r="AC97" s="58"/>
      <c r="AD97" s="58"/>
      <c r="AE97" s="61"/>
      <c r="AF97" s="269"/>
      <c r="AH97" s="270"/>
      <c r="AI97" s="109"/>
      <c r="AJ97" s="373"/>
      <c r="AK97" s="344"/>
      <c r="AL97" s="344"/>
      <c r="AM97" s="61"/>
      <c r="AN97" s="298"/>
      <c r="AP97" s="194"/>
      <c r="AQ97" s="61"/>
      <c r="AR97" s="61"/>
      <c r="AS97" s="81"/>
      <c r="AT97" s="81"/>
      <c r="AU97" s="61"/>
      <c r="AV97" s="298"/>
      <c r="AX97" s="270"/>
      <c r="AY97" s="109"/>
      <c r="AZ97" s="373"/>
      <c r="BA97" s="344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/>
      <c r="C98" s="326"/>
      <c r="D98" s="326"/>
      <c r="E98" s="370"/>
      <c r="F98" s="370"/>
      <c r="G98" s="326"/>
      <c r="H98" s="371"/>
      <c r="J98" s="270"/>
      <c r="K98" s="109"/>
      <c r="L98" s="109"/>
      <c r="M98" s="58"/>
      <c r="N98" s="58"/>
      <c r="O98" s="61"/>
      <c r="P98" s="269"/>
      <c r="R98" s="270"/>
      <c r="S98" s="109"/>
      <c r="T98" s="109"/>
      <c r="U98" s="344"/>
      <c r="V98" s="344"/>
      <c r="W98" s="61"/>
      <c r="X98" s="298"/>
      <c r="Z98" s="270"/>
      <c r="AA98" s="109"/>
      <c r="AB98" s="109"/>
      <c r="AC98" s="58"/>
      <c r="AD98" s="58"/>
      <c r="AE98" s="61"/>
      <c r="AF98" s="269"/>
      <c r="AH98" s="270"/>
      <c r="AI98" s="109"/>
      <c r="AJ98" s="373"/>
      <c r="AK98" s="344"/>
      <c r="AL98" s="344"/>
      <c r="AM98" s="61"/>
      <c r="AN98" s="298"/>
      <c r="AP98" s="194"/>
      <c r="AQ98" s="61"/>
      <c r="AR98" s="61"/>
      <c r="AS98" s="81"/>
      <c r="AT98" s="81"/>
      <c r="AU98" s="61"/>
      <c r="AV98" s="298"/>
      <c r="AX98" s="270"/>
      <c r="AY98" s="109"/>
      <c r="AZ98" s="373"/>
      <c r="BA98" s="344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/>
      <c r="C99" s="326"/>
      <c r="D99" s="326"/>
      <c r="E99" s="370"/>
      <c r="F99" s="370"/>
      <c r="G99" s="326"/>
      <c r="H99" s="371"/>
      <c r="J99" s="270"/>
      <c r="K99" s="109"/>
      <c r="L99" s="109"/>
      <c r="M99" s="58"/>
      <c r="N99" s="58"/>
      <c r="O99" s="61"/>
      <c r="P99" s="269"/>
      <c r="R99" s="270"/>
      <c r="S99" s="109"/>
      <c r="T99" s="109"/>
      <c r="U99" s="344"/>
      <c r="V99" s="344"/>
      <c r="W99" s="61"/>
      <c r="X99" s="298"/>
      <c r="Z99" s="270"/>
      <c r="AA99" s="109"/>
      <c r="AB99" s="109"/>
      <c r="AC99" s="58"/>
      <c r="AD99" s="58"/>
      <c r="AE99" s="61"/>
      <c r="AF99" s="269"/>
      <c r="AH99" s="270"/>
      <c r="AI99" s="109"/>
      <c r="AJ99" s="373"/>
      <c r="AK99" s="344"/>
      <c r="AL99" s="344"/>
      <c r="AM99" s="61"/>
      <c r="AN99" s="298"/>
      <c r="AP99" s="194"/>
      <c r="AQ99" s="61"/>
      <c r="AR99" s="61"/>
      <c r="AS99" s="81"/>
      <c r="AT99" s="81"/>
      <c r="AU99" s="61"/>
      <c r="AV99" s="298"/>
      <c r="AX99" s="270"/>
      <c r="AY99" s="109"/>
      <c r="AZ99" s="373"/>
      <c r="BA99" s="344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/>
      <c r="C100" s="326"/>
      <c r="D100" s="326"/>
      <c r="E100" s="370"/>
      <c r="F100" s="370"/>
      <c r="G100" s="326"/>
      <c r="H100" s="371"/>
      <c r="J100" s="270"/>
      <c r="K100" s="109"/>
      <c r="L100" s="109"/>
      <c r="M100" s="58"/>
      <c r="N100" s="58"/>
      <c r="O100" s="61"/>
      <c r="P100" s="269"/>
      <c r="R100" s="270"/>
      <c r="S100" s="109"/>
      <c r="T100" s="109"/>
      <c r="U100" s="344"/>
      <c r="V100" s="344"/>
      <c r="W100" s="61"/>
      <c r="X100" s="298"/>
      <c r="Z100" s="270"/>
      <c r="AA100" s="109"/>
      <c r="AB100" s="109"/>
      <c r="AC100" s="58"/>
      <c r="AD100" s="58"/>
      <c r="AE100" s="61"/>
      <c r="AF100" s="269"/>
      <c r="AH100" s="270"/>
      <c r="AI100" s="109"/>
      <c r="AJ100" s="373"/>
      <c r="AK100" s="344"/>
      <c r="AL100" s="344"/>
      <c r="AM100" s="61"/>
      <c r="AN100" s="298"/>
      <c r="AP100" s="194"/>
      <c r="AQ100" s="61"/>
      <c r="AR100" s="61"/>
      <c r="AS100" s="81"/>
      <c r="AT100" s="81"/>
      <c r="AU100" s="61"/>
      <c r="AV100" s="298"/>
      <c r="AX100" s="270"/>
      <c r="AY100" s="109"/>
      <c r="AZ100" s="373"/>
      <c r="BA100" s="344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/>
      <c r="C101" s="326"/>
      <c r="D101" s="326"/>
      <c r="E101" s="370"/>
      <c r="F101" s="370"/>
      <c r="G101" s="326"/>
      <c r="H101" s="371"/>
      <c r="J101" s="270"/>
      <c r="K101" s="109"/>
      <c r="L101" s="109"/>
      <c r="M101" s="58"/>
      <c r="N101" s="58"/>
      <c r="O101" s="61"/>
      <c r="P101" s="269"/>
      <c r="R101" s="270"/>
      <c r="S101" s="109"/>
      <c r="T101" s="109"/>
      <c r="U101" s="344"/>
      <c r="V101" s="344"/>
      <c r="W101" s="61"/>
      <c r="X101" s="298"/>
      <c r="Z101" s="270"/>
      <c r="AA101" s="109"/>
      <c r="AB101" s="109"/>
      <c r="AC101" s="58"/>
      <c r="AD101" s="58"/>
      <c r="AE101" s="61"/>
      <c r="AF101" s="269"/>
      <c r="AH101" s="270"/>
      <c r="AI101" s="109"/>
      <c r="AJ101" s="373"/>
      <c r="AK101" s="344"/>
      <c r="AL101" s="344"/>
      <c r="AM101" s="61"/>
      <c r="AN101" s="298"/>
      <c r="AP101" s="194"/>
      <c r="AQ101" s="61"/>
      <c r="AR101" s="61"/>
      <c r="AS101" s="81"/>
      <c r="AT101" s="81"/>
      <c r="AU101" s="61"/>
      <c r="AV101" s="298"/>
      <c r="AX101" s="270"/>
      <c r="AY101" s="109"/>
      <c r="AZ101" s="373"/>
      <c r="BA101" s="344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/>
      <c r="C102" s="326"/>
      <c r="D102" s="326"/>
      <c r="E102" s="370"/>
      <c r="F102" s="370"/>
      <c r="G102" s="195"/>
      <c r="H102" s="371"/>
      <c r="J102" s="270"/>
      <c r="K102" s="109"/>
      <c r="L102" s="109"/>
      <c r="M102" s="58"/>
      <c r="N102" s="58"/>
      <c r="O102" s="61"/>
      <c r="P102" s="269"/>
      <c r="R102" s="194"/>
      <c r="S102" s="61"/>
      <c r="T102" s="61"/>
      <c r="U102" s="81"/>
      <c r="V102" s="81"/>
      <c r="W102" s="61"/>
      <c r="X102" s="298"/>
      <c r="Z102" s="270"/>
      <c r="AA102" s="109"/>
      <c r="AB102" s="109"/>
      <c r="AC102" s="58"/>
      <c r="AD102" s="58"/>
      <c r="AE102" s="61"/>
      <c r="AF102" s="269"/>
      <c r="AH102" s="270"/>
      <c r="AI102" s="109"/>
      <c r="AJ102" s="373"/>
      <c r="AK102" s="344"/>
      <c r="AL102" s="344"/>
      <c r="AM102" s="61"/>
      <c r="AN102" s="298"/>
      <c r="AP102" s="194"/>
      <c r="AQ102" s="61"/>
      <c r="AR102" s="61"/>
      <c r="AS102" s="81"/>
      <c r="AT102" s="81"/>
      <c r="AU102" s="61"/>
      <c r="AV102" s="298"/>
      <c r="AX102" s="270"/>
      <c r="AY102" s="109"/>
      <c r="AZ102" s="373"/>
      <c r="BA102" s="344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/>
      <c r="C103" s="326"/>
      <c r="D103" s="326"/>
      <c r="E103" s="370"/>
      <c r="F103" s="370"/>
      <c r="G103" s="326"/>
      <c r="H103" s="371"/>
      <c r="J103" s="270"/>
      <c r="K103" s="109"/>
      <c r="L103" s="109"/>
      <c r="M103" s="58"/>
      <c r="N103" s="58"/>
      <c r="O103" s="61"/>
      <c r="P103" s="269"/>
      <c r="R103" s="194"/>
      <c r="S103" s="61"/>
      <c r="T103" s="61"/>
      <c r="U103" s="81"/>
      <c r="V103" s="81"/>
      <c r="W103" s="61"/>
      <c r="X103" s="298"/>
      <c r="Z103" s="449"/>
      <c r="AA103" s="453"/>
      <c r="AB103" s="453"/>
      <c r="AC103" s="452"/>
      <c r="AD103" s="452"/>
      <c r="AE103" s="61"/>
      <c r="AF103" s="269"/>
      <c r="AH103" s="270"/>
      <c r="AI103" s="109"/>
      <c r="AJ103" s="373"/>
      <c r="AK103" s="344"/>
      <c r="AL103" s="344"/>
      <c r="AM103" s="61"/>
      <c r="AN103" s="298"/>
      <c r="AP103" s="194"/>
      <c r="AQ103" s="61"/>
      <c r="AR103" s="61"/>
      <c r="AS103" s="81"/>
      <c r="AT103" s="81"/>
      <c r="AU103" s="61"/>
      <c r="AV103" s="298"/>
      <c r="AX103" s="270"/>
      <c r="AY103" s="109"/>
      <c r="AZ103" s="373"/>
      <c r="BA103" s="344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/>
      <c r="C104" s="326"/>
      <c r="D104" s="326"/>
      <c r="E104" s="370"/>
      <c r="F104" s="370"/>
      <c r="G104" s="326"/>
      <c r="H104" s="371"/>
      <c r="J104" s="270"/>
      <c r="K104" s="109"/>
      <c r="L104" s="109"/>
      <c r="M104" s="58"/>
      <c r="N104" s="58"/>
      <c r="O104" s="61"/>
      <c r="P104" s="269"/>
      <c r="R104" s="194"/>
      <c r="S104" s="61"/>
      <c r="T104" s="61"/>
      <c r="U104" s="81"/>
      <c r="V104" s="81"/>
      <c r="W104" s="61"/>
      <c r="X104" s="298"/>
      <c r="Z104" s="449"/>
      <c r="AA104" s="450"/>
      <c r="AB104" s="450"/>
      <c r="AC104" s="451"/>
      <c r="AD104" s="451"/>
      <c r="AE104" s="61"/>
      <c r="AF104" s="269"/>
      <c r="AH104" s="270"/>
      <c r="AI104" s="109"/>
      <c r="AJ104" s="373"/>
      <c r="AK104" s="344"/>
      <c r="AL104" s="344"/>
      <c r="AM104" s="61"/>
      <c r="AN104" s="298"/>
      <c r="AP104" s="194"/>
      <c r="AQ104" s="61"/>
      <c r="AR104" s="61"/>
      <c r="AS104" s="81"/>
      <c r="AT104" s="81"/>
      <c r="AU104" s="61"/>
      <c r="AV104" s="298"/>
      <c r="AX104" s="270"/>
      <c r="AY104" s="109"/>
      <c r="AZ104" s="373"/>
      <c r="BA104" s="344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/>
      <c r="C105" s="326"/>
      <c r="D105" s="326"/>
      <c r="E105" s="370"/>
      <c r="F105" s="370"/>
      <c r="G105" s="326"/>
      <c r="H105" s="371"/>
      <c r="J105" s="270"/>
      <c r="K105" s="109"/>
      <c r="L105" s="109"/>
      <c r="M105" s="58"/>
      <c r="N105" s="58"/>
      <c r="O105" s="61"/>
      <c r="P105" s="269"/>
      <c r="R105" s="194"/>
      <c r="S105" s="61"/>
      <c r="T105" s="61"/>
      <c r="U105" s="81"/>
      <c r="V105" s="81"/>
      <c r="W105" s="61"/>
      <c r="X105" s="298"/>
      <c r="Z105" s="449"/>
      <c r="AA105" s="453"/>
      <c r="AB105" s="453"/>
      <c r="AC105" s="454"/>
      <c r="AD105" s="454"/>
      <c r="AE105" s="109"/>
      <c r="AF105" s="269"/>
      <c r="AH105" s="270"/>
      <c r="AI105" s="109"/>
      <c r="AJ105" s="373"/>
      <c r="AK105" s="344"/>
      <c r="AL105" s="344"/>
      <c r="AM105" s="61"/>
      <c r="AN105" s="298"/>
      <c r="AP105" s="194"/>
      <c r="AQ105" s="61"/>
      <c r="AR105" s="61"/>
      <c r="AS105" s="81"/>
      <c r="AT105" s="81"/>
      <c r="AU105" s="61"/>
      <c r="AV105" s="298"/>
      <c r="AX105" s="270"/>
      <c r="AY105" s="109"/>
      <c r="AZ105" s="373"/>
      <c r="BA105" s="344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/>
      <c r="C106" s="326"/>
      <c r="D106" s="326"/>
      <c r="E106" s="370"/>
      <c r="F106" s="370"/>
      <c r="G106" s="195"/>
      <c r="H106" s="371"/>
      <c r="J106" s="270"/>
      <c r="K106" s="109"/>
      <c r="L106" s="297"/>
      <c r="M106" s="58"/>
      <c r="N106" s="58"/>
      <c r="O106" s="61"/>
      <c r="P106" s="269"/>
      <c r="R106" s="194"/>
      <c r="S106" s="61"/>
      <c r="T106" s="61"/>
      <c r="U106" s="81"/>
      <c r="V106" s="81"/>
      <c r="W106" s="61"/>
      <c r="X106" s="298"/>
      <c r="Z106" s="449"/>
      <c r="AA106" s="450"/>
      <c r="AB106" s="450"/>
      <c r="AC106" s="451"/>
      <c r="AD106" s="454"/>
      <c r="AE106" s="61"/>
      <c r="AF106" s="269"/>
      <c r="AH106" s="270"/>
      <c r="AI106" s="109"/>
      <c r="AJ106" s="373"/>
      <c r="AK106" s="344"/>
      <c r="AL106" s="344"/>
      <c r="AM106" s="61"/>
      <c r="AN106" s="298"/>
      <c r="AP106" s="194"/>
      <c r="AQ106" s="61"/>
      <c r="AR106" s="61"/>
      <c r="AS106" s="81"/>
      <c r="AT106" s="81"/>
      <c r="AU106" s="61"/>
      <c r="AV106" s="298"/>
      <c r="AX106" s="270"/>
      <c r="AY106" s="109"/>
      <c r="AZ106" s="373"/>
      <c r="BA106" s="344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/>
      <c r="C107" s="326"/>
      <c r="D107" s="326"/>
      <c r="E107" s="370"/>
      <c r="F107" s="370"/>
      <c r="G107" s="195"/>
      <c r="H107" s="371"/>
      <c r="J107" s="270"/>
      <c r="K107" s="109"/>
      <c r="L107" s="109"/>
      <c r="M107" s="58"/>
      <c r="N107" s="58"/>
      <c r="O107" s="109"/>
      <c r="P107" s="269"/>
      <c r="R107" s="194"/>
      <c r="S107" s="61"/>
      <c r="T107" s="61"/>
      <c r="U107" s="81"/>
      <c r="V107" s="81"/>
      <c r="W107" s="61"/>
      <c r="X107" s="298"/>
      <c r="Z107" s="449"/>
      <c r="AA107" s="453"/>
      <c r="AB107" s="453"/>
      <c r="AC107" s="455"/>
      <c r="AD107" s="495"/>
      <c r="AE107" s="109"/>
      <c r="AF107" s="298"/>
      <c r="AH107" s="270"/>
      <c r="AI107" s="109"/>
      <c r="AJ107" s="373"/>
      <c r="AK107" s="344"/>
      <c r="AL107" s="344"/>
      <c r="AM107" s="61"/>
      <c r="AN107" s="298"/>
      <c r="AP107" s="194"/>
      <c r="AQ107" s="61"/>
      <c r="AR107" s="61"/>
      <c r="AS107" s="81"/>
      <c r="AT107" s="81"/>
      <c r="AU107" s="61"/>
      <c r="AV107" s="298"/>
      <c r="AX107" s="270"/>
      <c r="AY107" s="109"/>
      <c r="AZ107" s="373"/>
      <c r="BA107" s="344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/>
      <c r="C108" s="326"/>
      <c r="D108" s="326"/>
      <c r="E108" s="370"/>
      <c r="F108" s="370"/>
      <c r="G108" s="195"/>
      <c r="H108" s="371"/>
      <c r="J108" s="270"/>
      <c r="K108" s="109"/>
      <c r="L108" s="109"/>
      <c r="M108" s="58"/>
      <c r="N108" s="58"/>
      <c r="O108" s="61"/>
      <c r="P108" s="269"/>
      <c r="R108" s="194"/>
      <c r="S108" s="61"/>
      <c r="T108" s="61"/>
      <c r="U108" s="81"/>
      <c r="V108" s="81"/>
      <c r="W108" s="61"/>
      <c r="X108" s="298"/>
      <c r="Z108" s="270"/>
      <c r="AA108" s="109"/>
      <c r="AB108" s="109"/>
      <c r="AC108" s="58"/>
      <c r="AD108" s="58"/>
      <c r="AE108" s="109"/>
      <c r="AF108" s="298"/>
      <c r="AH108" s="270"/>
      <c r="AI108" s="109"/>
      <c r="AJ108" s="373"/>
      <c r="AK108" s="344"/>
      <c r="AL108" s="344"/>
      <c r="AM108" s="61"/>
      <c r="AN108" s="298"/>
      <c r="AP108" s="194"/>
      <c r="AQ108" s="61"/>
      <c r="AR108" s="61"/>
      <c r="AS108" s="81"/>
      <c r="AT108" s="81"/>
      <c r="AU108" s="61"/>
      <c r="AV108" s="298"/>
      <c r="AX108" s="270"/>
      <c r="AY108" s="109"/>
      <c r="AZ108" s="373"/>
      <c r="BA108" s="344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/>
      <c r="C109" s="326"/>
      <c r="D109" s="326"/>
      <c r="E109" s="370"/>
      <c r="F109" s="370"/>
      <c r="G109" s="195"/>
      <c r="H109" s="371"/>
      <c r="J109" s="369"/>
      <c r="K109" s="443"/>
      <c r="L109" s="326"/>
      <c r="M109" s="370"/>
      <c r="N109" s="370"/>
      <c r="O109" s="195"/>
      <c r="P109" s="371"/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344"/>
      <c r="AL109" s="344"/>
      <c r="AM109" s="61"/>
      <c r="AN109" s="298"/>
      <c r="AP109" s="194"/>
      <c r="AQ109" s="61"/>
      <c r="AR109" s="61"/>
      <c r="AS109" s="81"/>
      <c r="AT109" s="81"/>
      <c r="AU109" s="61"/>
      <c r="AV109" s="298"/>
      <c r="AX109" s="270"/>
      <c r="AY109" s="109"/>
      <c r="AZ109" s="373"/>
      <c r="BA109" s="344"/>
      <c r="BB109" s="344"/>
      <c r="BC109" s="61"/>
      <c r="BD109" s="298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/>
      <c r="C110" s="326"/>
      <c r="D110" s="326"/>
      <c r="E110" s="370"/>
      <c r="F110" s="370"/>
      <c r="G110" s="195"/>
      <c r="H110" s="371"/>
      <c r="J110" s="369"/>
      <c r="K110" s="326"/>
      <c r="L110" s="326"/>
      <c r="M110" s="370"/>
      <c r="N110" s="370"/>
      <c r="O110" s="326"/>
      <c r="P110" s="386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98"/>
      <c r="AH110" s="270"/>
      <c r="AI110" s="109"/>
      <c r="AJ110" s="373"/>
      <c r="AK110" s="344"/>
      <c r="AL110" s="344"/>
      <c r="AM110" s="61"/>
      <c r="AN110" s="298"/>
      <c r="AP110" s="194"/>
      <c r="AQ110" s="61"/>
      <c r="AR110" s="61"/>
      <c r="AS110" s="81"/>
      <c r="AT110" s="81"/>
      <c r="AU110" s="61"/>
      <c r="AV110" s="298"/>
      <c r="AX110" s="270"/>
      <c r="AY110" s="109"/>
      <c r="AZ110" s="373"/>
      <c r="BA110" s="344"/>
      <c r="BB110" s="344"/>
      <c r="BC110" s="61"/>
      <c r="BD110" s="298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/>
      <c r="C111" s="326"/>
      <c r="D111" s="326"/>
      <c r="E111" s="370"/>
      <c r="F111" s="370"/>
      <c r="G111" s="326"/>
      <c r="H111" s="371"/>
      <c r="J111" s="369"/>
      <c r="K111" s="109"/>
      <c r="L111" s="109"/>
      <c r="M111" s="58"/>
      <c r="N111" s="58"/>
      <c r="O111" s="61"/>
      <c r="P111" s="269"/>
      <c r="R111" s="194"/>
      <c r="S111" s="61"/>
      <c r="T111" s="61"/>
      <c r="U111" s="81"/>
      <c r="V111" s="81"/>
      <c r="W111" s="61"/>
      <c r="X111" s="298"/>
      <c r="Z111" s="194"/>
      <c r="AA111" s="61"/>
      <c r="AB111" s="61"/>
      <c r="AC111" s="81"/>
      <c r="AD111" s="81"/>
      <c r="AE111" s="61"/>
      <c r="AF111" s="298"/>
      <c r="AH111" s="270"/>
      <c r="AI111" s="109"/>
      <c r="AJ111" s="373"/>
      <c r="AK111" s="344"/>
      <c r="AL111" s="344"/>
      <c r="AM111" s="61"/>
      <c r="AN111" s="298"/>
      <c r="AP111" s="194"/>
      <c r="AQ111" s="61"/>
      <c r="AR111" s="61"/>
      <c r="AS111" s="81"/>
      <c r="AT111" s="81"/>
      <c r="AU111" s="61"/>
      <c r="AV111" s="298"/>
      <c r="AX111" s="270"/>
      <c r="AY111" s="109"/>
      <c r="AZ111" s="373"/>
      <c r="BA111" s="344"/>
      <c r="BB111" s="344"/>
      <c r="BC111" s="61"/>
      <c r="BD111" s="298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/>
      <c r="C112" s="326"/>
      <c r="D112" s="326"/>
      <c r="E112" s="370"/>
      <c r="F112" s="370"/>
      <c r="G112" s="326"/>
      <c r="H112" s="371"/>
      <c r="J112" s="270"/>
      <c r="K112" s="109"/>
      <c r="L112" s="109"/>
      <c r="M112" s="344"/>
      <c r="N112" s="344"/>
      <c r="O112" s="61"/>
      <c r="P112" s="298"/>
      <c r="R112" s="270"/>
      <c r="S112" s="109"/>
      <c r="T112" s="109"/>
      <c r="U112" s="58"/>
      <c r="V112" s="58"/>
      <c r="W112" s="61"/>
      <c r="X112" s="298"/>
      <c r="Z112" s="194"/>
      <c r="AA112" s="61"/>
      <c r="AB112" s="61"/>
      <c r="AC112" s="81"/>
      <c r="AD112" s="81"/>
      <c r="AE112" s="61"/>
      <c r="AF112" s="298"/>
      <c r="AH112" s="270"/>
      <c r="AI112" s="109"/>
      <c r="AJ112" s="373"/>
      <c r="AK112" s="344"/>
      <c r="AL112" s="344"/>
      <c r="AM112" s="61"/>
      <c r="AN112" s="298"/>
      <c r="AP112" s="194"/>
      <c r="AQ112" s="61"/>
      <c r="AR112" s="61"/>
      <c r="AS112" s="81"/>
      <c r="AT112" s="81"/>
      <c r="AU112" s="61"/>
      <c r="AV112" s="298"/>
      <c r="AX112" s="270"/>
      <c r="AY112" s="109"/>
      <c r="AZ112" s="373"/>
      <c r="BA112" s="344"/>
      <c r="BB112" s="344"/>
      <c r="BC112" s="61"/>
      <c r="BD112" s="298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/>
      <c r="C113" s="326"/>
      <c r="D113" s="326"/>
      <c r="E113" s="370"/>
      <c r="F113" s="370"/>
      <c r="G113" s="195"/>
      <c r="H113" s="371"/>
      <c r="J113" s="194"/>
      <c r="K113" s="61"/>
      <c r="L113" s="61"/>
      <c r="M113" s="81"/>
      <c r="N113" s="81"/>
      <c r="O113" s="61"/>
      <c r="P113" s="298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98"/>
      <c r="AH113" s="270"/>
      <c r="AI113" s="109"/>
      <c r="AJ113" s="373"/>
      <c r="AK113" s="344"/>
      <c r="AL113" s="344"/>
      <c r="AM113" s="61"/>
      <c r="AN113" s="298"/>
      <c r="AP113" s="194"/>
      <c r="AQ113" s="61"/>
      <c r="AR113" s="61"/>
      <c r="AS113" s="81"/>
      <c r="AT113" s="81"/>
      <c r="AU113" s="61"/>
      <c r="AV113" s="298"/>
      <c r="AX113" s="270"/>
      <c r="AY113" s="109"/>
      <c r="AZ113" s="373"/>
      <c r="BA113" s="344"/>
      <c r="BB113" s="344"/>
      <c r="BC113" s="61"/>
      <c r="BD113" s="298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/>
      <c r="C114" s="326"/>
      <c r="D114" s="326"/>
      <c r="E114" s="370"/>
      <c r="F114" s="370"/>
      <c r="G114" s="195"/>
      <c r="H114" s="371"/>
      <c r="J114" s="194"/>
      <c r="K114" s="61"/>
      <c r="L114" s="61"/>
      <c r="M114" s="81"/>
      <c r="N114" s="81"/>
      <c r="O114" s="61"/>
      <c r="P114" s="298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98"/>
      <c r="AH114" s="270"/>
      <c r="AI114" s="109"/>
      <c r="AJ114" s="373"/>
      <c r="AK114" s="344"/>
      <c r="AL114" s="344"/>
      <c r="AM114" s="61"/>
      <c r="AN114" s="298"/>
      <c r="AP114" s="194"/>
      <c r="AQ114" s="61"/>
      <c r="AR114" s="61"/>
      <c r="AS114" s="81"/>
      <c r="AT114" s="81"/>
      <c r="AU114" s="61"/>
      <c r="AV114" s="298"/>
      <c r="AX114" s="270"/>
      <c r="AY114" s="109"/>
      <c r="AZ114" s="373"/>
      <c r="BA114" s="344"/>
      <c r="BB114" s="344"/>
      <c r="BC114" s="61"/>
      <c r="BD114" s="298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/>
      <c r="C115" s="326"/>
      <c r="D115" s="326"/>
      <c r="E115" s="370"/>
      <c r="F115" s="370"/>
      <c r="G115" s="195"/>
      <c r="H115" s="371"/>
      <c r="J115" s="194"/>
      <c r="K115" s="61"/>
      <c r="L115" s="61"/>
      <c r="M115" s="81"/>
      <c r="N115" s="81"/>
      <c r="O115" s="61"/>
      <c r="P115" s="298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98"/>
      <c r="AH115" s="270"/>
      <c r="AI115" s="109"/>
      <c r="AJ115" s="373"/>
      <c r="AK115" s="344"/>
      <c r="AL115" s="344"/>
      <c r="AM115" s="61"/>
      <c r="AN115" s="298"/>
      <c r="AP115" s="194"/>
      <c r="AQ115" s="61"/>
      <c r="AR115" s="61"/>
      <c r="AS115" s="81"/>
      <c r="AT115" s="81"/>
      <c r="AU115" s="61"/>
      <c r="AV115" s="298"/>
      <c r="AX115" s="270"/>
      <c r="AY115" s="109"/>
      <c r="AZ115" s="373"/>
      <c r="BA115" s="344"/>
      <c r="BB115" s="344"/>
      <c r="BC115" s="61"/>
      <c r="BD115" s="298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/>
      <c r="C116" s="326"/>
      <c r="D116" s="326"/>
      <c r="E116" s="370"/>
      <c r="F116" s="370"/>
      <c r="G116" s="195"/>
      <c r="H116" s="371"/>
      <c r="J116" s="194"/>
      <c r="K116" s="61"/>
      <c r="L116" s="61"/>
      <c r="M116" s="81"/>
      <c r="N116" s="81"/>
      <c r="O116" s="61"/>
      <c r="P116" s="298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98"/>
      <c r="AH116" s="270"/>
      <c r="AI116" s="109"/>
      <c r="AJ116" s="373"/>
      <c r="AK116" s="344"/>
      <c r="AL116" s="344"/>
      <c r="AM116" s="61"/>
      <c r="AN116" s="298"/>
      <c r="AP116" s="194"/>
      <c r="AQ116" s="61"/>
      <c r="AR116" s="61"/>
      <c r="AS116" s="81"/>
      <c r="AT116" s="81"/>
      <c r="AU116" s="61"/>
      <c r="AV116" s="298"/>
      <c r="AX116" s="270"/>
      <c r="AY116" s="109"/>
      <c r="AZ116" s="373"/>
      <c r="BA116" s="344"/>
      <c r="BB116" s="344"/>
      <c r="BC116" s="61"/>
      <c r="BD116" s="298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/>
      <c r="C117" s="326"/>
      <c r="D117" s="326"/>
      <c r="E117" s="370"/>
      <c r="F117" s="370"/>
      <c r="G117" s="195"/>
      <c r="H117" s="371"/>
      <c r="J117" s="194"/>
      <c r="K117" s="61"/>
      <c r="L117" s="61"/>
      <c r="M117" s="81"/>
      <c r="N117" s="81"/>
      <c r="O117" s="61"/>
      <c r="P117" s="298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98"/>
      <c r="AH117" s="270"/>
      <c r="AI117" s="109"/>
      <c r="AJ117" s="373"/>
      <c r="AK117" s="344"/>
      <c r="AL117" s="344"/>
      <c r="AM117" s="61"/>
      <c r="AN117" s="298"/>
      <c r="AP117" s="194"/>
      <c r="AQ117" s="61"/>
      <c r="AR117" s="61"/>
      <c r="AS117" s="81"/>
      <c r="AT117" s="81"/>
      <c r="AU117" s="61"/>
      <c r="AV117" s="298"/>
      <c r="AX117" s="270"/>
      <c r="AY117" s="109"/>
      <c r="AZ117" s="373"/>
      <c r="BA117" s="344"/>
      <c r="BB117" s="344"/>
      <c r="BC117" s="61"/>
      <c r="BD117" s="298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/>
      <c r="C118" s="326"/>
      <c r="D118" s="326"/>
      <c r="E118" s="370"/>
      <c r="F118" s="370"/>
      <c r="G118" s="195"/>
      <c r="H118" s="371"/>
      <c r="J118" s="194"/>
      <c r="K118" s="61"/>
      <c r="L118" s="61"/>
      <c r="M118" s="81"/>
      <c r="N118" s="81"/>
      <c r="O118" s="61"/>
      <c r="P118" s="298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98"/>
      <c r="AH118" s="270"/>
      <c r="AI118" s="109"/>
      <c r="AJ118" s="373"/>
      <c r="AK118" s="344"/>
      <c r="AL118" s="344"/>
      <c r="AM118" s="61"/>
      <c r="AN118" s="298"/>
      <c r="AP118" s="194"/>
      <c r="AQ118" s="61"/>
      <c r="AR118" s="61"/>
      <c r="AS118" s="81"/>
      <c r="AT118" s="81"/>
      <c r="AU118" s="61"/>
      <c r="AV118" s="298"/>
      <c r="AX118" s="270"/>
      <c r="AY118" s="109"/>
      <c r="AZ118" s="373"/>
      <c r="BA118" s="344"/>
      <c r="BB118" s="344"/>
      <c r="BC118" s="61"/>
      <c r="BD118" s="298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369"/>
      <c r="C119" s="326"/>
      <c r="D119" s="326"/>
      <c r="E119" s="370"/>
      <c r="F119" s="370"/>
      <c r="G119" s="195"/>
      <c r="H119" s="371"/>
      <c r="J119" s="194"/>
      <c r="K119" s="61"/>
      <c r="L119" s="61"/>
      <c r="M119" s="81"/>
      <c r="N119" s="81"/>
      <c r="O119" s="61"/>
      <c r="P119" s="298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98"/>
      <c r="AH119" s="270"/>
      <c r="AI119" s="109"/>
      <c r="AJ119" s="373"/>
      <c r="AK119" s="344"/>
      <c r="AL119" s="344"/>
      <c r="AM119" s="61"/>
      <c r="AN119" s="298"/>
      <c r="AP119" s="194"/>
      <c r="AQ119" s="61"/>
      <c r="AR119" s="61"/>
      <c r="AS119" s="81"/>
      <c r="AT119" s="81"/>
      <c r="AU119" s="61"/>
      <c r="AV119" s="298"/>
      <c r="AX119" s="270"/>
      <c r="AY119" s="109"/>
      <c r="AZ119" s="373"/>
      <c r="BA119" s="344"/>
      <c r="BB119" s="344"/>
      <c r="BC119" s="61"/>
      <c r="BD119" s="298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98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98"/>
      <c r="AH120" s="270"/>
      <c r="AI120" s="109"/>
      <c r="AJ120" s="373"/>
      <c r="AK120" s="344"/>
      <c r="AL120" s="344"/>
      <c r="AM120" s="61"/>
      <c r="AN120" s="298"/>
      <c r="AP120" s="194"/>
      <c r="AQ120" s="61"/>
      <c r="AR120" s="61"/>
      <c r="AS120" s="81"/>
      <c r="AT120" s="81"/>
      <c r="AU120" s="61"/>
      <c r="AV120" s="298"/>
      <c r="AX120" s="270"/>
      <c r="AY120" s="109"/>
      <c r="AZ120" s="373"/>
      <c r="BA120" s="344"/>
      <c r="BB120" s="344"/>
      <c r="BC120" s="109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98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98"/>
      <c r="AH121" s="270"/>
      <c r="AI121" s="109"/>
      <c r="AJ121" s="373"/>
      <c r="AK121" s="344"/>
      <c r="AL121" s="344"/>
      <c r="AM121" s="61"/>
      <c r="AN121" s="298"/>
      <c r="AP121" s="194"/>
      <c r="AQ121" s="61"/>
      <c r="AR121" s="61"/>
      <c r="AS121" s="81"/>
      <c r="AT121" s="81"/>
      <c r="AU121" s="61"/>
      <c r="AV121" s="298"/>
      <c r="AX121" s="270"/>
      <c r="AY121" s="109"/>
      <c r="AZ121" s="373"/>
      <c r="BA121" s="344"/>
      <c r="BB121" s="344"/>
      <c r="BC121" s="61"/>
      <c r="BD121" s="298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98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98"/>
      <c r="AH122" s="270"/>
      <c r="AI122" s="109"/>
      <c r="AJ122" s="373"/>
      <c r="AK122" s="344"/>
      <c r="AL122" s="344"/>
      <c r="AM122" s="61"/>
      <c r="AN122" s="298"/>
      <c r="AP122" s="194"/>
      <c r="AQ122" s="61"/>
      <c r="AR122" s="61"/>
      <c r="AS122" s="81"/>
      <c r="AT122" s="81"/>
      <c r="AU122" s="61"/>
      <c r="AV122" s="298"/>
      <c r="AX122" s="270"/>
      <c r="AY122" s="109"/>
      <c r="AZ122" s="373"/>
      <c r="BA122" s="344"/>
      <c r="BB122" s="344"/>
      <c r="BC122" s="61"/>
      <c r="BD122" s="298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98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98"/>
      <c r="AH123" s="270"/>
      <c r="AI123" s="109"/>
      <c r="AJ123" s="373"/>
      <c r="AK123" s="344"/>
      <c r="AL123" s="344"/>
      <c r="AM123" s="61"/>
      <c r="AN123" s="298"/>
      <c r="AP123" s="194"/>
      <c r="AQ123" s="61"/>
      <c r="AR123" s="61"/>
      <c r="AS123" s="81"/>
      <c r="AT123" s="81"/>
      <c r="AU123" s="61"/>
      <c r="AV123" s="298"/>
      <c r="AX123" s="270"/>
      <c r="AY123" s="109"/>
      <c r="AZ123" s="373"/>
      <c r="BA123" s="344"/>
      <c r="BB123" s="344"/>
      <c r="BC123" s="61"/>
      <c r="BD123" s="298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98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98"/>
      <c r="AH124" s="270"/>
      <c r="AI124" s="109"/>
      <c r="AJ124" s="373"/>
      <c r="AK124" s="344"/>
      <c r="AL124" s="344"/>
      <c r="AM124" s="61"/>
      <c r="AN124" s="298"/>
      <c r="AP124" s="194"/>
      <c r="AQ124" s="61"/>
      <c r="AR124" s="61"/>
      <c r="AS124" s="81"/>
      <c r="AT124" s="81"/>
      <c r="AU124" s="61"/>
      <c r="AV124" s="298"/>
      <c r="AX124" s="270"/>
      <c r="AY124" s="109"/>
      <c r="AZ124" s="373"/>
      <c r="BA124" s="344"/>
      <c r="BB124" s="344"/>
      <c r="BC124" s="61"/>
      <c r="BD124" s="298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98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98"/>
      <c r="AH125" s="270"/>
      <c r="AI125" s="109"/>
      <c r="AJ125" s="373"/>
      <c r="AK125" s="344"/>
      <c r="AL125" s="344"/>
      <c r="AM125" s="61"/>
      <c r="AN125" s="298"/>
      <c r="AP125" s="194"/>
      <c r="AQ125" s="61"/>
      <c r="AR125" s="61"/>
      <c r="AS125" s="81"/>
      <c r="AT125" s="81"/>
      <c r="AU125" s="61"/>
      <c r="AV125" s="298"/>
      <c r="AX125" s="270"/>
      <c r="AY125" s="109"/>
      <c r="AZ125" s="373"/>
      <c r="BA125" s="344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194"/>
      <c r="C126" s="61"/>
      <c r="D126" s="61"/>
      <c r="E126" s="81"/>
      <c r="F126" s="81"/>
      <c r="G126" s="61"/>
      <c r="H126" s="291"/>
      <c r="J126" s="194"/>
      <c r="K126" s="61"/>
      <c r="L126" s="61"/>
      <c r="M126" s="81"/>
      <c r="N126" s="81"/>
      <c r="O126" s="61"/>
      <c r="P126" s="298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98"/>
      <c r="AH126" s="270"/>
      <c r="AI126" s="109"/>
      <c r="AJ126" s="373"/>
      <c r="AK126" s="344"/>
      <c r="AL126" s="344"/>
      <c r="AM126" s="61"/>
      <c r="AN126" s="298"/>
      <c r="AP126" s="194"/>
      <c r="AQ126" s="61"/>
      <c r="AR126" s="61"/>
      <c r="AS126" s="81"/>
      <c r="AT126" s="81"/>
      <c r="AU126" s="61"/>
      <c r="AV126" s="298"/>
      <c r="AX126" s="270"/>
      <c r="AY126" s="109"/>
      <c r="AZ126" s="373"/>
      <c r="BA126" s="344"/>
      <c r="BB126" s="344"/>
      <c r="BC126" s="109"/>
      <c r="BD126" s="298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86"/>
      <c r="J127" s="194"/>
      <c r="K127" s="61"/>
      <c r="L127" s="61"/>
      <c r="M127" s="81"/>
      <c r="N127" s="81"/>
      <c r="O127" s="61"/>
      <c r="P127" s="298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98"/>
      <c r="AH127" s="270"/>
      <c r="AI127" s="109"/>
      <c r="AJ127" s="373"/>
      <c r="AK127" s="344"/>
      <c r="AL127" s="344"/>
      <c r="AM127" s="61"/>
      <c r="AN127" s="298"/>
      <c r="AP127" s="194"/>
      <c r="AQ127" s="61"/>
      <c r="AR127" s="61"/>
      <c r="AS127" s="81"/>
      <c r="AT127" s="81"/>
      <c r="AU127" s="61"/>
      <c r="AV127" s="298"/>
      <c r="AX127" s="270"/>
      <c r="AY127" s="109"/>
      <c r="AZ127" s="373"/>
      <c r="BA127" s="344"/>
      <c r="BB127" s="344"/>
      <c r="BC127" s="61"/>
      <c r="BD127" s="298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86"/>
      <c r="J128" s="194"/>
      <c r="K128" s="61"/>
      <c r="L128" s="61"/>
      <c r="M128" s="81"/>
      <c r="N128" s="81"/>
      <c r="O128" s="61"/>
      <c r="P128" s="298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98"/>
      <c r="AH128" s="372"/>
      <c r="AI128" s="373"/>
      <c r="AJ128" s="373"/>
      <c r="AK128" s="445"/>
      <c r="AL128" s="445"/>
      <c r="AM128" s="375"/>
      <c r="AN128" s="298"/>
      <c r="AP128" s="194"/>
      <c r="AQ128" s="61"/>
      <c r="AR128" s="61"/>
      <c r="AS128" s="81"/>
      <c r="AT128" s="81"/>
      <c r="AU128" s="61"/>
      <c r="AV128" s="298"/>
      <c r="AX128" s="270"/>
      <c r="AY128" s="109"/>
      <c r="AZ128" s="373"/>
      <c r="BA128" s="344"/>
      <c r="BB128" s="344"/>
      <c r="BC128" s="61"/>
      <c r="BD128" s="298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86"/>
      <c r="J129" s="194"/>
      <c r="K129" s="61"/>
      <c r="L129" s="61"/>
      <c r="M129" s="81"/>
      <c r="N129" s="81"/>
      <c r="O129" s="61"/>
      <c r="P129" s="298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98"/>
      <c r="AH129" s="194"/>
      <c r="AI129" s="61"/>
      <c r="AJ129" s="373"/>
      <c r="AK129" s="81"/>
      <c r="AL129" s="81"/>
      <c r="AM129" s="61"/>
      <c r="AN129" s="298"/>
      <c r="AP129" s="194"/>
      <c r="AQ129" s="61"/>
      <c r="AR129" s="61"/>
      <c r="AS129" s="81"/>
      <c r="AT129" s="81"/>
      <c r="AU129" s="61"/>
      <c r="AV129" s="298"/>
      <c r="AX129" s="270"/>
      <c r="AY129" s="109"/>
      <c r="AZ129" s="373"/>
      <c r="BA129" s="344"/>
      <c r="BB129" s="344"/>
      <c r="BC129" s="61"/>
      <c r="BD129" s="298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86"/>
      <c r="J130" s="194"/>
      <c r="K130" s="61"/>
      <c r="L130" s="61"/>
      <c r="M130" s="81"/>
      <c r="N130" s="81"/>
      <c r="O130" s="61"/>
      <c r="P130" s="298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98"/>
      <c r="AH130" s="194"/>
      <c r="AI130" s="61"/>
      <c r="AJ130" s="373"/>
      <c r="AK130" s="81"/>
      <c r="AL130" s="81"/>
      <c r="AM130" s="61"/>
      <c r="AN130" s="298"/>
      <c r="AP130" s="194"/>
      <c r="AQ130" s="61"/>
      <c r="AR130" s="61"/>
      <c r="AS130" s="81"/>
      <c r="AT130" s="81"/>
      <c r="AU130" s="61"/>
      <c r="AV130" s="298"/>
      <c r="AX130" s="270"/>
      <c r="AY130" s="109"/>
      <c r="AZ130" s="373"/>
      <c r="BA130" s="344"/>
      <c r="BB130" s="344"/>
      <c r="BC130" s="109"/>
      <c r="BD130" s="298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86"/>
      <c r="J131" s="194"/>
      <c r="K131" s="61"/>
      <c r="L131" s="61"/>
      <c r="M131" s="81"/>
      <c r="N131" s="81"/>
      <c r="O131" s="61"/>
      <c r="P131" s="298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98"/>
      <c r="AH131" s="194"/>
      <c r="AI131" s="61"/>
      <c r="AJ131" s="373"/>
      <c r="AK131" s="81"/>
      <c r="AL131" s="81"/>
      <c r="AM131" s="61"/>
      <c r="AN131" s="298"/>
      <c r="AP131" s="194"/>
      <c r="AQ131" s="61"/>
      <c r="AR131" s="61"/>
      <c r="AS131" s="81"/>
      <c r="AT131" s="81"/>
      <c r="AU131" s="61"/>
      <c r="AV131" s="298"/>
      <c r="AX131" s="270"/>
      <c r="AY131" s="109"/>
      <c r="AZ131" s="373"/>
      <c r="BA131" s="344"/>
      <c r="BB131" s="344"/>
      <c r="BC131" s="61"/>
      <c r="BD131" s="298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86"/>
      <c r="J132" s="194"/>
      <c r="K132" s="61"/>
      <c r="L132" s="61"/>
      <c r="M132" s="81"/>
      <c r="N132" s="81"/>
      <c r="O132" s="61"/>
      <c r="P132" s="298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98"/>
      <c r="AH132" s="194"/>
      <c r="AI132" s="61"/>
      <c r="AJ132" s="373"/>
      <c r="AK132" s="81"/>
      <c r="AL132" s="81"/>
      <c r="AM132" s="61"/>
      <c r="AN132" s="298"/>
      <c r="AP132" s="194"/>
      <c r="AQ132" s="61"/>
      <c r="AR132" s="61"/>
      <c r="AS132" s="81"/>
      <c r="AT132" s="81"/>
      <c r="AU132" s="61"/>
      <c r="AV132" s="298"/>
      <c r="AX132" s="270"/>
      <c r="AY132" s="109"/>
      <c r="AZ132" s="373"/>
      <c r="BA132" s="344"/>
      <c r="BB132" s="344"/>
      <c r="BC132" s="61"/>
      <c r="BD132" s="298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86"/>
      <c r="J133" s="194"/>
      <c r="K133" s="61"/>
      <c r="L133" s="61"/>
      <c r="M133" s="81"/>
      <c r="N133" s="81"/>
      <c r="O133" s="61"/>
      <c r="P133" s="298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98"/>
      <c r="AH133" s="194"/>
      <c r="AI133" s="61"/>
      <c r="AJ133" s="373"/>
      <c r="AK133" s="81"/>
      <c r="AL133" s="81"/>
      <c r="AM133" s="61"/>
      <c r="AN133" s="298"/>
      <c r="AP133" s="194"/>
      <c r="AQ133" s="61"/>
      <c r="AR133" s="61"/>
      <c r="AS133" s="81"/>
      <c r="AT133" s="81"/>
      <c r="AU133" s="61"/>
      <c r="AV133" s="298"/>
      <c r="AX133" s="270"/>
      <c r="AY133" s="109"/>
      <c r="AZ133" s="446"/>
      <c r="BA133" s="344"/>
      <c r="BB133" s="344"/>
      <c r="BC133" s="109"/>
      <c r="BD133" s="298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86"/>
      <c r="J134" s="194"/>
      <c r="K134" s="61"/>
      <c r="L134" s="61"/>
      <c r="M134" s="81"/>
      <c r="N134" s="81"/>
      <c r="O134" s="61"/>
      <c r="P134" s="298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98"/>
      <c r="AH134" s="194"/>
      <c r="AI134" s="61"/>
      <c r="AJ134" s="373"/>
      <c r="AK134" s="81"/>
      <c r="AL134" s="81"/>
      <c r="AM134" s="61"/>
      <c r="AN134" s="298"/>
      <c r="AP134" s="194"/>
      <c r="AQ134" s="61"/>
      <c r="AR134" s="61"/>
      <c r="AS134" s="81"/>
      <c r="AT134" s="81"/>
      <c r="AU134" s="61"/>
      <c r="AV134" s="298"/>
      <c r="AX134" s="270"/>
      <c r="AY134" s="109"/>
      <c r="AZ134" s="373"/>
      <c r="BA134" s="344"/>
      <c r="BB134" s="344"/>
      <c r="BC134" s="61"/>
      <c r="BD134" s="298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86"/>
      <c r="J135" s="194"/>
      <c r="K135" s="61"/>
      <c r="L135" s="61"/>
      <c r="M135" s="81"/>
      <c r="N135" s="81"/>
      <c r="O135" s="61"/>
      <c r="P135" s="298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98"/>
      <c r="AH135" s="194"/>
      <c r="AI135" s="61"/>
      <c r="AJ135" s="373"/>
      <c r="AK135" s="81"/>
      <c r="AL135" s="81"/>
      <c r="AM135" s="61"/>
      <c r="AN135" s="298"/>
      <c r="AP135" s="194"/>
      <c r="AQ135" s="61"/>
      <c r="AR135" s="61"/>
      <c r="AS135" s="81"/>
      <c r="AT135" s="81"/>
      <c r="AU135" s="61"/>
      <c r="AV135" s="298"/>
      <c r="AX135" s="270"/>
      <c r="AY135" s="109"/>
      <c r="AZ135" s="373"/>
      <c r="BA135" s="344"/>
      <c r="BB135" s="344"/>
      <c r="BC135" s="61"/>
      <c r="BD135" s="298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86"/>
      <c r="J136" s="194"/>
      <c r="K136" s="61"/>
      <c r="L136" s="61"/>
      <c r="M136" s="81"/>
      <c r="N136" s="81"/>
      <c r="O136" s="61"/>
      <c r="P136" s="298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98"/>
      <c r="AH136" s="194"/>
      <c r="AI136" s="61"/>
      <c r="AJ136" s="373"/>
      <c r="AK136" s="81"/>
      <c r="AL136" s="81"/>
      <c r="AM136" s="61"/>
      <c r="AN136" s="298"/>
      <c r="AP136" s="194"/>
      <c r="AQ136" s="61"/>
      <c r="AR136" s="61"/>
      <c r="AS136" s="81"/>
      <c r="AT136" s="81"/>
      <c r="AU136" s="61"/>
      <c r="AV136" s="298"/>
      <c r="AX136" s="270"/>
      <c r="AY136" s="109"/>
      <c r="AZ136" s="373"/>
      <c r="BA136" s="344"/>
      <c r="BB136" s="344"/>
      <c r="BC136" s="61"/>
      <c r="BD136" s="298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86"/>
      <c r="J137" s="194"/>
      <c r="K137" s="61"/>
      <c r="L137" s="61"/>
      <c r="M137" s="81"/>
      <c r="N137" s="81"/>
      <c r="O137" s="61"/>
      <c r="P137" s="298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98"/>
      <c r="AH137" s="194"/>
      <c r="AI137" s="61"/>
      <c r="AJ137" s="373"/>
      <c r="AK137" s="81"/>
      <c r="AL137" s="81"/>
      <c r="AM137" s="61"/>
      <c r="AN137" s="298"/>
      <c r="AP137" s="194"/>
      <c r="AQ137" s="61"/>
      <c r="AR137" s="61"/>
      <c r="AS137" s="81"/>
      <c r="AT137" s="81"/>
      <c r="AU137" s="61"/>
      <c r="AV137" s="298"/>
      <c r="AX137" s="270"/>
      <c r="AY137" s="109"/>
      <c r="AZ137" s="373"/>
      <c r="BA137" s="344"/>
      <c r="BB137" s="344"/>
      <c r="BC137" s="61"/>
      <c r="BD137" s="298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86"/>
      <c r="J138" s="194"/>
      <c r="K138" s="61"/>
      <c r="L138" s="61"/>
      <c r="M138" s="81"/>
      <c r="N138" s="81"/>
      <c r="O138" s="61"/>
      <c r="P138" s="298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98"/>
      <c r="AH138" s="194"/>
      <c r="AI138" s="61"/>
      <c r="AJ138" s="373"/>
      <c r="AK138" s="81"/>
      <c r="AL138" s="81"/>
      <c r="AM138" s="61"/>
      <c r="AN138" s="298"/>
      <c r="AP138" s="194"/>
      <c r="AQ138" s="61"/>
      <c r="AR138" s="61"/>
      <c r="AS138" s="81"/>
      <c r="AT138" s="81"/>
      <c r="AU138" s="61"/>
      <c r="AV138" s="298"/>
      <c r="AX138" s="270"/>
      <c r="AY138" s="109"/>
      <c r="AZ138" s="373"/>
      <c r="BA138" s="344"/>
      <c r="BB138" s="344"/>
      <c r="BC138" s="61"/>
      <c r="BD138" s="298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86"/>
      <c r="J139" s="194"/>
      <c r="K139" s="61"/>
      <c r="L139" s="61"/>
      <c r="M139" s="81"/>
      <c r="N139" s="81"/>
      <c r="O139" s="61"/>
      <c r="P139" s="298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98"/>
      <c r="AH139" s="194"/>
      <c r="AI139" s="61"/>
      <c r="AJ139" s="373"/>
      <c r="AK139" s="81"/>
      <c r="AL139" s="81"/>
      <c r="AM139" s="61"/>
      <c r="AN139" s="298"/>
      <c r="AP139" s="194"/>
      <c r="AQ139" s="61"/>
      <c r="AR139" s="61"/>
      <c r="AS139" s="81"/>
      <c r="AT139" s="81"/>
      <c r="AU139" s="61"/>
      <c r="AV139" s="298"/>
      <c r="AX139" s="270"/>
      <c r="AY139" s="109"/>
      <c r="AZ139" s="373"/>
      <c r="BA139" s="344"/>
      <c r="BB139" s="344"/>
      <c r="BC139" s="109"/>
      <c r="BD139" s="298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86"/>
      <c r="J140" s="194"/>
      <c r="K140" s="61"/>
      <c r="L140" s="61"/>
      <c r="M140" s="81"/>
      <c r="N140" s="81"/>
      <c r="O140" s="61"/>
      <c r="P140" s="298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98"/>
      <c r="AH140" s="194"/>
      <c r="AI140" s="61"/>
      <c r="AJ140" s="373"/>
      <c r="AK140" s="81"/>
      <c r="AL140" s="81"/>
      <c r="AM140" s="61"/>
      <c r="AN140" s="298"/>
      <c r="AP140" s="194"/>
      <c r="AQ140" s="61"/>
      <c r="AR140" s="61"/>
      <c r="AS140" s="81"/>
      <c r="AT140" s="81"/>
      <c r="AU140" s="61"/>
      <c r="AV140" s="298"/>
      <c r="AX140" s="270"/>
      <c r="AY140" s="109"/>
      <c r="AZ140" s="373"/>
      <c r="BA140" s="344"/>
      <c r="BB140" s="344"/>
      <c r="BC140" s="61"/>
      <c r="BD140" s="298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86"/>
      <c r="J141" s="194"/>
      <c r="K141" s="61"/>
      <c r="L141" s="61"/>
      <c r="M141" s="81"/>
      <c r="N141" s="81"/>
      <c r="O141" s="61"/>
      <c r="P141" s="298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98"/>
      <c r="AH141" s="194"/>
      <c r="AI141" s="61"/>
      <c r="AJ141" s="373"/>
      <c r="AK141" s="81"/>
      <c r="AL141" s="81"/>
      <c r="AM141" s="61"/>
      <c r="AN141" s="298"/>
      <c r="AP141" s="194"/>
      <c r="AQ141" s="61"/>
      <c r="AR141" s="61"/>
      <c r="AS141" s="81"/>
      <c r="AT141" s="81"/>
      <c r="AU141" s="61"/>
      <c r="AV141" s="298"/>
      <c r="AX141" s="270"/>
      <c r="AY141" s="109"/>
      <c r="AZ141" s="373"/>
      <c r="BA141" s="344"/>
      <c r="BB141" s="344"/>
      <c r="BC141" s="61"/>
      <c r="BD141" s="298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86"/>
      <c r="J142" s="194"/>
      <c r="K142" s="61"/>
      <c r="L142" s="61"/>
      <c r="M142" s="81"/>
      <c r="N142" s="81"/>
      <c r="O142" s="61"/>
      <c r="P142" s="298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98"/>
      <c r="AH142" s="194"/>
      <c r="AI142" s="61"/>
      <c r="AJ142" s="373"/>
      <c r="AK142" s="81"/>
      <c r="AL142" s="81"/>
      <c r="AM142" s="61"/>
      <c r="AN142" s="298"/>
      <c r="AP142" s="194"/>
      <c r="AQ142" s="61"/>
      <c r="AR142" s="61"/>
      <c r="AS142" s="81"/>
      <c r="AT142" s="81"/>
      <c r="AU142" s="61"/>
      <c r="AV142" s="298"/>
      <c r="AX142" s="270"/>
      <c r="AY142" s="109"/>
      <c r="AZ142" s="373"/>
      <c r="BA142" s="344"/>
      <c r="BB142" s="344"/>
      <c r="BC142" s="61"/>
      <c r="BD142" s="298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86"/>
      <c r="J143" s="194"/>
      <c r="K143" s="61"/>
      <c r="L143" s="61"/>
      <c r="M143" s="81"/>
      <c r="N143" s="81"/>
      <c r="O143" s="61"/>
      <c r="P143" s="298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98"/>
      <c r="AH143" s="194"/>
      <c r="AI143" s="61"/>
      <c r="AJ143" s="373"/>
      <c r="AK143" s="81"/>
      <c r="AL143" s="81"/>
      <c r="AM143" s="61"/>
      <c r="AN143" s="298"/>
      <c r="AP143" s="194"/>
      <c r="AQ143" s="61"/>
      <c r="AR143" s="61"/>
      <c r="AS143" s="81"/>
      <c r="AT143" s="81"/>
      <c r="AU143" s="61"/>
      <c r="AV143" s="298"/>
      <c r="AX143" s="270"/>
      <c r="AY143" s="109"/>
      <c r="AZ143" s="373"/>
      <c r="BA143" s="344"/>
      <c r="BB143" s="344"/>
      <c r="BC143" s="61"/>
      <c r="BD143" s="298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86"/>
      <c r="J144" s="194"/>
      <c r="K144" s="61"/>
      <c r="L144" s="61"/>
      <c r="M144" s="81"/>
      <c r="N144" s="81"/>
      <c r="O144" s="61"/>
      <c r="P144" s="298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98"/>
      <c r="AH144" s="194"/>
      <c r="AI144" s="61"/>
      <c r="AJ144" s="373"/>
      <c r="AK144" s="81"/>
      <c r="AL144" s="81"/>
      <c r="AM144" s="61"/>
      <c r="AN144" s="298"/>
      <c r="AP144" s="194"/>
      <c r="AQ144" s="61"/>
      <c r="AR144" s="61"/>
      <c r="AS144" s="81"/>
      <c r="AT144" s="81"/>
      <c r="AU144" s="61"/>
      <c r="AV144" s="298"/>
      <c r="AX144" s="270"/>
      <c r="AY144" s="109"/>
      <c r="AZ144" s="373"/>
      <c r="BA144" s="344"/>
      <c r="BB144" s="344"/>
      <c r="BC144" s="61"/>
      <c r="BD144" s="298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86"/>
      <c r="J145" s="194"/>
      <c r="K145" s="61"/>
      <c r="L145" s="61"/>
      <c r="M145" s="81"/>
      <c r="N145" s="81"/>
      <c r="O145" s="61"/>
      <c r="P145" s="298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98"/>
      <c r="AH145" s="194"/>
      <c r="AI145" s="61"/>
      <c r="AJ145" s="373"/>
      <c r="AK145" s="81"/>
      <c r="AL145" s="81"/>
      <c r="AM145" s="61"/>
      <c r="AN145" s="298"/>
      <c r="AP145" s="194"/>
      <c r="AQ145" s="61"/>
      <c r="AR145" s="61"/>
      <c r="AS145" s="81"/>
      <c r="AT145" s="81"/>
      <c r="AU145" s="61"/>
      <c r="AV145" s="298"/>
      <c r="AX145" s="270"/>
      <c r="AY145" s="109"/>
      <c r="AZ145" s="373"/>
      <c r="BA145" s="344"/>
      <c r="BB145" s="344"/>
      <c r="BC145" s="61"/>
      <c r="BD145" s="298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86"/>
      <c r="J146" s="194"/>
      <c r="K146" s="61"/>
      <c r="L146" s="61"/>
      <c r="M146" s="81"/>
      <c r="N146" s="81"/>
      <c r="O146" s="61"/>
      <c r="P146" s="298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98"/>
      <c r="AH146" s="194"/>
      <c r="AI146" s="61"/>
      <c r="AJ146" s="373"/>
      <c r="AK146" s="81"/>
      <c r="AL146" s="81"/>
      <c r="AM146" s="61"/>
      <c r="AN146" s="298"/>
      <c r="AP146" s="194"/>
      <c r="AQ146" s="61"/>
      <c r="AR146" s="61"/>
      <c r="AS146" s="81"/>
      <c r="AT146" s="81"/>
      <c r="AU146" s="61"/>
      <c r="AV146" s="298"/>
      <c r="AX146" s="270"/>
      <c r="AY146" s="109"/>
      <c r="AZ146" s="373"/>
      <c r="BA146" s="344"/>
      <c r="BB146" s="344"/>
      <c r="BC146" s="61"/>
      <c r="BD146" s="298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86"/>
      <c r="J147" s="194"/>
      <c r="K147" s="61"/>
      <c r="L147" s="61"/>
      <c r="M147" s="81"/>
      <c r="N147" s="81"/>
      <c r="O147" s="61"/>
      <c r="P147" s="298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98"/>
      <c r="AH147" s="194"/>
      <c r="AI147" s="61"/>
      <c r="AJ147" s="373"/>
      <c r="AK147" s="81"/>
      <c r="AL147" s="81"/>
      <c r="AM147" s="61"/>
      <c r="AN147" s="298"/>
      <c r="AP147" s="194"/>
      <c r="AQ147" s="61"/>
      <c r="AR147" s="61"/>
      <c r="AS147" s="81"/>
      <c r="AT147" s="81"/>
      <c r="AU147" s="61"/>
      <c r="AV147" s="298"/>
      <c r="AX147" s="270"/>
      <c r="AY147" s="109"/>
      <c r="AZ147" s="373"/>
      <c r="BA147" s="344"/>
      <c r="BB147" s="344"/>
      <c r="BC147" s="61"/>
      <c r="BD147" s="298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86"/>
      <c r="J148" s="194"/>
      <c r="K148" s="61"/>
      <c r="L148" s="61"/>
      <c r="M148" s="81"/>
      <c r="N148" s="81"/>
      <c r="O148" s="61"/>
      <c r="P148" s="298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98"/>
      <c r="AH148" s="194"/>
      <c r="AI148" s="61"/>
      <c r="AJ148" s="373"/>
      <c r="AK148" s="81"/>
      <c r="AL148" s="81"/>
      <c r="AM148" s="61"/>
      <c r="AN148" s="298"/>
      <c r="AP148" s="194"/>
      <c r="AQ148" s="61"/>
      <c r="AR148" s="61"/>
      <c r="AS148" s="81"/>
      <c r="AT148" s="81"/>
      <c r="AU148" s="61"/>
      <c r="AV148" s="298"/>
      <c r="AX148" s="270"/>
      <c r="AY148" s="109"/>
      <c r="AZ148" s="373"/>
      <c r="BA148" s="344"/>
      <c r="BB148" s="344"/>
      <c r="BC148" s="61"/>
      <c r="BD148" s="298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86"/>
      <c r="J149" s="194"/>
      <c r="K149" s="61"/>
      <c r="L149" s="61"/>
      <c r="M149" s="81"/>
      <c r="N149" s="81"/>
      <c r="O149" s="61"/>
      <c r="P149" s="298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98"/>
      <c r="AH149" s="194"/>
      <c r="AI149" s="61"/>
      <c r="AJ149" s="373"/>
      <c r="AK149" s="81"/>
      <c r="AL149" s="81"/>
      <c r="AM149" s="61"/>
      <c r="AN149" s="298"/>
      <c r="AP149" s="194"/>
      <c r="AQ149" s="61"/>
      <c r="AR149" s="61"/>
      <c r="AS149" s="81"/>
      <c r="AT149" s="81"/>
      <c r="AU149" s="61"/>
      <c r="AV149" s="298"/>
      <c r="AX149" s="270"/>
      <c r="AY149" s="109"/>
      <c r="AZ149" s="373"/>
      <c r="BA149" s="344"/>
      <c r="BB149" s="344"/>
      <c r="BC149" s="61"/>
      <c r="BD149" s="298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86"/>
      <c r="J150" s="194"/>
      <c r="K150" s="61"/>
      <c r="L150" s="61"/>
      <c r="M150" s="81"/>
      <c r="N150" s="81"/>
      <c r="O150" s="61"/>
      <c r="P150" s="298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98"/>
      <c r="AH150" s="194"/>
      <c r="AI150" s="61"/>
      <c r="AJ150" s="373"/>
      <c r="AK150" s="81"/>
      <c r="AL150" s="81"/>
      <c r="AM150" s="61"/>
      <c r="AN150" s="298"/>
      <c r="AP150" s="194"/>
      <c r="AQ150" s="61"/>
      <c r="AR150" s="61"/>
      <c r="AS150" s="81"/>
      <c r="AT150" s="81"/>
      <c r="AU150" s="61"/>
      <c r="AV150" s="298"/>
      <c r="AX150" s="270"/>
      <c r="AY150" s="109"/>
      <c r="AZ150" s="373"/>
      <c r="BA150" s="344"/>
      <c r="BB150" s="344"/>
      <c r="BC150" s="109"/>
      <c r="BD150" s="298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86"/>
      <c r="J151" s="194"/>
      <c r="K151" s="61"/>
      <c r="L151" s="61"/>
      <c r="M151" s="81"/>
      <c r="N151" s="81"/>
      <c r="O151" s="61"/>
      <c r="P151" s="298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98"/>
      <c r="AH151" s="194"/>
      <c r="AI151" s="61"/>
      <c r="AJ151" s="373"/>
      <c r="AK151" s="81"/>
      <c r="AL151" s="81"/>
      <c r="AM151" s="61"/>
      <c r="AN151" s="298"/>
      <c r="AP151" s="194"/>
      <c r="AQ151" s="61"/>
      <c r="AR151" s="61"/>
      <c r="AS151" s="81"/>
      <c r="AT151" s="81"/>
      <c r="AU151" s="61"/>
      <c r="AV151" s="298"/>
      <c r="AX151" s="270"/>
      <c r="AY151" s="109"/>
      <c r="AZ151" s="373"/>
      <c r="BA151" s="344"/>
      <c r="BB151" s="344"/>
      <c r="BC151" s="61"/>
      <c r="BD151" s="298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86"/>
      <c r="J152" s="194"/>
      <c r="K152" s="61"/>
      <c r="L152" s="61"/>
      <c r="M152" s="81"/>
      <c r="N152" s="81"/>
      <c r="O152" s="61"/>
      <c r="P152" s="298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98"/>
      <c r="AH152" s="194"/>
      <c r="AI152" s="61"/>
      <c r="AJ152" s="373"/>
      <c r="AK152" s="81"/>
      <c r="AL152" s="81"/>
      <c r="AM152" s="61"/>
      <c r="AN152" s="298"/>
      <c r="AP152" s="194"/>
      <c r="AQ152" s="61"/>
      <c r="AR152" s="61"/>
      <c r="AS152" s="81"/>
      <c r="AT152" s="81"/>
      <c r="AU152" s="61"/>
      <c r="AV152" s="298"/>
      <c r="AX152" s="270"/>
      <c r="AY152" s="109"/>
      <c r="AZ152" s="373"/>
      <c r="BA152" s="344"/>
      <c r="BB152" s="344"/>
      <c r="BC152" s="61"/>
      <c r="BD152" s="298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86"/>
      <c r="J153" s="194"/>
      <c r="K153" s="61"/>
      <c r="L153" s="61"/>
      <c r="M153" s="81"/>
      <c r="N153" s="81"/>
      <c r="O153" s="61"/>
      <c r="P153" s="298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98"/>
      <c r="AH153" s="194"/>
      <c r="AI153" s="61"/>
      <c r="AJ153" s="373"/>
      <c r="AK153" s="81"/>
      <c r="AL153" s="81"/>
      <c r="AM153" s="61"/>
      <c r="AN153" s="298"/>
      <c r="AP153" s="194"/>
      <c r="AQ153" s="61"/>
      <c r="AR153" s="61"/>
      <c r="AS153" s="81"/>
      <c r="AT153" s="81"/>
      <c r="AU153" s="61"/>
      <c r="AV153" s="298"/>
      <c r="AX153" s="270"/>
      <c r="AY153" s="109"/>
      <c r="AZ153" s="373"/>
      <c r="BA153" s="344"/>
      <c r="BB153" s="344"/>
      <c r="BC153" s="61"/>
      <c r="BD153" s="298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86"/>
      <c r="J154" s="194"/>
      <c r="K154" s="61"/>
      <c r="L154" s="61"/>
      <c r="M154" s="81"/>
      <c r="N154" s="81"/>
      <c r="O154" s="61"/>
      <c r="P154" s="298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98"/>
      <c r="AH154" s="194"/>
      <c r="AI154" s="61"/>
      <c r="AJ154" s="373"/>
      <c r="AK154" s="81"/>
      <c r="AL154" s="81"/>
      <c r="AM154" s="61"/>
      <c r="AN154" s="298"/>
      <c r="AP154" s="194"/>
      <c r="AQ154" s="61"/>
      <c r="AR154" s="61"/>
      <c r="AS154" s="81"/>
      <c r="AT154" s="81"/>
      <c r="AU154" s="61"/>
      <c r="AV154" s="298"/>
      <c r="AX154" s="270"/>
      <c r="AY154" s="109"/>
      <c r="AZ154" s="373"/>
      <c r="BA154" s="344"/>
      <c r="BB154" s="344"/>
      <c r="BC154" s="61"/>
      <c r="BD154" s="298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86"/>
      <c r="J155" s="194"/>
      <c r="K155" s="61"/>
      <c r="L155" s="61"/>
      <c r="M155" s="81"/>
      <c r="N155" s="81"/>
      <c r="O155" s="61"/>
      <c r="P155" s="298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98"/>
      <c r="AH155" s="194"/>
      <c r="AI155" s="61"/>
      <c r="AJ155" s="373"/>
      <c r="AK155" s="81"/>
      <c r="AL155" s="81"/>
      <c r="AM155" s="61"/>
      <c r="AN155" s="298"/>
      <c r="AP155" s="194"/>
      <c r="AQ155" s="61"/>
      <c r="AR155" s="61"/>
      <c r="AS155" s="81"/>
      <c r="AT155" s="81"/>
      <c r="AU155" s="61"/>
      <c r="AV155" s="298"/>
      <c r="AX155" s="270"/>
      <c r="AY155" s="109"/>
      <c r="AZ155" s="373"/>
      <c r="BA155" s="344"/>
      <c r="BB155" s="344"/>
      <c r="BC155" s="61"/>
      <c r="BD155" s="298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86"/>
      <c r="J156" s="194"/>
      <c r="K156" s="61"/>
      <c r="L156" s="61"/>
      <c r="M156" s="81"/>
      <c r="N156" s="81"/>
      <c r="O156" s="61"/>
      <c r="P156" s="298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98"/>
      <c r="AH156" s="194"/>
      <c r="AI156" s="61"/>
      <c r="AJ156" s="373"/>
      <c r="AK156" s="81"/>
      <c r="AL156" s="81"/>
      <c r="AM156" s="61"/>
      <c r="AN156" s="298"/>
      <c r="AP156" s="194"/>
      <c r="AQ156" s="61"/>
      <c r="AR156" s="61"/>
      <c r="AS156" s="81"/>
      <c r="AT156" s="81"/>
      <c r="AU156" s="61"/>
      <c r="AV156" s="298"/>
      <c r="AX156" s="270"/>
      <c r="AY156" s="109"/>
      <c r="AZ156" s="373"/>
      <c r="BA156" s="344"/>
      <c r="BB156" s="344"/>
      <c r="BC156" s="61"/>
      <c r="BD156" s="298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86"/>
      <c r="J157" s="194"/>
      <c r="K157" s="61"/>
      <c r="L157" s="61"/>
      <c r="M157" s="81"/>
      <c r="N157" s="81"/>
      <c r="O157" s="61"/>
      <c r="P157" s="298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98"/>
      <c r="AH157" s="194"/>
      <c r="AI157" s="61"/>
      <c r="AJ157" s="373"/>
      <c r="AK157" s="81"/>
      <c r="AL157" s="81"/>
      <c r="AM157" s="61"/>
      <c r="AN157" s="298"/>
      <c r="AP157" s="194"/>
      <c r="AQ157" s="61"/>
      <c r="AR157" s="61"/>
      <c r="AS157" s="81"/>
      <c r="AT157" s="81"/>
      <c r="AU157" s="61"/>
      <c r="AV157" s="298"/>
      <c r="AX157" s="270"/>
      <c r="AY157" s="109"/>
      <c r="AZ157" s="373"/>
      <c r="BA157" s="344"/>
      <c r="BB157" s="344"/>
      <c r="BC157" s="61"/>
      <c r="BD157" s="298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86"/>
      <c r="J158" s="194"/>
      <c r="K158" s="61"/>
      <c r="L158" s="61"/>
      <c r="M158" s="81"/>
      <c r="N158" s="81"/>
      <c r="O158" s="61"/>
      <c r="P158" s="298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98"/>
      <c r="AH158" s="194"/>
      <c r="AI158" s="61"/>
      <c r="AJ158" s="373"/>
      <c r="AK158" s="81"/>
      <c r="AL158" s="81"/>
      <c r="AM158" s="61"/>
      <c r="AN158" s="298"/>
      <c r="AP158" s="194"/>
      <c r="AQ158" s="61"/>
      <c r="AR158" s="61"/>
      <c r="AS158" s="81"/>
      <c r="AT158" s="81"/>
      <c r="AU158" s="61"/>
      <c r="AV158" s="298"/>
      <c r="AX158" s="270"/>
      <c r="AY158" s="109"/>
      <c r="AZ158" s="373"/>
      <c r="BA158" s="344"/>
      <c r="BB158" s="344"/>
      <c r="BC158" s="61"/>
      <c r="BD158" s="298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86"/>
      <c r="J159" s="194"/>
      <c r="K159" s="61"/>
      <c r="L159" s="61"/>
      <c r="M159" s="81"/>
      <c r="N159" s="81"/>
      <c r="O159" s="61"/>
      <c r="P159" s="298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98"/>
      <c r="AH159" s="194"/>
      <c r="AI159" s="61"/>
      <c r="AJ159" s="373"/>
      <c r="AK159" s="81"/>
      <c r="AL159" s="81"/>
      <c r="AM159" s="61"/>
      <c r="AN159" s="298"/>
      <c r="AP159" s="194"/>
      <c r="AQ159" s="61"/>
      <c r="AR159" s="61"/>
      <c r="AS159" s="81"/>
      <c r="AT159" s="81"/>
      <c r="AU159" s="61"/>
      <c r="AV159" s="298"/>
      <c r="AX159" s="270"/>
      <c r="AY159" s="109"/>
      <c r="AZ159" s="373"/>
      <c r="BA159" s="344"/>
      <c r="BB159" s="344"/>
      <c r="BC159" s="61"/>
      <c r="BD159" s="298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86"/>
      <c r="J160" s="194"/>
      <c r="K160" s="61"/>
      <c r="L160" s="61"/>
      <c r="M160" s="81"/>
      <c r="N160" s="81"/>
      <c r="O160" s="61"/>
      <c r="P160" s="298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98"/>
      <c r="AH160" s="194"/>
      <c r="AI160" s="61"/>
      <c r="AJ160" s="373"/>
      <c r="AK160" s="81"/>
      <c r="AL160" s="81"/>
      <c r="AM160" s="61"/>
      <c r="AN160" s="298"/>
      <c r="AP160" s="194"/>
      <c r="AQ160" s="61"/>
      <c r="AR160" s="61"/>
      <c r="AS160" s="81"/>
      <c r="AT160" s="81"/>
      <c r="AU160" s="61"/>
      <c r="AV160" s="298"/>
      <c r="AX160" s="270"/>
      <c r="AY160" s="109"/>
      <c r="AZ160" s="373"/>
      <c r="BA160" s="344"/>
      <c r="BB160" s="344"/>
      <c r="BC160" s="61"/>
      <c r="BD160" s="298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86"/>
      <c r="J161" s="194"/>
      <c r="K161" s="61"/>
      <c r="L161" s="61"/>
      <c r="M161" s="81"/>
      <c r="N161" s="81"/>
      <c r="O161" s="61"/>
      <c r="P161" s="298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98"/>
      <c r="AH161" s="194"/>
      <c r="AI161" s="61"/>
      <c r="AJ161" s="373"/>
      <c r="AK161" s="81"/>
      <c r="AL161" s="81"/>
      <c r="AM161" s="61"/>
      <c r="AN161" s="298"/>
      <c r="AP161" s="194"/>
      <c r="AQ161" s="61"/>
      <c r="AR161" s="61"/>
      <c r="AS161" s="81"/>
      <c r="AT161" s="81"/>
      <c r="AU161" s="61"/>
      <c r="AV161" s="298"/>
      <c r="AX161" s="270"/>
      <c r="AY161" s="109"/>
      <c r="AZ161" s="373"/>
      <c r="BA161" s="344"/>
      <c r="BB161" s="344"/>
      <c r="BC161" s="61"/>
      <c r="BD161" s="298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86"/>
      <c r="J162" s="194"/>
      <c r="K162" s="61"/>
      <c r="L162" s="61"/>
      <c r="M162" s="81"/>
      <c r="N162" s="81"/>
      <c r="O162" s="61"/>
      <c r="P162" s="298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98"/>
      <c r="AH162" s="194"/>
      <c r="AI162" s="61"/>
      <c r="AJ162" s="373"/>
      <c r="AK162" s="81"/>
      <c r="AL162" s="81"/>
      <c r="AM162" s="61"/>
      <c r="AN162" s="298"/>
      <c r="AP162" s="194"/>
      <c r="AQ162" s="61"/>
      <c r="AR162" s="61"/>
      <c r="AS162" s="81"/>
      <c r="AT162" s="81"/>
      <c r="AU162" s="61"/>
      <c r="AV162" s="298"/>
      <c r="AX162" s="270"/>
      <c r="AY162" s="109"/>
      <c r="AZ162" s="373"/>
      <c r="BA162" s="344"/>
      <c r="BB162" s="344"/>
      <c r="BC162" s="61"/>
      <c r="BD162" s="298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86"/>
      <c r="J163" s="194"/>
      <c r="K163" s="61"/>
      <c r="L163" s="61"/>
      <c r="M163" s="81"/>
      <c r="N163" s="81"/>
      <c r="O163" s="61"/>
      <c r="P163" s="298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98"/>
      <c r="AH163" s="194"/>
      <c r="AI163" s="61"/>
      <c r="AJ163" s="373"/>
      <c r="AK163" s="81"/>
      <c r="AL163" s="81"/>
      <c r="AM163" s="61"/>
      <c r="AN163" s="298"/>
      <c r="AP163" s="194"/>
      <c r="AQ163" s="61"/>
      <c r="AR163" s="61"/>
      <c r="AS163" s="81"/>
      <c r="AT163" s="81"/>
      <c r="AU163" s="61"/>
      <c r="AV163" s="298"/>
      <c r="AX163" s="270"/>
      <c r="AY163" s="109"/>
      <c r="AZ163" s="373"/>
      <c r="BA163" s="344"/>
      <c r="BB163" s="344"/>
      <c r="BC163" s="61"/>
      <c r="BD163" s="298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86"/>
      <c r="J164" s="194"/>
      <c r="K164" s="61"/>
      <c r="L164" s="61"/>
      <c r="M164" s="81"/>
      <c r="N164" s="81"/>
      <c r="O164" s="61"/>
      <c r="P164" s="298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98"/>
      <c r="AH164" s="194"/>
      <c r="AI164" s="61"/>
      <c r="AJ164" s="373"/>
      <c r="AK164" s="81"/>
      <c r="AL164" s="81"/>
      <c r="AM164" s="61"/>
      <c r="AN164" s="298"/>
      <c r="AP164" s="194"/>
      <c r="AQ164" s="61"/>
      <c r="AR164" s="61"/>
      <c r="AS164" s="81"/>
      <c r="AT164" s="81"/>
      <c r="AU164" s="61"/>
      <c r="AV164" s="298"/>
      <c r="AX164" s="270"/>
      <c r="AY164" s="109"/>
      <c r="AZ164" s="373"/>
      <c r="BA164" s="344"/>
      <c r="BB164" s="344"/>
      <c r="BC164" s="61"/>
      <c r="BD164" s="298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86"/>
      <c r="J165" s="194"/>
      <c r="K165" s="61"/>
      <c r="L165" s="61"/>
      <c r="M165" s="81"/>
      <c r="N165" s="81"/>
      <c r="O165" s="61"/>
      <c r="P165" s="298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98"/>
      <c r="AH165" s="194"/>
      <c r="AI165" s="61"/>
      <c r="AJ165" s="373"/>
      <c r="AK165" s="81"/>
      <c r="AL165" s="81"/>
      <c r="AM165" s="61"/>
      <c r="AN165" s="298"/>
      <c r="AP165" s="194"/>
      <c r="AQ165" s="61"/>
      <c r="AR165" s="61"/>
      <c r="AS165" s="81"/>
      <c r="AT165" s="81"/>
      <c r="AU165" s="61"/>
      <c r="AV165" s="298"/>
      <c r="AX165" s="270"/>
      <c r="AY165" s="109"/>
      <c r="AZ165" s="373"/>
      <c r="BA165" s="344"/>
      <c r="BB165" s="344"/>
      <c r="BC165" s="61"/>
      <c r="BD165" s="298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86"/>
      <c r="J166" s="194"/>
      <c r="K166" s="61"/>
      <c r="L166" s="61"/>
      <c r="M166" s="81"/>
      <c r="N166" s="81"/>
      <c r="O166" s="61"/>
      <c r="P166" s="298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98"/>
      <c r="AH166" s="194"/>
      <c r="AI166" s="61"/>
      <c r="AJ166" s="373"/>
      <c r="AK166" s="81"/>
      <c r="AL166" s="81"/>
      <c r="AM166" s="61"/>
      <c r="AN166" s="298"/>
      <c r="AP166" s="194"/>
      <c r="AQ166" s="61"/>
      <c r="AR166" s="61"/>
      <c r="AS166" s="81"/>
      <c r="AT166" s="81"/>
      <c r="AU166" s="61"/>
      <c r="AV166" s="298"/>
      <c r="AX166" s="270"/>
      <c r="AY166" s="109"/>
      <c r="AZ166" s="373"/>
      <c r="BA166" s="344"/>
      <c r="BB166" s="344"/>
      <c r="BC166" s="61"/>
      <c r="BD166" s="298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86"/>
      <c r="J167" s="194"/>
      <c r="K167" s="61"/>
      <c r="L167" s="61"/>
      <c r="M167" s="81"/>
      <c r="N167" s="81"/>
      <c r="O167" s="61"/>
      <c r="P167" s="298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98"/>
      <c r="AH167" s="194"/>
      <c r="AI167" s="61"/>
      <c r="AJ167" s="373"/>
      <c r="AK167" s="81"/>
      <c r="AL167" s="81"/>
      <c r="AM167" s="61"/>
      <c r="AN167" s="298"/>
      <c r="AP167" s="194"/>
      <c r="AQ167" s="61"/>
      <c r="AR167" s="61"/>
      <c r="AS167" s="81"/>
      <c r="AT167" s="81"/>
      <c r="AU167" s="61"/>
      <c r="AV167" s="298"/>
      <c r="AX167" s="270"/>
      <c r="AY167" s="109"/>
      <c r="AZ167" s="373"/>
      <c r="BA167" s="344"/>
      <c r="BB167" s="344"/>
      <c r="BC167" s="61"/>
      <c r="BD167" s="298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86"/>
      <c r="J168" s="194"/>
      <c r="K168" s="61"/>
      <c r="L168" s="61"/>
      <c r="M168" s="81"/>
      <c r="N168" s="81"/>
      <c r="O168" s="61"/>
      <c r="P168" s="298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98"/>
      <c r="AH168" s="194"/>
      <c r="AI168" s="61"/>
      <c r="AJ168" s="373"/>
      <c r="AK168" s="81"/>
      <c r="AL168" s="81"/>
      <c r="AM168" s="61"/>
      <c r="AN168" s="298"/>
      <c r="AP168" s="194"/>
      <c r="AQ168" s="61"/>
      <c r="AR168" s="61"/>
      <c r="AS168" s="81"/>
      <c r="AT168" s="81"/>
      <c r="AU168" s="61"/>
      <c r="AV168" s="298"/>
      <c r="AX168" s="270"/>
      <c r="AY168" s="109"/>
      <c r="AZ168" s="373"/>
      <c r="BA168" s="344"/>
      <c r="BB168" s="344"/>
      <c r="BC168" s="61"/>
      <c r="BD168" s="298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86"/>
      <c r="J169" s="194"/>
      <c r="K169" s="61"/>
      <c r="L169" s="61"/>
      <c r="M169" s="81"/>
      <c r="N169" s="81"/>
      <c r="O169" s="61"/>
      <c r="P169" s="298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98"/>
      <c r="AH169" s="194"/>
      <c r="AI169" s="61"/>
      <c r="AJ169" s="373"/>
      <c r="AK169" s="81"/>
      <c r="AL169" s="81"/>
      <c r="AM169" s="61"/>
      <c r="AN169" s="298"/>
      <c r="AP169" s="194"/>
      <c r="AQ169" s="61"/>
      <c r="AR169" s="61"/>
      <c r="AS169" s="81"/>
      <c r="AT169" s="81"/>
      <c r="AU169" s="61"/>
      <c r="AV169" s="298"/>
      <c r="AX169" s="270"/>
      <c r="AY169" s="109"/>
      <c r="AZ169" s="373"/>
      <c r="BA169" s="344"/>
      <c r="BB169" s="344"/>
      <c r="BC169" s="61"/>
      <c r="BD169" s="298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86"/>
      <c r="J170" s="194"/>
      <c r="K170" s="61"/>
      <c r="L170" s="61"/>
      <c r="M170" s="81"/>
      <c r="N170" s="81"/>
      <c r="O170" s="61"/>
      <c r="P170" s="298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98"/>
      <c r="AH170" s="194"/>
      <c r="AI170" s="61"/>
      <c r="AJ170" s="373"/>
      <c r="AK170" s="81"/>
      <c r="AL170" s="81"/>
      <c r="AM170" s="61"/>
      <c r="AN170" s="298"/>
      <c r="AP170" s="194"/>
      <c r="AQ170" s="61"/>
      <c r="AR170" s="61"/>
      <c r="AS170" s="81"/>
      <c r="AT170" s="81"/>
      <c r="AU170" s="61"/>
      <c r="AV170" s="298"/>
      <c r="AX170" s="270"/>
      <c r="AY170" s="109"/>
      <c r="AZ170" s="373"/>
      <c r="BA170" s="344"/>
      <c r="BB170" s="344"/>
      <c r="BC170" s="61"/>
      <c r="BD170" s="298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86"/>
      <c r="J171" s="194"/>
      <c r="K171" s="61"/>
      <c r="L171" s="61"/>
      <c r="M171" s="81"/>
      <c r="N171" s="81"/>
      <c r="O171" s="61"/>
      <c r="P171" s="298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98"/>
      <c r="AH171" s="194"/>
      <c r="AI171" s="61"/>
      <c r="AJ171" s="373"/>
      <c r="AK171" s="81"/>
      <c r="AL171" s="81"/>
      <c r="AM171" s="61"/>
      <c r="AN171" s="298"/>
      <c r="AP171" s="194"/>
      <c r="AQ171" s="61"/>
      <c r="AR171" s="61"/>
      <c r="AS171" s="81"/>
      <c r="AT171" s="81"/>
      <c r="AU171" s="61"/>
      <c r="AV171" s="298"/>
      <c r="AX171" s="270"/>
      <c r="AY171" s="109"/>
      <c r="AZ171" s="373"/>
      <c r="BA171" s="344"/>
      <c r="BB171" s="344"/>
      <c r="BC171" s="61"/>
      <c r="BD171" s="298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86"/>
      <c r="J172" s="194"/>
      <c r="K172" s="61"/>
      <c r="L172" s="61"/>
      <c r="M172" s="81"/>
      <c r="N172" s="81"/>
      <c r="O172" s="61"/>
      <c r="P172" s="298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98"/>
      <c r="AH172" s="194"/>
      <c r="AI172" s="61"/>
      <c r="AJ172" s="373"/>
      <c r="AK172" s="81"/>
      <c r="AL172" s="81"/>
      <c r="AM172" s="61"/>
      <c r="AN172" s="298"/>
      <c r="AP172" s="194"/>
      <c r="AQ172" s="61"/>
      <c r="AR172" s="61"/>
      <c r="AS172" s="81"/>
      <c r="AT172" s="81"/>
      <c r="AU172" s="61"/>
      <c r="AV172" s="298"/>
      <c r="AX172" s="270"/>
      <c r="AY172" s="109"/>
      <c r="AZ172" s="373"/>
      <c r="BA172" s="344"/>
      <c r="BB172" s="344"/>
      <c r="BC172" s="61"/>
      <c r="BD172" s="298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86"/>
      <c r="J173" s="194"/>
      <c r="K173" s="61"/>
      <c r="L173" s="61"/>
      <c r="M173" s="81"/>
      <c r="N173" s="81"/>
      <c r="O173" s="61"/>
      <c r="P173" s="298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98"/>
      <c r="AH173" s="194"/>
      <c r="AI173" s="61"/>
      <c r="AJ173" s="373"/>
      <c r="AK173" s="81"/>
      <c r="AL173" s="81"/>
      <c r="AM173" s="61"/>
      <c r="AN173" s="298"/>
      <c r="AP173" s="194"/>
      <c r="AQ173" s="61"/>
      <c r="AR173" s="61"/>
      <c r="AS173" s="81"/>
      <c r="AT173" s="81"/>
      <c r="AU173" s="61"/>
      <c r="AV173" s="298"/>
      <c r="AX173" s="270"/>
      <c r="AY173" s="61"/>
      <c r="AZ173" s="373"/>
      <c r="BA173" s="344"/>
      <c r="BB173" s="344"/>
      <c r="BC173" s="61"/>
      <c r="BD173" s="298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86"/>
      <c r="J174" s="194"/>
      <c r="K174" s="61"/>
      <c r="L174" s="61"/>
      <c r="M174" s="81"/>
      <c r="N174" s="81"/>
      <c r="O174" s="61"/>
      <c r="P174" s="298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98"/>
      <c r="AH174" s="194"/>
      <c r="AI174" s="61"/>
      <c r="AJ174" s="373"/>
      <c r="AK174" s="81"/>
      <c r="AL174" s="81"/>
      <c r="AM174" s="61"/>
      <c r="AN174" s="298"/>
      <c r="AP174" s="194"/>
      <c r="AQ174" s="61"/>
      <c r="AR174" s="61"/>
      <c r="AS174" s="81"/>
      <c r="AT174" s="81"/>
      <c r="AU174" s="61"/>
      <c r="AV174" s="298"/>
      <c r="AX174" s="270"/>
      <c r="AY174" s="109"/>
      <c r="AZ174" s="373"/>
      <c r="BA174" s="344"/>
      <c r="BB174" s="344"/>
      <c r="BC174" s="61"/>
      <c r="BD174" s="298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86"/>
      <c r="J175" s="194"/>
      <c r="K175" s="61"/>
      <c r="L175" s="61"/>
      <c r="M175" s="81"/>
      <c r="N175" s="81"/>
      <c r="O175" s="61"/>
      <c r="P175" s="298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98"/>
      <c r="AH175" s="194"/>
      <c r="AI175" s="61"/>
      <c r="AJ175" s="373"/>
      <c r="AK175" s="81"/>
      <c r="AL175" s="81"/>
      <c r="AM175" s="61"/>
      <c r="AN175" s="298"/>
      <c r="AP175" s="194"/>
      <c r="AQ175" s="61"/>
      <c r="AR175" s="61"/>
      <c r="AS175" s="81"/>
      <c r="AT175" s="81"/>
      <c r="AU175" s="61"/>
      <c r="AV175" s="298"/>
      <c r="AX175" s="270"/>
      <c r="AY175" s="109"/>
      <c r="AZ175" s="373"/>
      <c r="BA175" s="344"/>
      <c r="BB175" s="344"/>
      <c r="BC175" s="61"/>
      <c r="BD175" s="298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86"/>
      <c r="J176" s="194"/>
      <c r="K176" s="61"/>
      <c r="L176" s="61"/>
      <c r="M176" s="81"/>
      <c r="N176" s="81"/>
      <c r="O176" s="61"/>
      <c r="P176" s="298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98"/>
      <c r="AH176" s="194"/>
      <c r="AI176" s="61"/>
      <c r="AJ176" s="373"/>
      <c r="AK176" s="81"/>
      <c r="AL176" s="81"/>
      <c r="AM176" s="61"/>
      <c r="AN176" s="298"/>
      <c r="AP176" s="194"/>
      <c r="AQ176" s="61"/>
      <c r="AR176" s="61"/>
      <c r="AS176" s="81"/>
      <c r="AT176" s="81"/>
      <c r="AU176" s="61"/>
      <c r="AV176" s="298"/>
      <c r="AX176" s="270"/>
      <c r="AY176" s="109"/>
      <c r="AZ176" s="373"/>
      <c r="BA176" s="344"/>
      <c r="BB176" s="344"/>
      <c r="BC176" s="61"/>
      <c r="BD176" s="298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86"/>
      <c r="J177" s="194"/>
      <c r="K177" s="61"/>
      <c r="L177" s="61"/>
      <c r="M177" s="81"/>
      <c r="N177" s="81"/>
      <c r="O177" s="61"/>
      <c r="P177" s="298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98"/>
      <c r="AH177" s="194"/>
      <c r="AI177" s="61"/>
      <c r="AJ177" s="373"/>
      <c r="AK177" s="81"/>
      <c r="AL177" s="81"/>
      <c r="AM177" s="61"/>
      <c r="AN177" s="298"/>
      <c r="AP177" s="194"/>
      <c r="AQ177" s="61"/>
      <c r="AR177" s="61"/>
      <c r="AS177" s="81"/>
      <c r="AT177" s="81"/>
      <c r="AU177" s="61"/>
      <c r="AV177" s="298"/>
      <c r="AX177" s="270"/>
      <c r="AY177" s="109"/>
      <c r="AZ177" s="373"/>
      <c r="BA177" s="344"/>
      <c r="BB177" s="344"/>
      <c r="BC177" s="61"/>
      <c r="BD177" s="298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86"/>
      <c r="J178" s="194"/>
      <c r="K178" s="61"/>
      <c r="L178" s="61"/>
      <c r="M178" s="81"/>
      <c r="N178" s="81"/>
      <c r="O178" s="61"/>
      <c r="P178" s="298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98"/>
      <c r="AH178" s="194"/>
      <c r="AI178" s="61"/>
      <c r="AJ178" s="373"/>
      <c r="AK178" s="81"/>
      <c r="AL178" s="81"/>
      <c r="AM178" s="61"/>
      <c r="AN178" s="298"/>
      <c r="AP178" s="194"/>
      <c r="AQ178" s="61"/>
      <c r="AR178" s="61"/>
      <c r="AS178" s="81"/>
      <c r="AT178" s="81"/>
      <c r="AU178" s="61"/>
      <c r="AV178" s="298"/>
      <c r="AX178" s="194"/>
      <c r="AY178" s="61"/>
      <c r="AZ178" s="373"/>
      <c r="BA178" s="81"/>
      <c r="BB178" s="81"/>
      <c r="BC178" s="61"/>
      <c r="BD178" s="298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86"/>
      <c r="J179" s="194"/>
      <c r="K179" s="61"/>
      <c r="L179" s="61"/>
      <c r="M179" s="81"/>
      <c r="N179" s="81"/>
      <c r="O179" s="61"/>
      <c r="P179" s="298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98"/>
      <c r="AH179" s="194"/>
      <c r="AI179" s="61"/>
      <c r="AJ179" s="373"/>
      <c r="AK179" s="81"/>
      <c r="AL179" s="81"/>
      <c r="AM179" s="61"/>
      <c r="AN179" s="298"/>
      <c r="AP179" s="194"/>
      <c r="AQ179" s="61"/>
      <c r="AR179" s="61"/>
      <c r="AS179" s="81"/>
      <c r="AT179" s="81"/>
      <c r="AU179" s="61"/>
      <c r="AV179" s="298"/>
      <c r="AX179" s="194"/>
      <c r="AY179" s="61"/>
      <c r="AZ179" s="373"/>
      <c r="BA179" s="81"/>
      <c r="BB179" s="81"/>
      <c r="BC179" s="61"/>
      <c r="BD179" s="298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86"/>
      <c r="J180" s="194"/>
      <c r="K180" s="61"/>
      <c r="L180" s="61"/>
      <c r="M180" s="81"/>
      <c r="N180" s="81"/>
      <c r="O180" s="61"/>
      <c r="P180" s="298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98"/>
      <c r="AH180" s="194"/>
      <c r="AI180" s="61"/>
      <c r="AJ180" s="373"/>
      <c r="AK180" s="81"/>
      <c r="AL180" s="81"/>
      <c r="AM180" s="61"/>
      <c r="AN180" s="298"/>
      <c r="AP180" s="194"/>
      <c r="AQ180" s="61"/>
      <c r="AR180" s="61"/>
      <c r="AS180" s="81"/>
      <c r="AT180" s="81"/>
      <c r="AU180" s="61"/>
      <c r="AV180" s="298"/>
      <c r="AX180" s="194"/>
      <c r="AY180" s="61"/>
      <c r="AZ180" s="373"/>
      <c r="BA180" s="81"/>
      <c r="BB180" s="81"/>
      <c r="BC180" s="61"/>
      <c r="BD180" s="298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86"/>
      <c r="J181" s="194"/>
      <c r="K181" s="61"/>
      <c r="L181" s="61"/>
      <c r="M181" s="81"/>
      <c r="N181" s="81"/>
      <c r="O181" s="61"/>
      <c r="P181" s="298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98"/>
      <c r="AH181" s="194"/>
      <c r="AI181" s="61"/>
      <c r="AJ181" s="373"/>
      <c r="AK181" s="81"/>
      <c r="AL181" s="81"/>
      <c r="AM181" s="61"/>
      <c r="AN181" s="298"/>
      <c r="AP181" s="194"/>
      <c r="AQ181" s="61"/>
      <c r="AR181" s="61"/>
      <c r="AS181" s="81"/>
      <c r="AT181" s="81"/>
      <c r="AU181" s="61"/>
      <c r="AV181" s="298"/>
      <c r="AX181" s="194"/>
      <c r="AY181" s="61"/>
      <c r="AZ181" s="373"/>
      <c r="BA181" s="81"/>
      <c r="BB181" s="81"/>
      <c r="BC181" s="61"/>
      <c r="BD181" s="298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86"/>
      <c r="J182" s="194"/>
      <c r="K182" s="61"/>
      <c r="L182" s="61"/>
      <c r="M182" s="81"/>
      <c r="N182" s="81"/>
      <c r="O182" s="61"/>
      <c r="P182" s="298"/>
      <c r="R182" s="194"/>
      <c r="S182" s="61"/>
      <c r="T182" s="61"/>
      <c r="U182" s="81"/>
      <c r="V182" s="81"/>
      <c r="W182" s="61"/>
      <c r="X182" s="298"/>
      <c r="Z182" s="194"/>
      <c r="AA182" s="61"/>
      <c r="AB182" s="61"/>
      <c r="AC182" s="81"/>
      <c r="AD182" s="81"/>
      <c r="AE182" s="61"/>
      <c r="AF182" s="298"/>
      <c r="AH182" s="194"/>
      <c r="AI182" s="61"/>
      <c r="AJ182" s="373"/>
      <c r="AK182" s="81"/>
      <c r="AL182" s="81"/>
      <c r="AM182" s="61"/>
      <c r="AN182" s="298"/>
      <c r="AP182" s="194"/>
      <c r="AQ182" s="61"/>
      <c r="AR182" s="61"/>
      <c r="AS182" s="81"/>
      <c r="AT182" s="81"/>
      <c r="AU182" s="61"/>
      <c r="AV182" s="298"/>
      <c r="AX182" s="194"/>
      <c r="AY182" s="61"/>
      <c r="AZ182" s="373"/>
      <c r="BA182" s="81"/>
      <c r="BB182" s="81"/>
      <c r="BC182" s="61"/>
      <c r="BD182" s="298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86"/>
      <c r="J183" s="194"/>
      <c r="K183" s="61"/>
      <c r="L183" s="61"/>
      <c r="M183" s="81"/>
      <c r="N183" s="81"/>
      <c r="O183" s="61"/>
      <c r="P183" s="298"/>
      <c r="R183" s="194"/>
      <c r="S183" s="61"/>
      <c r="T183" s="61"/>
      <c r="U183" s="81"/>
      <c r="V183" s="81"/>
      <c r="W183" s="61"/>
      <c r="X183" s="269"/>
      <c r="Z183" s="194"/>
      <c r="AA183" s="61"/>
      <c r="AB183" s="61"/>
      <c r="AC183" s="81"/>
      <c r="AD183" s="81"/>
      <c r="AE183" s="61"/>
      <c r="AF183" s="298"/>
      <c r="AH183" s="194"/>
      <c r="AI183" s="61"/>
      <c r="AJ183" s="373"/>
      <c r="AK183" s="81"/>
      <c r="AL183" s="81"/>
      <c r="AM183" s="61"/>
      <c r="AN183" s="298"/>
      <c r="AP183" s="194"/>
      <c r="AQ183" s="61"/>
      <c r="AR183" s="61"/>
      <c r="AS183" s="81"/>
      <c r="AT183" s="81"/>
      <c r="AU183" s="61"/>
      <c r="AV183" s="298"/>
      <c r="AX183" s="194"/>
      <c r="AY183" s="61"/>
      <c r="AZ183" s="373"/>
      <c r="BA183" s="81"/>
      <c r="BB183" s="81"/>
      <c r="BC183" s="61"/>
      <c r="BD183" s="298"/>
      <c r="BF183" s="194"/>
      <c r="BG183" s="61"/>
      <c r="BH183" s="61"/>
      <c r="BI183" s="81"/>
      <c r="BJ183" s="81"/>
      <c r="BK183" s="61"/>
      <c r="BL183" s="298"/>
    </row>
    <row r="184" ht="22.5" customHeight="1">
      <c r="A184" s="368"/>
      <c r="B184" s="444"/>
      <c r="C184" s="195"/>
      <c r="D184" s="195"/>
      <c r="E184" s="199"/>
      <c r="F184" s="199"/>
      <c r="G184" s="195"/>
      <c r="H184" s="371"/>
      <c r="J184" s="194"/>
      <c r="K184" s="61"/>
      <c r="L184" s="61"/>
      <c r="M184" s="81"/>
      <c r="N184" s="81"/>
      <c r="O184" s="61"/>
      <c r="P184" s="269"/>
      <c r="R184" s="194"/>
      <c r="S184" s="61"/>
      <c r="T184" s="61"/>
      <c r="U184" s="81"/>
      <c r="V184" s="81"/>
      <c r="W184" s="61"/>
      <c r="X184" s="269"/>
      <c r="Z184" s="194"/>
      <c r="AA184" s="61"/>
      <c r="AB184" s="61"/>
      <c r="AC184" s="81"/>
      <c r="AD184" s="81"/>
      <c r="AE184" s="61"/>
      <c r="AF184" s="269"/>
      <c r="AH184" s="194"/>
      <c r="AI184" s="61"/>
      <c r="AJ184" s="373"/>
      <c r="AK184" s="81"/>
      <c r="AL184" s="81"/>
      <c r="AM184" s="61"/>
      <c r="AN184" s="298"/>
      <c r="AP184" s="194"/>
      <c r="AQ184" s="61"/>
      <c r="AR184" s="61"/>
      <c r="AS184" s="81"/>
      <c r="AT184" s="81"/>
      <c r="AU184" s="61"/>
      <c r="AV184" s="298"/>
      <c r="AX184" s="194"/>
      <c r="AY184" s="61"/>
      <c r="AZ184" s="373"/>
      <c r="BA184" s="81"/>
      <c r="BB184" s="81"/>
      <c r="BC184" s="61"/>
      <c r="BD184" s="298"/>
      <c r="BF184" s="194"/>
      <c r="BG184" s="61"/>
      <c r="BH184" s="61"/>
      <c r="BI184" s="81"/>
      <c r="BJ184" s="81"/>
      <c r="BK184" s="61"/>
      <c r="BL184" s="269"/>
    </row>
    <row r="185" ht="22.5" customHeight="1">
      <c r="A185" s="368"/>
      <c r="B185" s="444"/>
      <c r="C185" s="195"/>
      <c r="D185" s="195"/>
      <c r="E185" s="199"/>
      <c r="F185" s="199"/>
      <c r="G185" s="195"/>
      <c r="H185" s="371"/>
      <c r="J185" s="194"/>
      <c r="K185" s="61"/>
      <c r="L185" s="61"/>
      <c r="M185" s="81"/>
      <c r="N185" s="81"/>
      <c r="O185" s="61"/>
      <c r="P185" s="269"/>
      <c r="R185" s="194"/>
      <c r="S185" s="61"/>
      <c r="T185" s="61"/>
      <c r="U185" s="81"/>
      <c r="V185" s="81"/>
      <c r="W185" s="61"/>
      <c r="X185" s="269"/>
      <c r="Z185" s="194"/>
      <c r="AA185" s="61"/>
      <c r="AB185" s="61"/>
      <c r="AC185" s="81"/>
      <c r="AD185" s="81"/>
      <c r="AE185" s="61"/>
      <c r="AF185" s="269"/>
      <c r="AH185" s="194"/>
      <c r="AI185" s="61"/>
      <c r="AJ185" s="373"/>
      <c r="AK185" s="81"/>
      <c r="AL185" s="81"/>
      <c r="AM185" s="61"/>
      <c r="AN185" s="298"/>
      <c r="AP185" s="194"/>
      <c r="AQ185" s="61"/>
      <c r="AR185" s="61"/>
      <c r="AS185" s="81"/>
      <c r="AT185" s="81"/>
      <c r="AU185" s="61"/>
      <c r="AV185" s="298"/>
      <c r="AX185" s="194"/>
      <c r="AY185" s="61"/>
      <c r="AZ185" s="373"/>
      <c r="BA185" s="81"/>
      <c r="BB185" s="81"/>
      <c r="BC185" s="61"/>
      <c r="BD185" s="298"/>
      <c r="BF185" s="194"/>
      <c r="BG185" s="61"/>
      <c r="BH185" s="61"/>
      <c r="BI185" s="81"/>
      <c r="BJ185" s="81"/>
      <c r="BK185" s="61"/>
      <c r="BL185" s="269"/>
    </row>
    <row r="186" ht="22.5" customHeight="1">
      <c r="A186" s="368"/>
      <c r="B186" s="444"/>
      <c r="C186" s="195"/>
      <c r="D186" s="195"/>
      <c r="E186" s="199"/>
      <c r="F186" s="199"/>
      <c r="G186" s="195"/>
      <c r="H186" s="371"/>
      <c r="J186" s="194"/>
      <c r="K186" s="61"/>
      <c r="L186" s="61"/>
      <c r="M186" s="81"/>
      <c r="N186" s="81"/>
      <c r="O186" s="61"/>
      <c r="P186" s="269"/>
      <c r="R186" s="194"/>
      <c r="S186" s="61"/>
      <c r="T186" s="61"/>
      <c r="U186" s="81"/>
      <c r="V186" s="81"/>
      <c r="W186" s="61"/>
      <c r="X186" s="269"/>
      <c r="Z186" s="194"/>
      <c r="AA186" s="61"/>
      <c r="AB186" s="61"/>
      <c r="AC186" s="81"/>
      <c r="AD186" s="81"/>
      <c r="AE186" s="61"/>
      <c r="AF186" s="269"/>
      <c r="AH186" s="194"/>
      <c r="AI186" s="61"/>
      <c r="AJ186" s="373"/>
      <c r="AK186" s="81"/>
      <c r="AL186" s="81"/>
      <c r="AM186" s="61"/>
      <c r="AN186" s="298"/>
      <c r="AP186" s="194"/>
      <c r="AQ186" s="61"/>
      <c r="AR186" s="61"/>
      <c r="AS186" s="81"/>
      <c r="AT186" s="81"/>
      <c r="AU186" s="61"/>
      <c r="AV186" s="298"/>
      <c r="AX186" s="194"/>
      <c r="AY186" s="61"/>
      <c r="AZ186" s="373"/>
      <c r="BA186" s="81"/>
      <c r="BB186" s="81"/>
      <c r="BC186" s="61"/>
      <c r="BD186" s="298"/>
      <c r="BF186" s="194"/>
      <c r="BG186" s="61"/>
      <c r="BH186" s="61"/>
      <c r="BI186" s="81"/>
      <c r="BJ186" s="81"/>
      <c r="BK186" s="61"/>
      <c r="BL186" s="269"/>
    </row>
    <row r="187" ht="22.5" customHeight="1">
      <c r="A187" s="368"/>
      <c r="B187" s="444"/>
      <c r="C187" s="195"/>
      <c r="D187" s="195"/>
      <c r="E187" s="199"/>
      <c r="F187" s="199"/>
      <c r="G187" s="195"/>
      <c r="H187" s="371"/>
      <c r="J187" s="194"/>
      <c r="K187" s="61"/>
      <c r="L187" s="61"/>
      <c r="M187" s="81"/>
      <c r="N187" s="81"/>
      <c r="O187" s="61"/>
      <c r="P187" s="269"/>
      <c r="R187" s="194"/>
      <c r="S187" s="61"/>
      <c r="T187" s="61"/>
      <c r="U187" s="81"/>
      <c r="V187" s="81"/>
      <c r="W187" s="61"/>
      <c r="X187" s="269"/>
      <c r="Z187" s="194"/>
      <c r="AA187" s="61"/>
      <c r="AB187" s="61"/>
      <c r="AC187" s="81"/>
      <c r="AD187" s="81"/>
      <c r="AE187" s="61"/>
      <c r="AF187" s="269"/>
      <c r="AH187" s="194"/>
      <c r="AI187" s="61"/>
      <c r="AJ187" s="373"/>
      <c r="AK187" s="81"/>
      <c r="AL187" s="81"/>
      <c r="AM187" s="61"/>
      <c r="AN187" s="298"/>
      <c r="AP187" s="194"/>
      <c r="AQ187" s="61"/>
      <c r="AR187" s="61"/>
      <c r="AS187" s="81"/>
      <c r="AT187" s="81"/>
      <c r="AU187" s="61"/>
      <c r="AV187" s="298"/>
      <c r="AX187" s="194"/>
      <c r="AY187" s="61"/>
      <c r="AZ187" s="373"/>
      <c r="BA187" s="81"/>
      <c r="BB187" s="81"/>
      <c r="BC187" s="61"/>
      <c r="BD187" s="298"/>
      <c r="BF187" s="194"/>
      <c r="BG187" s="61"/>
      <c r="BH187" s="61"/>
      <c r="BI187" s="81"/>
      <c r="BJ187" s="81"/>
      <c r="BK187" s="61"/>
      <c r="BL187" s="269"/>
    </row>
    <row r="188" ht="22.5" customHeight="1">
      <c r="A188" s="368"/>
      <c r="B188" s="444"/>
      <c r="C188" s="195"/>
      <c r="D188" s="195"/>
      <c r="E188" s="199"/>
      <c r="F188" s="199"/>
      <c r="G188" s="195"/>
      <c r="H188" s="371"/>
      <c r="J188" s="194"/>
      <c r="K188" s="61"/>
      <c r="L188" s="61"/>
      <c r="M188" s="81"/>
      <c r="N188" s="81"/>
      <c r="O188" s="61"/>
      <c r="P188" s="269"/>
      <c r="R188" s="194"/>
      <c r="S188" s="61"/>
      <c r="T188" s="61"/>
      <c r="U188" s="81"/>
      <c r="V188" s="81"/>
      <c r="W188" s="61"/>
      <c r="X188" s="269"/>
      <c r="Z188" s="194"/>
      <c r="AA188" s="61"/>
      <c r="AB188" s="61"/>
      <c r="AC188" s="81"/>
      <c r="AD188" s="81"/>
      <c r="AE188" s="61"/>
      <c r="AF188" s="269"/>
      <c r="AH188" s="194"/>
      <c r="AI188" s="61"/>
      <c r="AJ188" s="373"/>
      <c r="AK188" s="81"/>
      <c r="AL188" s="81"/>
      <c r="AM188" s="61"/>
      <c r="AN188" s="298"/>
      <c r="AP188" s="194"/>
      <c r="AQ188" s="61"/>
      <c r="AR188" s="61"/>
      <c r="AS188" s="81"/>
      <c r="AT188" s="81"/>
      <c r="AU188" s="61"/>
      <c r="AV188" s="298"/>
      <c r="AX188" s="194"/>
      <c r="AY188" s="61"/>
      <c r="AZ188" s="373"/>
      <c r="BA188" s="81"/>
      <c r="BB188" s="81"/>
      <c r="BC188" s="61"/>
      <c r="BD188" s="298"/>
      <c r="BF188" s="194"/>
      <c r="BG188" s="61"/>
      <c r="BH188" s="61"/>
      <c r="BI188" s="81"/>
      <c r="BJ188" s="81"/>
      <c r="BK188" s="61"/>
      <c r="BL188" s="269"/>
    </row>
    <row r="189" ht="22.5" customHeight="1">
      <c r="A189" s="368"/>
      <c r="B189" s="444"/>
      <c r="C189" s="195"/>
      <c r="D189" s="195"/>
      <c r="E189" s="199"/>
      <c r="F189" s="199"/>
      <c r="G189" s="195"/>
      <c r="H189" s="371"/>
      <c r="J189" s="194"/>
      <c r="K189" s="61"/>
      <c r="L189" s="61"/>
      <c r="M189" s="81"/>
      <c r="N189" s="81"/>
      <c r="O189" s="61"/>
      <c r="P189" s="269"/>
      <c r="R189" s="194"/>
      <c r="S189" s="61"/>
      <c r="T189" s="61"/>
      <c r="U189" s="81"/>
      <c r="V189" s="81"/>
      <c r="W189" s="61"/>
      <c r="X189" s="269"/>
      <c r="Z189" s="194"/>
      <c r="AA189" s="61"/>
      <c r="AB189" s="61"/>
      <c r="AC189" s="81"/>
      <c r="AD189" s="81"/>
      <c r="AE189" s="61"/>
      <c r="AF189" s="269"/>
      <c r="AH189" s="194"/>
      <c r="AI189" s="61"/>
      <c r="AJ189" s="373"/>
      <c r="AK189" s="81"/>
      <c r="AL189" s="81"/>
      <c r="AM189" s="61"/>
      <c r="AN189" s="298"/>
      <c r="AP189" s="194"/>
      <c r="AQ189" s="61"/>
      <c r="AR189" s="61"/>
      <c r="AS189" s="81"/>
      <c r="AT189" s="81"/>
      <c r="AU189" s="61"/>
      <c r="AV189" s="298"/>
      <c r="AX189" s="194"/>
      <c r="AY189" s="61"/>
      <c r="AZ189" s="373"/>
      <c r="BA189" s="81"/>
      <c r="BB189" s="81"/>
      <c r="BC189" s="61"/>
      <c r="BD189" s="298"/>
      <c r="BF189" s="194"/>
      <c r="BG189" s="61"/>
      <c r="BH189" s="61"/>
      <c r="BI189" s="81"/>
      <c r="BJ189" s="81"/>
      <c r="BK189" s="61"/>
      <c r="BL189" s="269"/>
    </row>
    <row r="190" ht="22.5" customHeight="1">
      <c r="A190" s="368"/>
      <c r="B190" s="444"/>
      <c r="C190" s="195"/>
      <c r="D190" s="195"/>
      <c r="E190" s="199"/>
      <c r="F190" s="199"/>
      <c r="G190" s="195"/>
      <c r="H190" s="371"/>
      <c r="J190" s="194"/>
      <c r="K190" s="61"/>
      <c r="L190" s="61"/>
      <c r="M190" s="81"/>
      <c r="N190" s="81"/>
      <c r="O190" s="61"/>
      <c r="P190" s="269"/>
      <c r="R190" s="194"/>
      <c r="S190" s="61"/>
      <c r="T190" s="61"/>
      <c r="U190" s="81"/>
      <c r="V190" s="81"/>
      <c r="W190" s="61"/>
      <c r="X190" s="269"/>
      <c r="Z190" s="194"/>
      <c r="AA190" s="61"/>
      <c r="AB190" s="61"/>
      <c r="AC190" s="81"/>
      <c r="AD190" s="81"/>
      <c r="AE190" s="61"/>
      <c r="AF190" s="269"/>
      <c r="AH190" s="194"/>
      <c r="AI190" s="61"/>
      <c r="AJ190" s="373"/>
      <c r="AK190" s="81"/>
      <c r="AL190" s="81"/>
      <c r="AM190" s="61"/>
      <c r="AN190" s="298"/>
      <c r="AP190" s="194"/>
      <c r="AQ190" s="61"/>
      <c r="AR190" s="61"/>
      <c r="AS190" s="81"/>
      <c r="AT190" s="81"/>
      <c r="AU190" s="61"/>
      <c r="AV190" s="298"/>
      <c r="AX190" s="194"/>
      <c r="AY190" s="61"/>
      <c r="AZ190" s="373"/>
      <c r="BA190" s="81"/>
      <c r="BB190" s="81"/>
      <c r="BC190" s="61"/>
      <c r="BD190" s="298"/>
      <c r="BF190" s="194"/>
      <c r="BG190" s="61"/>
      <c r="BH190" s="61"/>
      <c r="BI190" s="81"/>
      <c r="BJ190" s="81"/>
      <c r="BK190" s="61"/>
      <c r="BL190" s="269"/>
    </row>
    <row r="191" ht="22.5" customHeight="1">
      <c r="A191" s="368"/>
      <c r="B191" s="444"/>
      <c r="C191" s="195"/>
      <c r="D191" s="195"/>
      <c r="E191" s="199"/>
      <c r="F191" s="199"/>
      <c r="G191" s="195"/>
      <c r="H191" s="371"/>
      <c r="J191" s="194"/>
      <c r="K191" s="61"/>
      <c r="L191" s="61"/>
      <c r="M191" s="81"/>
      <c r="N191" s="81"/>
      <c r="O191" s="61"/>
      <c r="P191" s="269"/>
      <c r="R191" s="194"/>
      <c r="S191" s="61"/>
      <c r="T191" s="61"/>
      <c r="U191" s="81"/>
      <c r="V191" s="81"/>
      <c r="W191" s="61"/>
      <c r="X191" s="269"/>
      <c r="Z191" s="194"/>
      <c r="AA191" s="61"/>
      <c r="AB191" s="61"/>
      <c r="AC191" s="81"/>
      <c r="AD191" s="81"/>
      <c r="AE191" s="61"/>
      <c r="AF191" s="269"/>
      <c r="AH191" s="194"/>
      <c r="AI191" s="61"/>
      <c r="AJ191" s="373"/>
      <c r="AK191" s="81"/>
      <c r="AL191" s="81"/>
      <c r="AM191" s="61"/>
      <c r="AN191" s="298"/>
      <c r="AP191" s="194"/>
      <c r="AQ191" s="61"/>
      <c r="AR191" s="61"/>
      <c r="AS191" s="81"/>
      <c r="AT191" s="81"/>
      <c r="AU191" s="61"/>
      <c r="AV191" s="298"/>
      <c r="AX191" s="194"/>
      <c r="AY191" s="61"/>
      <c r="AZ191" s="373"/>
      <c r="BA191" s="81"/>
      <c r="BB191" s="81"/>
      <c r="BC191" s="61"/>
      <c r="BD191" s="298"/>
      <c r="BF191" s="194"/>
      <c r="BG191" s="61"/>
      <c r="BH191" s="61"/>
      <c r="BI191" s="81"/>
      <c r="BJ191" s="81"/>
      <c r="BK191" s="61"/>
      <c r="BL191" s="269"/>
    </row>
    <row r="192" ht="22.5" customHeight="1">
      <c r="A192" s="368"/>
      <c r="B192" s="444"/>
      <c r="C192" s="195"/>
      <c r="D192" s="195"/>
      <c r="E192" s="199"/>
      <c r="F192" s="199"/>
      <c r="G192" s="195"/>
      <c r="H192" s="371"/>
      <c r="J192" s="194"/>
      <c r="K192" s="61"/>
      <c r="L192" s="61"/>
      <c r="M192" s="81"/>
      <c r="N192" s="81"/>
      <c r="O192" s="61"/>
      <c r="P192" s="269"/>
      <c r="R192" s="194"/>
      <c r="S192" s="61"/>
      <c r="T192" s="61"/>
      <c r="U192" s="81"/>
      <c r="V192" s="81"/>
      <c r="W192" s="61"/>
      <c r="X192" s="269"/>
      <c r="Z192" s="194"/>
      <c r="AA192" s="61"/>
      <c r="AB192" s="61"/>
      <c r="AC192" s="81"/>
      <c r="AD192" s="81"/>
      <c r="AE192" s="61"/>
      <c r="AF192" s="269"/>
      <c r="AH192" s="194"/>
      <c r="AI192" s="61"/>
      <c r="AJ192" s="373"/>
      <c r="AK192" s="81"/>
      <c r="AL192" s="81"/>
      <c r="AM192" s="61"/>
      <c r="AN192" s="298"/>
      <c r="AP192" s="194"/>
      <c r="AQ192" s="61"/>
      <c r="AR192" s="61"/>
      <c r="AS192" s="81"/>
      <c r="AT192" s="81"/>
      <c r="AU192" s="61"/>
      <c r="AV192" s="298"/>
      <c r="AX192" s="194"/>
      <c r="AY192" s="61"/>
      <c r="AZ192" s="373"/>
      <c r="BA192" s="81"/>
      <c r="BB192" s="81"/>
      <c r="BC192" s="61"/>
      <c r="BD192" s="298"/>
      <c r="BF192" s="194"/>
      <c r="BG192" s="61"/>
      <c r="BH192" s="61"/>
      <c r="BI192" s="81"/>
      <c r="BJ192" s="81"/>
      <c r="BK192" s="61"/>
      <c r="BL192" s="269"/>
    </row>
    <row r="193" ht="22.5" customHeight="1">
      <c r="A193" s="368"/>
      <c r="B193" s="444"/>
      <c r="C193" s="195"/>
      <c r="D193" s="195"/>
      <c r="E193" s="199"/>
      <c r="F193" s="199"/>
      <c r="G193" s="195"/>
      <c r="H193" s="371"/>
      <c r="J193" s="194"/>
      <c r="K193" s="61"/>
      <c r="L193" s="61"/>
      <c r="M193" s="81"/>
      <c r="N193" s="81"/>
      <c r="O193" s="61"/>
      <c r="P193" s="269"/>
      <c r="R193" s="194"/>
      <c r="S193" s="61"/>
      <c r="T193" s="61"/>
      <c r="U193" s="81"/>
      <c r="V193" s="81"/>
      <c r="W193" s="61"/>
      <c r="X193" s="269"/>
      <c r="Z193" s="194"/>
      <c r="AA193" s="61"/>
      <c r="AB193" s="61"/>
      <c r="AC193" s="81"/>
      <c r="AD193" s="81"/>
      <c r="AE193" s="61"/>
      <c r="AF193" s="269"/>
      <c r="AH193" s="194"/>
      <c r="AI193" s="61"/>
      <c r="AJ193" s="373"/>
      <c r="AK193" s="81"/>
      <c r="AL193" s="81"/>
      <c r="AM193" s="61"/>
      <c r="AN193" s="298"/>
      <c r="AP193" s="194"/>
      <c r="AQ193" s="61"/>
      <c r="AR193" s="61"/>
      <c r="AS193" s="81"/>
      <c r="AT193" s="81"/>
      <c r="AU193" s="61"/>
      <c r="AV193" s="298"/>
      <c r="AX193" s="194"/>
      <c r="AY193" s="61"/>
      <c r="AZ193" s="373"/>
      <c r="BA193" s="81"/>
      <c r="BB193" s="81"/>
      <c r="BC193" s="61"/>
      <c r="BD193" s="298"/>
      <c r="BF193" s="194"/>
      <c r="BG193" s="61"/>
      <c r="BH193" s="61"/>
      <c r="BI193" s="81"/>
      <c r="BJ193" s="81"/>
      <c r="BK193" s="61"/>
      <c r="BL193" s="269"/>
    </row>
    <row r="194" ht="22.5" customHeight="1">
      <c r="A194" s="368"/>
      <c r="B194" s="444"/>
      <c r="C194" s="195"/>
      <c r="D194" s="195"/>
      <c r="E194" s="199"/>
      <c r="F194" s="199"/>
      <c r="G194" s="195"/>
      <c r="H194" s="371"/>
      <c r="J194" s="194"/>
      <c r="K194" s="61"/>
      <c r="L194" s="61"/>
      <c r="M194" s="81"/>
      <c r="N194" s="81"/>
      <c r="O194" s="61"/>
      <c r="P194" s="269"/>
      <c r="R194" s="194"/>
      <c r="S194" s="61"/>
      <c r="T194" s="61"/>
      <c r="U194" s="81"/>
      <c r="V194" s="81"/>
      <c r="W194" s="61"/>
      <c r="X194" s="269"/>
      <c r="Z194" s="194"/>
      <c r="AA194" s="61"/>
      <c r="AB194" s="61"/>
      <c r="AC194" s="81"/>
      <c r="AD194" s="81"/>
      <c r="AE194" s="61"/>
      <c r="AF194" s="269"/>
      <c r="AH194" s="194"/>
      <c r="AI194" s="61"/>
      <c r="AJ194" s="373"/>
      <c r="AK194" s="81"/>
      <c r="AL194" s="81"/>
      <c r="AM194" s="61"/>
      <c r="AN194" s="298"/>
      <c r="AP194" s="194"/>
      <c r="AQ194" s="61"/>
      <c r="AR194" s="61"/>
      <c r="AS194" s="81"/>
      <c r="AT194" s="81"/>
      <c r="AU194" s="61"/>
      <c r="AV194" s="298"/>
      <c r="AX194" s="194"/>
      <c r="AY194" s="61"/>
      <c r="AZ194" s="373"/>
      <c r="BA194" s="81"/>
      <c r="BB194" s="81"/>
      <c r="BC194" s="61"/>
      <c r="BD194" s="298"/>
      <c r="BF194" s="194"/>
      <c r="BG194" s="61"/>
      <c r="BH194" s="61"/>
      <c r="BI194" s="81"/>
      <c r="BJ194" s="81"/>
      <c r="BK194" s="61"/>
      <c r="BL194" s="269"/>
    </row>
    <row r="195" ht="22.5" customHeight="1">
      <c r="A195" s="368"/>
      <c r="B195" s="444"/>
      <c r="C195" s="195"/>
      <c r="D195" s="195"/>
      <c r="E195" s="199"/>
      <c r="F195" s="199"/>
      <c r="G195" s="195"/>
      <c r="H195" s="371"/>
      <c r="J195" s="194"/>
      <c r="K195" s="61"/>
      <c r="L195" s="61"/>
      <c r="M195" s="81"/>
      <c r="N195" s="81"/>
      <c r="O195" s="61"/>
      <c r="P195" s="269"/>
      <c r="R195" s="194"/>
      <c r="S195" s="61"/>
      <c r="T195" s="61"/>
      <c r="U195" s="81"/>
      <c r="V195" s="81"/>
      <c r="W195" s="61"/>
      <c r="X195" s="269"/>
      <c r="Z195" s="194"/>
      <c r="AA195" s="61"/>
      <c r="AB195" s="61"/>
      <c r="AC195" s="81"/>
      <c r="AD195" s="81"/>
      <c r="AE195" s="61"/>
      <c r="AF195" s="269"/>
      <c r="AH195" s="194"/>
      <c r="AI195" s="61"/>
      <c r="AJ195" s="373"/>
      <c r="AK195" s="81"/>
      <c r="AL195" s="81"/>
      <c r="AM195" s="61"/>
      <c r="AN195" s="298"/>
      <c r="AP195" s="194"/>
      <c r="AQ195" s="61"/>
      <c r="AR195" s="61"/>
      <c r="AS195" s="81"/>
      <c r="AT195" s="81"/>
      <c r="AU195" s="61"/>
      <c r="AV195" s="298"/>
      <c r="AX195" s="194"/>
      <c r="AY195" s="61"/>
      <c r="AZ195" s="373"/>
      <c r="BA195" s="81"/>
      <c r="BB195" s="81"/>
      <c r="BC195" s="61"/>
      <c r="BD195" s="298"/>
      <c r="BF195" s="194"/>
      <c r="BG195" s="61"/>
      <c r="BH195" s="61"/>
      <c r="BI195" s="81"/>
      <c r="BJ195" s="81"/>
      <c r="BK195" s="61"/>
      <c r="BL195" s="269"/>
    </row>
    <row r="196" ht="22.5" customHeight="1">
      <c r="A196" s="368"/>
      <c r="B196" s="444"/>
      <c r="C196" s="195"/>
      <c r="D196" s="195"/>
      <c r="E196" s="199"/>
      <c r="F196" s="199"/>
      <c r="G196" s="195"/>
      <c r="H196" s="371"/>
      <c r="J196" s="194"/>
      <c r="K196" s="61"/>
      <c r="L196" s="61"/>
      <c r="M196" s="81"/>
      <c r="N196" s="81"/>
      <c r="O196" s="61"/>
      <c r="P196" s="269"/>
      <c r="R196" s="194"/>
      <c r="S196" s="61"/>
      <c r="T196" s="61"/>
      <c r="U196" s="81"/>
      <c r="V196" s="81"/>
      <c r="W196" s="61"/>
      <c r="X196" s="269"/>
      <c r="Z196" s="194"/>
      <c r="AA196" s="61"/>
      <c r="AB196" s="61"/>
      <c r="AC196" s="81"/>
      <c r="AD196" s="81"/>
      <c r="AE196" s="61"/>
      <c r="AF196" s="269"/>
      <c r="AH196" s="194"/>
      <c r="AI196" s="61"/>
      <c r="AJ196" s="373"/>
      <c r="AK196" s="81"/>
      <c r="AL196" s="81"/>
      <c r="AM196" s="61"/>
      <c r="AN196" s="298"/>
      <c r="AP196" s="194"/>
      <c r="AQ196" s="61"/>
      <c r="AR196" s="61"/>
      <c r="AS196" s="81"/>
      <c r="AT196" s="81"/>
      <c r="AU196" s="61"/>
      <c r="AV196" s="298"/>
      <c r="AX196" s="194"/>
      <c r="AY196" s="61"/>
      <c r="AZ196" s="373"/>
      <c r="BA196" s="81"/>
      <c r="BB196" s="81"/>
      <c r="BC196" s="61"/>
      <c r="BD196" s="298"/>
      <c r="BF196" s="194"/>
      <c r="BG196" s="61"/>
      <c r="BH196" s="61"/>
      <c r="BI196" s="81"/>
      <c r="BJ196" s="81"/>
      <c r="BK196" s="61"/>
      <c r="BL196" s="269"/>
    </row>
    <row r="197" ht="22.5" customHeight="1">
      <c r="A197" s="368"/>
      <c r="B197" s="444"/>
      <c r="C197" s="195"/>
      <c r="D197" s="195"/>
      <c r="E197" s="199"/>
      <c r="F197" s="199"/>
      <c r="G197" s="195"/>
      <c r="H197" s="371"/>
      <c r="J197" s="194"/>
      <c r="K197" s="61"/>
      <c r="L197" s="61"/>
      <c r="M197" s="81"/>
      <c r="N197" s="81"/>
      <c r="O197" s="61"/>
      <c r="P197" s="269"/>
      <c r="R197" s="194"/>
      <c r="S197" s="61"/>
      <c r="T197" s="61"/>
      <c r="U197" s="81"/>
      <c r="V197" s="81"/>
      <c r="W197" s="61"/>
      <c r="X197" s="269"/>
      <c r="Z197" s="194"/>
      <c r="AA197" s="61"/>
      <c r="AB197" s="61"/>
      <c r="AC197" s="81"/>
      <c r="AD197" s="81"/>
      <c r="AE197" s="61"/>
      <c r="AF197" s="269"/>
      <c r="AH197" s="194"/>
      <c r="AI197" s="61"/>
      <c r="AJ197" s="373"/>
      <c r="AK197" s="81"/>
      <c r="AL197" s="81"/>
      <c r="AM197" s="61"/>
      <c r="AN197" s="298"/>
      <c r="AP197" s="194"/>
      <c r="AQ197" s="61"/>
      <c r="AR197" s="61"/>
      <c r="AS197" s="81"/>
      <c r="AT197" s="81"/>
      <c r="AU197" s="61"/>
      <c r="AV197" s="298"/>
      <c r="AX197" s="194"/>
      <c r="AY197" s="61"/>
      <c r="AZ197" s="373"/>
      <c r="BA197" s="81"/>
      <c r="BB197" s="81"/>
      <c r="BC197" s="61"/>
      <c r="BD197" s="298"/>
      <c r="BF197" s="194"/>
      <c r="BG197" s="61"/>
      <c r="BH197" s="61"/>
      <c r="BI197" s="81"/>
      <c r="BJ197" s="81"/>
      <c r="BK197" s="61"/>
      <c r="BL197" s="269"/>
    </row>
    <row r="198" ht="22.5" customHeight="1">
      <c r="A198" s="368"/>
      <c r="B198" s="444"/>
      <c r="C198" s="195"/>
      <c r="D198" s="195"/>
      <c r="E198" s="199"/>
      <c r="F198" s="199"/>
      <c r="G198" s="195"/>
      <c r="H198" s="371"/>
      <c r="J198" s="194"/>
      <c r="K198" s="61"/>
      <c r="L198" s="61"/>
      <c r="M198" s="81"/>
      <c r="N198" s="81"/>
      <c r="O198" s="61"/>
      <c r="P198" s="269"/>
      <c r="R198" s="194"/>
      <c r="S198" s="61"/>
      <c r="T198" s="61"/>
      <c r="U198" s="81"/>
      <c r="V198" s="81"/>
      <c r="W198" s="61"/>
      <c r="X198" s="269"/>
      <c r="Z198" s="194"/>
      <c r="AA198" s="61"/>
      <c r="AB198" s="61"/>
      <c r="AC198" s="81"/>
      <c r="AD198" s="81"/>
      <c r="AE198" s="61"/>
      <c r="AF198" s="269"/>
      <c r="AH198" s="194"/>
      <c r="AI198" s="61"/>
      <c r="AJ198" s="373"/>
      <c r="AK198" s="81"/>
      <c r="AL198" s="81"/>
      <c r="AM198" s="61"/>
      <c r="AN198" s="298"/>
      <c r="AP198" s="194"/>
      <c r="AQ198" s="61"/>
      <c r="AR198" s="61"/>
      <c r="AS198" s="81"/>
      <c r="AT198" s="81"/>
      <c r="AU198" s="61"/>
      <c r="AV198" s="298"/>
      <c r="AX198" s="194"/>
      <c r="AY198" s="61"/>
      <c r="AZ198" s="373"/>
      <c r="BA198" s="81"/>
      <c r="BB198" s="81"/>
      <c r="BC198" s="61"/>
      <c r="BD198" s="298"/>
      <c r="BF198" s="194"/>
      <c r="BG198" s="61"/>
      <c r="BH198" s="61"/>
      <c r="BI198" s="81"/>
      <c r="BJ198" s="81"/>
      <c r="BK198" s="61"/>
      <c r="BL198" s="269"/>
    </row>
    <row r="199" ht="22.5" customHeight="1">
      <c r="A199" s="368"/>
      <c r="B199" s="444"/>
      <c r="C199" s="195"/>
      <c r="D199" s="195"/>
      <c r="E199" s="199"/>
      <c r="F199" s="199"/>
      <c r="G199" s="195"/>
      <c r="H199" s="371"/>
      <c r="J199" s="194"/>
      <c r="K199" s="61"/>
      <c r="L199" s="61"/>
      <c r="M199" s="81"/>
      <c r="N199" s="81"/>
      <c r="O199" s="61"/>
      <c r="P199" s="269"/>
      <c r="R199" s="194"/>
      <c r="S199" s="61"/>
      <c r="T199" s="61"/>
      <c r="U199" s="81"/>
      <c r="V199" s="81"/>
      <c r="W199" s="61"/>
      <c r="X199" s="269"/>
      <c r="Z199" s="194"/>
      <c r="AA199" s="61"/>
      <c r="AB199" s="61"/>
      <c r="AC199" s="81"/>
      <c r="AD199" s="81"/>
      <c r="AE199" s="61"/>
      <c r="AF199" s="269"/>
      <c r="AH199" s="194"/>
      <c r="AI199" s="61"/>
      <c r="AJ199" s="373"/>
      <c r="AK199" s="81"/>
      <c r="AL199" s="81"/>
      <c r="AM199" s="61"/>
      <c r="AN199" s="298"/>
      <c r="AP199" s="194"/>
      <c r="AQ199" s="61"/>
      <c r="AR199" s="61"/>
      <c r="AS199" s="81"/>
      <c r="AT199" s="81"/>
      <c r="AU199" s="61"/>
      <c r="AV199" s="298"/>
      <c r="AX199" s="194"/>
      <c r="AY199" s="61"/>
      <c r="AZ199" s="373"/>
      <c r="BA199" s="81"/>
      <c r="BB199" s="81"/>
      <c r="BC199" s="61"/>
      <c r="BD199" s="298"/>
      <c r="BF199" s="194"/>
      <c r="BG199" s="61"/>
      <c r="BH199" s="61"/>
      <c r="BI199" s="81"/>
      <c r="BJ199" s="81"/>
      <c r="BK199" s="61"/>
      <c r="BL199" s="269"/>
    </row>
    <row r="200" ht="22.5" customHeight="1">
      <c r="A200" s="368"/>
      <c r="B200" s="444"/>
      <c r="C200" s="195"/>
      <c r="D200" s="195"/>
      <c r="E200" s="199"/>
      <c r="F200" s="199"/>
      <c r="G200" s="195"/>
      <c r="H200" s="371"/>
      <c r="J200" s="194"/>
      <c r="K200" s="61"/>
      <c r="L200" s="61"/>
      <c r="M200" s="81"/>
      <c r="N200" s="81"/>
      <c r="O200" s="61"/>
      <c r="P200" s="269"/>
      <c r="R200" s="194"/>
      <c r="S200" s="61"/>
      <c r="T200" s="61"/>
      <c r="U200" s="81"/>
      <c r="V200" s="81"/>
      <c r="W200" s="61"/>
      <c r="X200" s="269"/>
      <c r="Z200" s="194"/>
      <c r="AA200" s="61"/>
      <c r="AB200" s="61"/>
      <c r="AC200" s="81"/>
      <c r="AD200" s="81"/>
      <c r="AE200" s="61"/>
      <c r="AF200" s="269"/>
      <c r="AH200" s="194"/>
      <c r="AI200" s="61"/>
      <c r="AJ200" s="373"/>
      <c r="AK200" s="81"/>
      <c r="AL200" s="81"/>
      <c r="AM200" s="61"/>
      <c r="AN200" s="298"/>
      <c r="AP200" s="194"/>
      <c r="AQ200" s="61"/>
      <c r="AR200" s="61"/>
      <c r="AS200" s="81"/>
      <c r="AT200" s="81"/>
      <c r="AU200" s="61"/>
      <c r="AV200" s="298"/>
      <c r="AX200" s="194"/>
      <c r="AY200" s="61"/>
      <c r="AZ200" s="373"/>
      <c r="BA200" s="81"/>
      <c r="BB200" s="81"/>
      <c r="BC200" s="61"/>
      <c r="BD200" s="298"/>
      <c r="BF200" s="194"/>
      <c r="BG200" s="61"/>
      <c r="BH200" s="61"/>
      <c r="BI200" s="81"/>
      <c r="BJ200" s="81"/>
      <c r="BK200" s="61"/>
      <c r="BL200" s="269"/>
    </row>
    <row r="201" ht="22.5" customHeight="1">
      <c r="A201" s="368"/>
      <c r="B201" s="444"/>
      <c r="C201" s="195"/>
      <c r="D201" s="195"/>
      <c r="E201" s="199"/>
      <c r="F201" s="199"/>
      <c r="G201" s="195"/>
      <c r="H201" s="371"/>
      <c r="J201" s="194"/>
      <c r="K201" s="61"/>
      <c r="L201" s="61"/>
      <c r="M201" s="81"/>
      <c r="N201" s="81"/>
      <c r="O201" s="61"/>
      <c r="P201" s="269"/>
      <c r="R201" s="194"/>
      <c r="S201" s="61"/>
      <c r="T201" s="61"/>
      <c r="U201" s="81"/>
      <c r="V201" s="81"/>
      <c r="W201" s="61"/>
      <c r="X201" s="269"/>
      <c r="Z201" s="194"/>
      <c r="AA201" s="61"/>
      <c r="AB201" s="61"/>
      <c r="AC201" s="81"/>
      <c r="AD201" s="81"/>
      <c r="AE201" s="61"/>
      <c r="AF201" s="269"/>
      <c r="AH201" s="194"/>
      <c r="AI201" s="61"/>
      <c r="AJ201" s="373"/>
      <c r="AK201" s="81"/>
      <c r="AL201" s="81"/>
      <c r="AM201" s="61"/>
      <c r="AN201" s="298"/>
      <c r="AP201" s="194"/>
      <c r="AQ201" s="61"/>
      <c r="AR201" s="61"/>
      <c r="AS201" s="81"/>
      <c r="AT201" s="81"/>
      <c r="AU201" s="61"/>
      <c r="AV201" s="298"/>
      <c r="AX201" s="194"/>
      <c r="AY201" s="61"/>
      <c r="AZ201" s="373"/>
      <c r="BA201" s="81"/>
      <c r="BB201" s="81"/>
      <c r="BC201" s="61"/>
      <c r="BD201" s="298"/>
      <c r="BF201" s="194"/>
      <c r="BG201" s="61"/>
      <c r="BH201" s="61"/>
      <c r="BI201" s="81"/>
      <c r="BJ201" s="81"/>
      <c r="BK201" s="61"/>
      <c r="BL201" s="269"/>
    </row>
    <row r="202" ht="22.5" customHeight="1">
      <c r="A202" s="368"/>
      <c r="B202" s="444"/>
      <c r="C202" s="195"/>
      <c r="D202" s="195"/>
      <c r="E202" s="199"/>
      <c r="F202" s="199"/>
      <c r="G202" s="195"/>
      <c r="H202" s="371"/>
      <c r="J202" s="194"/>
      <c r="K202" s="61"/>
      <c r="L202" s="61"/>
      <c r="M202" s="81"/>
      <c r="N202" s="81"/>
      <c r="O202" s="61"/>
      <c r="P202" s="269"/>
      <c r="R202" s="194"/>
      <c r="S202" s="61"/>
      <c r="T202" s="61"/>
      <c r="U202" s="81"/>
      <c r="V202" s="81"/>
      <c r="W202" s="61"/>
      <c r="X202" s="269"/>
      <c r="Z202" s="194"/>
      <c r="AA202" s="61"/>
      <c r="AB202" s="61"/>
      <c r="AC202" s="81"/>
      <c r="AD202" s="81"/>
      <c r="AE202" s="61"/>
      <c r="AF202" s="269"/>
      <c r="AH202" s="194"/>
      <c r="AI202" s="61"/>
      <c r="AJ202" s="373"/>
      <c r="AK202" s="81"/>
      <c r="AL202" s="81"/>
      <c r="AM202" s="61"/>
      <c r="AN202" s="298"/>
      <c r="AP202" s="194"/>
      <c r="AQ202" s="61"/>
      <c r="AR202" s="61"/>
      <c r="AS202" s="81"/>
      <c r="AT202" s="81"/>
      <c r="AU202" s="61"/>
      <c r="AV202" s="298"/>
      <c r="AX202" s="194"/>
      <c r="AY202" s="61"/>
      <c r="AZ202" s="373"/>
      <c r="BA202" s="81"/>
      <c r="BB202" s="81"/>
      <c r="BC202" s="61"/>
      <c r="BD202" s="298"/>
      <c r="BF202" s="194"/>
      <c r="BG202" s="61"/>
      <c r="BH202" s="61"/>
      <c r="BI202" s="81"/>
      <c r="BJ202" s="81"/>
      <c r="BK202" s="61"/>
      <c r="BL202" s="269"/>
    </row>
    <row r="203" ht="22.5" customHeight="1">
      <c r="A203" s="368"/>
      <c r="B203" s="444"/>
      <c r="C203" s="195"/>
      <c r="D203" s="195"/>
      <c r="E203" s="199"/>
      <c r="F203" s="199"/>
      <c r="G203" s="195"/>
      <c r="H203" s="371"/>
      <c r="J203" s="194"/>
      <c r="K203" s="61"/>
      <c r="L203" s="61"/>
      <c r="M203" s="81"/>
      <c r="N203" s="81"/>
      <c r="O203" s="61"/>
      <c r="P203" s="269"/>
      <c r="R203" s="194"/>
      <c r="S203" s="61"/>
      <c r="T203" s="61"/>
      <c r="U203" s="81"/>
      <c r="V203" s="81"/>
      <c r="W203" s="61"/>
      <c r="X203" s="269"/>
      <c r="Z203" s="194"/>
      <c r="AA203" s="61"/>
      <c r="AB203" s="61"/>
      <c r="AC203" s="81"/>
      <c r="AD203" s="81"/>
      <c r="AE203" s="61"/>
      <c r="AF203" s="269"/>
      <c r="AH203" s="194"/>
      <c r="AI203" s="61"/>
      <c r="AJ203" s="373"/>
      <c r="AK203" s="81"/>
      <c r="AL203" s="81"/>
      <c r="AM203" s="61"/>
      <c r="AN203" s="298"/>
      <c r="AP203" s="194"/>
      <c r="AQ203" s="61"/>
      <c r="AR203" s="61"/>
      <c r="AS203" s="81"/>
      <c r="AT203" s="81"/>
      <c r="AU203" s="61"/>
      <c r="AV203" s="298"/>
      <c r="AX203" s="194"/>
      <c r="AY203" s="61"/>
      <c r="AZ203" s="373"/>
      <c r="BA203" s="81"/>
      <c r="BB203" s="81"/>
      <c r="BC203" s="61"/>
      <c r="BD203" s="298"/>
      <c r="BF203" s="194"/>
      <c r="BG203" s="61"/>
      <c r="BH203" s="61"/>
      <c r="BI203" s="81"/>
      <c r="BJ203" s="81"/>
      <c r="BK203" s="61"/>
      <c r="BL203" s="269"/>
    </row>
    <row r="204" ht="22.5" customHeight="1">
      <c r="A204" s="368"/>
      <c r="B204" s="444"/>
      <c r="C204" s="195"/>
      <c r="D204" s="195"/>
      <c r="E204" s="199"/>
      <c r="F204" s="199"/>
      <c r="G204" s="195"/>
      <c r="H204" s="371"/>
      <c r="J204" s="194"/>
      <c r="K204" s="61"/>
      <c r="L204" s="61"/>
      <c r="M204" s="81"/>
      <c r="N204" s="81"/>
      <c r="O204" s="61"/>
      <c r="P204" s="269"/>
      <c r="R204" s="194"/>
      <c r="S204" s="61"/>
      <c r="T204" s="61"/>
      <c r="U204" s="81"/>
      <c r="V204" s="81"/>
      <c r="W204" s="61"/>
      <c r="X204" s="269"/>
      <c r="Z204" s="194"/>
      <c r="AA204" s="61"/>
      <c r="AB204" s="61"/>
      <c r="AC204" s="81"/>
      <c r="AD204" s="81"/>
      <c r="AE204" s="61"/>
      <c r="AF204" s="269"/>
      <c r="AH204" s="194"/>
      <c r="AI204" s="61"/>
      <c r="AJ204" s="373"/>
      <c r="AK204" s="81"/>
      <c r="AL204" s="81"/>
      <c r="AM204" s="61"/>
      <c r="AN204" s="298"/>
      <c r="AP204" s="194"/>
      <c r="AQ204" s="61"/>
      <c r="AR204" s="61"/>
      <c r="AS204" s="81"/>
      <c r="AT204" s="81"/>
      <c r="AU204" s="61"/>
      <c r="AV204" s="298"/>
      <c r="AX204" s="194"/>
      <c r="AY204" s="61"/>
      <c r="AZ204" s="373"/>
      <c r="BA204" s="81"/>
      <c r="BB204" s="81"/>
      <c r="BC204" s="61"/>
      <c r="BD204" s="269"/>
      <c r="BF204" s="194"/>
      <c r="BG204" s="61"/>
      <c r="BH204" s="61"/>
      <c r="BI204" s="81"/>
      <c r="BJ204" s="81"/>
      <c r="BK204" s="61"/>
      <c r="BL204" s="269"/>
    </row>
    <row r="205" ht="22.5" customHeight="1">
      <c r="A205" s="368"/>
      <c r="B205" s="444"/>
      <c r="C205" s="195"/>
      <c r="D205" s="195"/>
      <c r="E205" s="199"/>
      <c r="F205" s="199"/>
      <c r="G205" s="195"/>
      <c r="H205" s="371"/>
      <c r="J205" s="194"/>
      <c r="K205" s="61"/>
      <c r="L205" s="61"/>
      <c r="M205" s="81"/>
      <c r="N205" s="81"/>
      <c r="O205" s="61"/>
      <c r="P205" s="269"/>
      <c r="R205" s="194"/>
      <c r="S205" s="61"/>
      <c r="T205" s="61"/>
      <c r="U205" s="81"/>
      <c r="V205" s="81"/>
      <c r="W205" s="61"/>
      <c r="X205" s="269"/>
      <c r="Z205" s="194"/>
      <c r="AA205" s="61"/>
      <c r="AB205" s="61"/>
      <c r="AC205" s="81"/>
      <c r="AD205" s="81"/>
      <c r="AE205" s="61"/>
      <c r="AF205" s="269"/>
      <c r="AH205" s="194"/>
      <c r="AI205" s="61"/>
      <c r="AJ205" s="373"/>
      <c r="AK205" s="81"/>
      <c r="AL205" s="81"/>
      <c r="AM205" s="61"/>
      <c r="AN205" s="298"/>
      <c r="AP205" s="194"/>
      <c r="AQ205" s="61"/>
      <c r="AR205" s="61"/>
      <c r="AS205" s="81"/>
      <c r="AT205" s="81"/>
      <c r="AU205" s="61"/>
      <c r="AV205" s="298"/>
      <c r="AX205" s="194"/>
      <c r="AY205" s="61"/>
      <c r="AZ205" s="373"/>
      <c r="BA205" s="81"/>
      <c r="BB205" s="81"/>
      <c r="BC205" s="61"/>
      <c r="BD205" s="269"/>
      <c r="BF205" s="194"/>
      <c r="BG205" s="61"/>
      <c r="BH205" s="61"/>
      <c r="BI205" s="81"/>
      <c r="BJ205" s="81"/>
      <c r="BK205" s="61"/>
      <c r="BL205" s="269"/>
    </row>
    <row r="206" ht="22.5" customHeight="1">
      <c r="A206" s="368"/>
      <c r="B206" s="444"/>
      <c r="C206" s="195"/>
      <c r="D206" s="195"/>
      <c r="E206" s="199"/>
      <c r="F206" s="199"/>
      <c r="G206" s="195"/>
      <c r="H206" s="371"/>
      <c r="J206" s="194"/>
      <c r="K206" s="61"/>
      <c r="L206" s="61"/>
      <c r="M206" s="81"/>
      <c r="N206" s="81"/>
      <c r="O206" s="61"/>
      <c r="P206" s="269"/>
      <c r="R206" s="194"/>
      <c r="S206" s="61"/>
      <c r="T206" s="61"/>
      <c r="U206" s="81"/>
      <c r="V206" s="81"/>
      <c r="W206" s="61"/>
      <c r="X206" s="269"/>
      <c r="Z206" s="194"/>
      <c r="AA206" s="61"/>
      <c r="AB206" s="61"/>
      <c r="AC206" s="81"/>
      <c r="AD206" s="81"/>
      <c r="AE206" s="61"/>
      <c r="AF206" s="269"/>
      <c r="AH206" s="194"/>
      <c r="AI206" s="61"/>
      <c r="AJ206" s="373"/>
      <c r="AK206" s="81"/>
      <c r="AL206" s="81"/>
      <c r="AM206" s="61"/>
      <c r="AN206" s="298"/>
      <c r="AP206" s="194"/>
      <c r="AQ206" s="61"/>
      <c r="AR206" s="61"/>
      <c r="AS206" s="81"/>
      <c r="AT206" s="81"/>
      <c r="AU206" s="61"/>
      <c r="AV206" s="298"/>
      <c r="AX206" s="194"/>
      <c r="AY206" s="61"/>
      <c r="AZ206" s="373"/>
      <c r="BA206" s="81"/>
      <c r="BB206" s="81"/>
      <c r="BC206" s="61"/>
      <c r="BD206" s="269"/>
      <c r="BF206" s="194"/>
      <c r="BG206" s="61"/>
      <c r="BH206" s="61"/>
      <c r="BI206" s="81"/>
      <c r="BJ206" s="81"/>
      <c r="BK206" s="61"/>
      <c r="BL206" s="269"/>
    </row>
    <row r="207" ht="22.5" customHeight="1">
      <c r="A207" s="368"/>
      <c r="B207" s="444"/>
      <c r="C207" s="195"/>
      <c r="D207" s="195"/>
      <c r="E207" s="199"/>
      <c r="F207" s="199"/>
      <c r="G207" s="195"/>
      <c r="H207" s="371"/>
      <c r="J207" s="194"/>
      <c r="K207" s="61"/>
      <c r="L207" s="61"/>
      <c r="M207" s="81"/>
      <c r="N207" s="81"/>
      <c r="O207" s="61"/>
      <c r="P207" s="269"/>
      <c r="R207" s="194"/>
      <c r="S207" s="61"/>
      <c r="T207" s="61"/>
      <c r="U207" s="81"/>
      <c r="V207" s="81"/>
      <c r="W207" s="61"/>
      <c r="X207" s="269"/>
      <c r="Z207" s="194"/>
      <c r="AA207" s="61"/>
      <c r="AB207" s="61"/>
      <c r="AC207" s="81"/>
      <c r="AD207" s="81"/>
      <c r="AE207" s="61"/>
      <c r="AF207" s="269"/>
      <c r="AH207" s="194"/>
      <c r="AI207" s="61"/>
      <c r="AJ207" s="373"/>
      <c r="AK207" s="81"/>
      <c r="AL207" s="81"/>
      <c r="AM207" s="61"/>
      <c r="AN207" s="298"/>
      <c r="AP207" s="194"/>
      <c r="AQ207" s="61"/>
      <c r="AR207" s="61"/>
      <c r="AS207" s="81"/>
      <c r="AT207" s="81"/>
      <c r="AU207" s="61"/>
      <c r="AV207" s="298"/>
      <c r="AX207" s="194"/>
      <c r="AY207" s="61"/>
      <c r="AZ207" s="373"/>
      <c r="BA207" s="81"/>
      <c r="BB207" s="81"/>
      <c r="BC207" s="61"/>
      <c r="BD207" s="269"/>
      <c r="BF207" s="194"/>
      <c r="BG207" s="61"/>
      <c r="BH207" s="61"/>
      <c r="BI207" s="81"/>
      <c r="BJ207" s="81"/>
      <c r="BK207" s="61"/>
      <c r="BL207" s="269"/>
    </row>
    <row r="208" ht="22.5" customHeight="1">
      <c r="A208" s="368"/>
      <c r="B208" s="444"/>
      <c r="C208" s="195"/>
      <c r="D208" s="195"/>
      <c r="E208" s="199"/>
      <c r="F208" s="199"/>
      <c r="G208" s="195"/>
      <c r="H208" s="371"/>
      <c r="J208" s="194"/>
      <c r="K208" s="61"/>
      <c r="L208" s="61"/>
      <c r="M208" s="81"/>
      <c r="N208" s="81"/>
      <c r="O208" s="61"/>
      <c r="P208" s="269"/>
      <c r="R208" s="194"/>
      <c r="S208" s="61"/>
      <c r="T208" s="61"/>
      <c r="U208" s="81"/>
      <c r="V208" s="81"/>
      <c r="W208" s="61"/>
      <c r="X208" s="269"/>
      <c r="Z208" s="194"/>
      <c r="AA208" s="61"/>
      <c r="AB208" s="61"/>
      <c r="AC208" s="81"/>
      <c r="AD208" s="81"/>
      <c r="AE208" s="61"/>
      <c r="AF208" s="269"/>
      <c r="AH208" s="194"/>
      <c r="AI208" s="61"/>
      <c r="AJ208" s="373"/>
      <c r="AK208" s="81"/>
      <c r="AL208" s="81"/>
      <c r="AM208" s="61"/>
      <c r="AN208" s="298"/>
      <c r="AP208" s="194"/>
      <c r="AQ208" s="61"/>
      <c r="AR208" s="61"/>
      <c r="AS208" s="81"/>
      <c r="AT208" s="81"/>
      <c r="AU208" s="61"/>
      <c r="AV208" s="298"/>
      <c r="AX208" s="194"/>
      <c r="AY208" s="61"/>
      <c r="AZ208" s="373"/>
      <c r="BA208" s="81"/>
      <c r="BB208" s="81"/>
      <c r="BC208" s="61"/>
      <c r="BD208" s="269"/>
      <c r="BF208" s="194"/>
      <c r="BG208" s="61"/>
      <c r="BH208" s="61"/>
      <c r="BI208" s="81"/>
      <c r="BJ208" s="81"/>
      <c r="BK208" s="61"/>
      <c r="BL208" s="269"/>
    </row>
    <row r="209" ht="22.5" customHeight="1">
      <c r="A209" s="368"/>
      <c r="B209" s="444"/>
      <c r="C209" s="195"/>
      <c r="D209" s="195"/>
      <c r="E209" s="199"/>
      <c r="F209" s="199"/>
      <c r="G209" s="195"/>
      <c r="H209" s="371"/>
      <c r="J209" s="194"/>
      <c r="K209" s="61"/>
      <c r="L209" s="61"/>
      <c r="M209" s="81"/>
      <c r="N209" s="81"/>
      <c r="O209" s="61"/>
      <c r="P209" s="269"/>
      <c r="R209" s="194"/>
      <c r="S209" s="61"/>
      <c r="T209" s="61"/>
      <c r="U209" s="81"/>
      <c r="V209" s="81"/>
      <c r="W209" s="61"/>
      <c r="X209" s="269"/>
      <c r="Z209" s="194"/>
      <c r="AA209" s="61"/>
      <c r="AB209" s="61"/>
      <c r="AC209" s="81"/>
      <c r="AD209" s="81"/>
      <c r="AE209" s="61"/>
      <c r="AF209" s="269"/>
      <c r="AH209" s="194"/>
      <c r="AI209" s="61"/>
      <c r="AJ209" s="373"/>
      <c r="AK209" s="81"/>
      <c r="AL209" s="81"/>
      <c r="AM209" s="61"/>
      <c r="AN209" s="298"/>
      <c r="AP209" s="194"/>
      <c r="AQ209" s="61"/>
      <c r="AR209" s="61"/>
      <c r="AS209" s="81"/>
      <c r="AT209" s="81"/>
      <c r="AU209" s="61"/>
      <c r="AV209" s="298"/>
      <c r="AX209" s="194"/>
      <c r="AY209" s="61"/>
      <c r="AZ209" s="373"/>
      <c r="BA209" s="81"/>
      <c r="BB209" s="81"/>
      <c r="BC209" s="61"/>
      <c r="BD209" s="269"/>
      <c r="BF209" s="194"/>
      <c r="BG209" s="61"/>
      <c r="BH209" s="61"/>
      <c r="BI209" s="81"/>
      <c r="BJ209" s="81"/>
      <c r="BK209" s="61"/>
      <c r="BL209" s="269"/>
    </row>
    <row r="210" ht="22.5" customHeight="1">
      <c r="A210" s="368"/>
      <c r="B210" s="444"/>
      <c r="C210" s="195"/>
      <c r="D210" s="195"/>
      <c r="E210" s="199"/>
      <c r="F210" s="199"/>
      <c r="G210" s="195"/>
      <c r="H210" s="371"/>
      <c r="J210" s="194"/>
      <c r="K210" s="61"/>
      <c r="L210" s="61"/>
      <c r="M210" s="81"/>
      <c r="N210" s="81"/>
      <c r="O210" s="61"/>
      <c r="P210" s="269"/>
      <c r="R210" s="194"/>
      <c r="S210" s="61"/>
      <c r="T210" s="61"/>
      <c r="U210" s="81"/>
      <c r="V210" s="81"/>
      <c r="W210" s="61"/>
      <c r="X210" s="269"/>
      <c r="Z210" s="194"/>
      <c r="AA210" s="61"/>
      <c r="AB210" s="61"/>
      <c r="AC210" s="81"/>
      <c r="AD210" s="81"/>
      <c r="AE210" s="61"/>
      <c r="AF210" s="269"/>
      <c r="AH210" s="194"/>
      <c r="AI210" s="61"/>
      <c r="AJ210" s="373"/>
      <c r="AK210" s="81"/>
      <c r="AL210" s="81"/>
      <c r="AM210" s="61"/>
      <c r="AN210" s="298"/>
      <c r="AP210" s="194"/>
      <c r="AQ210" s="61"/>
      <c r="AR210" s="61"/>
      <c r="AS210" s="81"/>
      <c r="AT210" s="81"/>
      <c r="AU210" s="61"/>
      <c r="AV210" s="298"/>
      <c r="AX210" s="194"/>
      <c r="AY210" s="61"/>
      <c r="AZ210" s="373"/>
      <c r="BA210" s="81"/>
      <c r="BB210" s="81"/>
      <c r="BC210" s="61"/>
      <c r="BD210" s="269"/>
      <c r="BF210" s="194"/>
      <c r="BG210" s="61"/>
      <c r="BH210" s="61"/>
      <c r="BI210" s="81"/>
      <c r="BJ210" s="81"/>
      <c r="BK210" s="61"/>
      <c r="BL210" s="269"/>
    </row>
    <row r="211" ht="22.5" customHeight="1">
      <c r="A211" s="368"/>
      <c r="B211" s="444"/>
      <c r="C211" s="195"/>
      <c r="D211" s="195"/>
      <c r="E211" s="199"/>
      <c r="F211" s="199"/>
      <c r="G211" s="195"/>
      <c r="H211" s="371"/>
      <c r="J211" s="194"/>
      <c r="K211" s="61"/>
      <c r="L211" s="61"/>
      <c r="M211" s="81"/>
      <c r="N211" s="81"/>
      <c r="O211" s="61"/>
      <c r="P211" s="269"/>
      <c r="R211" s="194"/>
      <c r="S211" s="61"/>
      <c r="T211" s="61"/>
      <c r="U211" s="81"/>
      <c r="V211" s="81"/>
      <c r="W211" s="61"/>
      <c r="X211" s="269"/>
      <c r="Z211" s="194"/>
      <c r="AA211" s="61"/>
      <c r="AB211" s="61"/>
      <c r="AC211" s="81"/>
      <c r="AD211" s="81"/>
      <c r="AE211" s="61"/>
      <c r="AF211" s="269"/>
      <c r="AH211" s="194"/>
      <c r="AI211" s="61"/>
      <c r="AJ211" s="373"/>
      <c r="AK211" s="81"/>
      <c r="AL211" s="81"/>
      <c r="AM211" s="61"/>
      <c r="AN211" s="298"/>
      <c r="AP211" s="194"/>
      <c r="AQ211" s="61"/>
      <c r="AR211" s="61"/>
      <c r="AS211" s="81"/>
      <c r="AT211" s="81"/>
      <c r="AU211" s="61"/>
      <c r="AV211" s="298"/>
      <c r="AX211" s="194"/>
      <c r="AY211" s="61"/>
      <c r="AZ211" s="373"/>
      <c r="BA211" s="81"/>
      <c r="BB211" s="81"/>
      <c r="BC211" s="61"/>
      <c r="BD211" s="269"/>
      <c r="BF211" s="194"/>
      <c r="BG211" s="61"/>
      <c r="BH211" s="61"/>
      <c r="BI211" s="81"/>
      <c r="BJ211" s="81"/>
      <c r="BK211" s="61"/>
      <c r="BL211" s="269"/>
    </row>
    <row r="212" ht="22.5" customHeight="1">
      <c r="A212" s="368"/>
      <c r="B212" s="444"/>
      <c r="C212" s="195"/>
      <c r="D212" s="195"/>
      <c r="E212" s="199"/>
      <c r="F212" s="199"/>
      <c r="G212" s="195"/>
      <c r="H212" s="371"/>
      <c r="J212" s="194"/>
      <c r="K212" s="61"/>
      <c r="L212" s="61"/>
      <c r="M212" s="81"/>
      <c r="N212" s="81"/>
      <c r="O212" s="61"/>
      <c r="P212" s="269"/>
      <c r="R212" s="194"/>
      <c r="S212" s="61"/>
      <c r="T212" s="61"/>
      <c r="U212" s="81"/>
      <c r="V212" s="81"/>
      <c r="W212" s="61"/>
      <c r="X212" s="269"/>
      <c r="Z212" s="194"/>
      <c r="AA212" s="61"/>
      <c r="AB212" s="61"/>
      <c r="AC212" s="81"/>
      <c r="AD212" s="81"/>
      <c r="AE212" s="61"/>
      <c r="AF212" s="269"/>
      <c r="AH212" s="194"/>
      <c r="AI212" s="61"/>
      <c r="AJ212" s="373"/>
      <c r="AK212" s="81"/>
      <c r="AL212" s="81"/>
      <c r="AM212" s="61"/>
      <c r="AN212" s="298"/>
      <c r="AP212" s="194"/>
      <c r="AQ212" s="61"/>
      <c r="AR212" s="61"/>
      <c r="AS212" s="81"/>
      <c r="AT212" s="81"/>
      <c r="AU212" s="61"/>
      <c r="AV212" s="298"/>
      <c r="AX212" s="194"/>
      <c r="AY212" s="61"/>
      <c r="AZ212" s="373"/>
      <c r="BA212" s="81"/>
      <c r="BB212" s="81"/>
      <c r="BC212" s="61"/>
      <c r="BD212" s="269"/>
      <c r="BF212" s="194"/>
      <c r="BG212" s="61"/>
      <c r="BH212" s="61"/>
      <c r="BI212" s="81"/>
      <c r="BJ212" s="81"/>
      <c r="BK212" s="61"/>
      <c r="BL212" s="269"/>
    </row>
    <row r="213" ht="22.5" customHeight="1">
      <c r="A213" s="368"/>
      <c r="B213" s="444"/>
      <c r="C213" s="195"/>
      <c r="D213" s="195"/>
      <c r="E213" s="199"/>
      <c r="F213" s="199"/>
      <c r="G213" s="195"/>
      <c r="H213" s="371"/>
      <c r="J213" s="194"/>
      <c r="K213" s="61"/>
      <c r="L213" s="61"/>
      <c r="M213" s="81"/>
      <c r="N213" s="81"/>
      <c r="O213" s="61"/>
      <c r="P213" s="269"/>
      <c r="R213" s="194"/>
      <c r="S213" s="61"/>
      <c r="T213" s="61"/>
      <c r="U213" s="81"/>
      <c r="V213" s="81"/>
      <c r="W213" s="61"/>
      <c r="X213" s="269"/>
      <c r="Z213" s="194"/>
      <c r="AA213" s="61"/>
      <c r="AB213" s="61"/>
      <c r="AC213" s="81"/>
      <c r="AD213" s="81"/>
      <c r="AE213" s="61"/>
      <c r="AF213" s="269"/>
      <c r="AH213" s="194"/>
      <c r="AI213" s="61"/>
      <c r="AJ213" s="373"/>
      <c r="AK213" s="81"/>
      <c r="AL213" s="81"/>
      <c r="AM213" s="61"/>
      <c r="AN213" s="298"/>
      <c r="AP213" s="194"/>
      <c r="AQ213" s="61"/>
      <c r="AR213" s="61"/>
      <c r="AS213" s="81"/>
      <c r="AT213" s="81"/>
      <c r="AU213" s="61"/>
      <c r="AV213" s="298"/>
      <c r="AX213" s="194"/>
      <c r="AY213" s="61"/>
      <c r="AZ213" s="373"/>
      <c r="BA213" s="81"/>
      <c r="BB213" s="81"/>
      <c r="BC213" s="61"/>
      <c r="BD213" s="269"/>
      <c r="BF213" s="194"/>
      <c r="BG213" s="61"/>
      <c r="BH213" s="61"/>
      <c r="BI213" s="81"/>
      <c r="BJ213" s="81"/>
      <c r="BK213" s="61"/>
      <c r="BL213" s="269"/>
    </row>
    <row r="214" ht="22.5" customHeight="1">
      <c r="A214" s="368"/>
      <c r="B214" s="444"/>
      <c r="C214" s="195"/>
      <c r="D214" s="195"/>
      <c r="E214" s="199"/>
      <c r="F214" s="199"/>
      <c r="G214" s="195"/>
      <c r="H214" s="371"/>
      <c r="J214" s="194"/>
      <c r="K214" s="61"/>
      <c r="L214" s="61"/>
      <c r="M214" s="81"/>
      <c r="N214" s="81"/>
      <c r="O214" s="61"/>
      <c r="P214" s="269"/>
      <c r="R214" s="194"/>
      <c r="S214" s="61"/>
      <c r="T214" s="61"/>
      <c r="U214" s="81"/>
      <c r="V214" s="81"/>
      <c r="W214" s="61"/>
      <c r="X214" s="269"/>
      <c r="Z214" s="194"/>
      <c r="AA214" s="61"/>
      <c r="AB214" s="61"/>
      <c r="AC214" s="81"/>
      <c r="AD214" s="81"/>
      <c r="AE214" s="61"/>
      <c r="AF214" s="269"/>
      <c r="AH214" s="194"/>
      <c r="AI214" s="61"/>
      <c r="AJ214" s="373"/>
      <c r="AK214" s="81"/>
      <c r="AL214" s="81"/>
      <c r="AM214" s="61"/>
      <c r="AN214" s="298"/>
      <c r="AP214" s="194"/>
      <c r="AQ214" s="61"/>
      <c r="AR214" s="61"/>
      <c r="AS214" s="81"/>
      <c r="AT214" s="81"/>
      <c r="AU214" s="61"/>
      <c r="AV214" s="298"/>
      <c r="AX214" s="194"/>
      <c r="AY214" s="61"/>
      <c r="AZ214" s="373"/>
      <c r="BA214" s="81"/>
      <c r="BB214" s="81"/>
      <c r="BC214" s="61"/>
      <c r="BD214" s="269"/>
      <c r="BF214" s="194"/>
      <c r="BG214" s="61"/>
      <c r="BH214" s="61"/>
      <c r="BI214" s="81"/>
      <c r="BJ214" s="81"/>
      <c r="BK214" s="61"/>
      <c r="BL214" s="269"/>
    </row>
    <row r="215" ht="22.5" customHeight="1">
      <c r="A215" s="368"/>
      <c r="B215" s="444"/>
      <c r="C215" s="195"/>
      <c r="D215" s="195"/>
      <c r="E215" s="199"/>
      <c r="F215" s="199"/>
      <c r="G215" s="195"/>
      <c r="H215" s="371"/>
      <c r="J215" s="194"/>
      <c r="K215" s="61"/>
      <c r="L215" s="61"/>
      <c r="M215" s="81"/>
      <c r="N215" s="81"/>
      <c r="O215" s="61"/>
      <c r="P215" s="269"/>
      <c r="R215" s="194"/>
      <c r="S215" s="61"/>
      <c r="T215" s="61"/>
      <c r="U215" s="81"/>
      <c r="V215" s="81"/>
      <c r="W215" s="61"/>
      <c r="X215" s="269"/>
      <c r="Z215" s="194"/>
      <c r="AA215" s="61"/>
      <c r="AB215" s="61"/>
      <c r="AC215" s="81"/>
      <c r="AD215" s="81"/>
      <c r="AE215" s="61"/>
      <c r="AF215" s="269"/>
      <c r="AH215" s="194"/>
      <c r="AI215" s="61"/>
      <c r="AJ215" s="373"/>
      <c r="AK215" s="81"/>
      <c r="AL215" s="81"/>
      <c r="AM215" s="61"/>
      <c r="AN215" s="298"/>
      <c r="AP215" s="194"/>
      <c r="AQ215" s="61"/>
      <c r="AR215" s="61"/>
      <c r="AS215" s="81"/>
      <c r="AT215" s="81"/>
      <c r="AU215" s="61"/>
      <c r="AV215" s="298"/>
      <c r="AX215" s="194"/>
      <c r="AY215" s="61"/>
      <c r="AZ215" s="373"/>
      <c r="BA215" s="81"/>
      <c r="BB215" s="81"/>
      <c r="BC215" s="61"/>
      <c r="BD215" s="269"/>
      <c r="BF215" s="194"/>
      <c r="BG215" s="61"/>
      <c r="BH215" s="61"/>
      <c r="BI215" s="81"/>
      <c r="BJ215" s="81"/>
      <c r="BK215" s="61"/>
      <c r="BL215" s="269"/>
    </row>
    <row r="216" ht="22.5" customHeight="1">
      <c r="A216" s="368"/>
      <c r="B216" s="444"/>
      <c r="C216" s="195"/>
      <c r="D216" s="195"/>
      <c r="E216" s="199"/>
      <c r="F216" s="199"/>
      <c r="G216" s="195"/>
      <c r="H216" s="371"/>
      <c r="J216" s="194"/>
      <c r="K216" s="61"/>
      <c r="L216" s="61"/>
      <c r="M216" s="81"/>
      <c r="N216" s="81"/>
      <c r="O216" s="61"/>
      <c r="P216" s="269"/>
      <c r="R216" s="194"/>
      <c r="S216" s="61"/>
      <c r="T216" s="61"/>
      <c r="U216" s="81"/>
      <c r="V216" s="81"/>
      <c r="W216" s="61"/>
      <c r="X216" s="269"/>
      <c r="Z216" s="194"/>
      <c r="AA216" s="61"/>
      <c r="AB216" s="61"/>
      <c r="AC216" s="81"/>
      <c r="AD216" s="81"/>
      <c r="AE216" s="61"/>
      <c r="AF216" s="269"/>
      <c r="AH216" s="194"/>
      <c r="AI216" s="61"/>
      <c r="AJ216" s="373"/>
      <c r="AK216" s="81"/>
      <c r="AL216" s="81"/>
      <c r="AM216" s="61"/>
      <c r="AN216" s="298"/>
      <c r="AP216" s="194"/>
      <c r="AQ216" s="61"/>
      <c r="AR216" s="61"/>
      <c r="AS216" s="81"/>
      <c r="AT216" s="81"/>
      <c r="AU216" s="61"/>
      <c r="AV216" s="298"/>
      <c r="AX216" s="194"/>
      <c r="AY216" s="61"/>
      <c r="AZ216" s="373"/>
      <c r="BA216" s="81"/>
      <c r="BB216" s="81"/>
      <c r="BC216" s="61"/>
      <c r="BD216" s="269"/>
      <c r="BF216" s="194"/>
      <c r="BG216" s="61"/>
      <c r="BH216" s="61"/>
      <c r="BI216" s="81"/>
      <c r="BJ216" s="81"/>
      <c r="BK216" s="61"/>
      <c r="BL216" s="269"/>
    </row>
    <row r="217" ht="22.5" customHeight="1">
      <c r="A217" s="368"/>
      <c r="B217" s="444"/>
      <c r="C217" s="195"/>
      <c r="D217" s="195"/>
      <c r="E217" s="199"/>
      <c r="F217" s="199"/>
      <c r="G217" s="195"/>
      <c r="H217" s="371"/>
      <c r="J217" s="194"/>
      <c r="K217" s="61"/>
      <c r="L217" s="61"/>
      <c r="M217" s="81"/>
      <c r="N217" s="81"/>
      <c r="O217" s="61"/>
      <c r="P217" s="269"/>
      <c r="R217" s="194"/>
      <c r="S217" s="61"/>
      <c r="T217" s="61"/>
      <c r="U217" s="81"/>
      <c r="V217" s="81"/>
      <c r="W217" s="61"/>
      <c r="X217" s="269"/>
      <c r="Z217" s="194"/>
      <c r="AA217" s="61"/>
      <c r="AB217" s="61"/>
      <c r="AC217" s="81"/>
      <c r="AD217" s="81"/>
      <c r="AE217" s="61"/>
      <c r="AF217" s="269"/>
      <c r="AH217" s="194"/>
      <c r="AI217" s="61"/>
      <c r="AJ217" s="373"/>
      <c r="AK217" s="81"/>
      <c r="AL217" s="81"/>
      <c r="AM217" s="61"/>
      <c r="AN217" s="298"/>
      <c r="AP217" s="194"/>
      <c r="AQ217" s="61"/>
      <c r="AR217" s="61"/>
      <c r="AS217" s="81"/>
      <c r="AT217" s="81"/>
      <c r="AU217" s="61"/>
      <c r="AV217" s="298"/>
      <c r="AX217" s="194"/>
      <c r="AY217" s="61"/>
      <c r="AZ217" s="373"/>
      <c r="BA217" s="81"/>
      <c r="BB217" s="81"/>
      <c r="BC217" s="61"/>
      <c r="BD217" s="269"/>
      <c r="BF217" s="194"/>
      <c r="BG217" s="61"/>
      <c r="BH217" s="61"/>
      <c r="BI217" s="81"/>
      <c r="BJ217" s="81"/>
      <c r="BK217" s="61"/>
      <c r="BL217" s="269"/>
    </row>
    <row r="218" ht="22.5" customHeight="1">
      <c r="A218" s="368"/>
      <c r="B218" s="444"/>
      <c r="C218" s="195"/>
      <c r="D218" s="195"/>
      <c r="E218" s="199"/>
      <c r="F218" s="199"/>
      <c r="G218" s="195"/>
      <c r="H218" s="371"/>
      <c r="J218" s="194"/>
      <c r="K218" s="61"/>
      <c r="L218" s="61"/>
      <c r="M218" s="81"/>
      <c r="N218" s="81"/>
      <c r="O218" s="61"/>
      <c r="P218" s="269"/>
      <c r="R218" s="194"/>
      <c r="S218" s="61"/>
      <c r="T218" s="61"/>
      <c r="U218" s="81"/>
      <c r="V218" s="81"/>
      <c r="W218" s="61"/>
      <c r="X218" s="269"/>
      <c r="Z218" s="194"/>
      <c r="AA218" s="61"/>
      <c r="AB218" s="61"/>
      <c r="AC218" s="81"/>
      <c r="AD218" s="81"/>
      <c r="AE218" s="61"/>
      <c r="AF218" s="269"/>
      <c r="AH218" s="194"/>
      <c r="AI218" s="61"/>
      <c r="AJ218" s="373"/>
      <c r="AK218" s="81"/>
      <c r="AL218" s="81"/>
      <c r="AM218" s="61"/>
      <c r="AN218" s="298"/>
      <c r="AP218" s="194"/>
      <c r="AQ218" s="61"/>
      <c r="AR218" s="61"/>
      <c r="AS218" s="81"/>
      <c r="AT218" s="81"/>
      <c r="AU218" s="61"/>
      <c r="AV218" s="298"/>
      <c r="AX218" s="194"/>
      <c r="AY218" s="61"/>
      <c r="AZ218" s="373"/>
      <c r="BA218" s="81"/>
      <c r="BB218" s="81"/>
      <c r="BC218" s="61"/>
      <c r="BD218" s="269"/>
      <c r="BF218" s="194"/>
      <c r="BG218" s="61"/>
      <c r="BH218" s="61"/>
      <c r="BI218" s="81"/>
      <c r="BJ218" s="81"/>
      <c r="BK218" s="61"/>
      <c r="BL218" s="269"/>
    </row>
    <row r="219" ht="22.5" customHeight="1">
      <c r="A219" s="368"/>
      <c r="B219" s="444"/>
      <c r="C219" s="195"/>
      <c r="D219" s="195"/>
      <c r="E219" s="199"/>
      <c r="F219" s="199"/>
      <c r="G219" s="195"/>
      <c r="H219" s="371"/>
      <c r="J219" s="194"/>
      <c r="K219" s="61"/>
      <c r="L219" s="61"/>
      <c r="M219" s="81"/>
      <c r="N219" s="81"/>
      <c r="O219" s="61"/>
      <c r="P219" s="269"/>
      <c r="R219" s="194"/>
      <c r="S219" s="61"/>
      <c r="T219" s="61"/>
      <c r="U219" s="81"/>
      <c r="V219" s="81"/>
      <c r="W219" s="61"/>
      <c r="X219" s="269"/>
      <c r="Z219" s="194"/>
      <c r="AA219" s="61"/>
      <c r="AB219" s="61"/>
      <c r="AC219" s="81"/>
      <c r="AD219" s="81"/>
      <c r="AE219" s="61"/>
      <c r="AF219" s="269"/>
      <c r="AH219" s="194"/>
      <c r="AI219" s="61"/>
      <c r="AJ219" s="373"/>
      <c r="AK219" s="81"/>
      <c r="AL219" s="81"/>
      <c r="AM219" s="61"/>
      <c r="AN219" s="298"/>
      <c r="AP219" s="194"/>
      <c r="AQ219" s="61"/>
      <c r="AR219" s="61"/>
      <c r="AS219" s="81"/>
      <c r="AT219" s="81"/>
      <c r="AU219" s="61"/>
      <c r="AV219" s="298"/>
      <c r="AX219" s="194"/>
      <c r="AY219" s="61"/>
      <c r="AZ219" s="373"/>
      <c r="BA219" s="81"/>
      <c r="BB219" s="81"/>
      <c r="BC219" s="61"/>
      <c r="BD219" s="269"/>
      <c r="BF219" s="194"/>
      <c r="BG219" s="61"/>
      <c r="BH219" s="61"/>
      <c r="BI219" s="81"/>
      <c r="BJ219" s="81"/>
      <c r="BK219" s="61"/>
      <c r="BL219" s="269"/>
    </row>
    <row r="220" ht="22.5" customHeight="1">
      <c r="A220" s="368"/>
      <c r="B220" s="444"/>
      <c r="C220" s="195"/>
      <c r="D220" s="195"/>
      <c r="E220" s="199"/>
      <c r="F220" s="199"/>
      <c r="G220" s="195"/>
      <c r="H220" s="371"/>
      <c r="J220" s="194"/>
      <c r="K220" s="61"/>
      <c r="L220" s="61"/>
      <c r="M220" s="81"/>
      <c r="N220" s="81"/>
      <c r="O220" s="61"/>
      <c r="P220" s="269"/>
      <c r="R220" s="194"/>
      <c r="S220" s="61"/>
      <c r="T220" s="61"/>
      <c r="U220" s="81"/>
      <c r="V220" s="81"/>
      <c r="W220" s="61"/>
      <c r="X220" s="269"/>
      <c r="Z220" s="194"/>
      <c r="AA220" s="61"/>
      <c r="AB220" s="61"/>
      <c r="AC220" s="81"/>
      <c r="AD220" s="81"/>
      <c r="AE220" s="61"/>
      <c r="AF220" s="269"/>
      <c r="AH220" s="194"/>
      <c r="AI220" s="61"/>
      <c r="AJ220" s="373"/>
      <c r="AK220" s="81"/>
      <c r="AL220" s="81"/>
      <c r="AM220" s="61"/>
      <c r="AN220" s="298"/>
      <c r="AP220" s="194"/>
      <c r="AQ220" s="61"/>
      <c r="AR220" s="61"/>
      <c r="AS220" s="81"/>
      <c r="AT220" s="81"/>
      <c r="AU220" s="61"/>
      <c r="AV220" s="298"/>
      <c r="AX220" s="194"/>
      <c r="AY220" s="61"/>
      <c r="AZ220" s="373"/>
      <c r="BA220" s="81"/>
      <c r="BB220" s="81"/>
      <c r="BC220" s="61"/>
      <c r="BD220" s="269"/>
      <c r="BF220" s="194"/>
      <c r="BG220" s="61"/>
      <c r="BH220" s="61"/>
      <c r="BI220" s="81"/>
      <c r="BJ220" s="81"/>
      <c r="BK220" s="61"/>
      <c r="BL220" s="269"/>
    </row>
    <row r="221" ht="22.5" customHeight="1">
      <c r="A221" s="368"/>
      <c r="B221" s="444"/>
      <c r="C221" s="195"/>
      <c r="D221" s="195"/>
      <c r="E221" s="199"/>
      <c r="F221" s="199"/>
      <c r="G221" s="195"/>
      <c r="H221" s="371"/>
      <c r="J221" s="194"/>
      <c r="K221" s="61"/>
      <c r="L221" s="61"/>
      <c r="M221" s="81"/>
      <c r="N221" s="81"/>
      <c r="O221" s="61"/>
      <c r="P221" s="269"/>
      <c r="R221" s="194"/>
      <c r="S221" s="61"/>
      <c r="T221" s="61"/>
      <c r="U221" s="81"/>
      <c r="V221" s="81"/>
      <c r="W221" s="61"/>
      <c r="X221" s="269"/>
      <c r="Z221" s="194"/>
      <c r="AA221" s="61"/>
      <c r="AB221" s="61"/>
      <c r="AC221" s="81"/>
      <c r="AD221" s="81"/>
      <c r="AE221" s="61"/>
      <c r="AF221" s="269"/>
      <c r="AH221" s="194"/>
      <c r="AI221" s="61"/>
      <c r="AJ221" s="373"/>
      <c r="AK221" s="81"/>
      <c r="AL221" s="81"/>
      <c r="AM221" s="61"/>
      <c r="AN221" s="298"/>
      <c r="AP221" s="194"/>
      <c r="AQ221" s="61"/>
      <c r="AR221" s="61"/>
      <c r="AS221" s="81"/>
      <c r="AT221" s="81"/>
      <c r="AU221" s="61"/>
      <c r="AV221" s="298"/>
      <c r="AX221" s="194"/>
      <c r="AY221" s="61"/>
      <c r="AZ221" s="373"/>
      <c r="BA221" s="81"/>
      <c r="BB221" s="81"/>
      <c r="BC221" s="61"/>
      <c r="BD221" s="269"/>
      <c r="BF221" s="194"/>
      <c r="BG221" s="61"/>
      <c r="BH221" s="61"/>
      <c r="BI221" s="81"/>
      <c r="BJ221" s="81"/>
      <c r="BK221" s="61"/>
      <c r="BL221" s="269"/>
    </row>
    <row r="222" ht="22.5" customHeight="1">
      <c r="A222" s="368"/>
      <c r="B222" s="444"/>
      <c r="C222" s="195"/>
      <c r="D222" s="195"/>
      <c r="E222" s="199"/>
      <c r="F222" s="199"/>
      <c r="G222" s="195"/>
      <c r="H222" s="371"/>
      <c r="J222" s="194"/>
      <c r="K222" s="61"/>
      <c r="L222" s="61"/>
      <c r="M222" s="81"/>
      <c r="N222" s="81"/>
      <c r="O222" s="61"/>
      <c r="P222" s="269"/>
      <c r="R222" s="194"/>
      <c r="S222" s="61"/>
      <c r="T222" s="61"/>
      <c r="U222" s="81"/>
      <c r="V222" s="81"/>
      <c r="W222" s="61"/>
      <c r="X222" s="269"/>
      <c r="Z222" s="194"/>
      <c r="AA222" s="61"/>
      <c r="AB222" s="61"/>
      <c r="AC222" s="81"/>
      <c r="AD222" s="81"/>
      <c r="AE222" s="61"/>
      <c r="AF222" s="269"/>
      <c r="AH222" s="194"/>
      <c r="AI222" s="61"/>
      <c r="AJ222" s="373"/>
      <c r="AK222" s="81"/>
      <c r="AL222" s="81"/>
      <c r="AM222" s="61"/>
      <c r="AN222" s="298"/>
      <c r="AP222" s="194"/>
      <c r="AQ222" s="61"/>
      <c r="AR222" s="61"/>
      <c r="AS222" s="81"/>
      <c r="AT222" s="81"/>
      <c r="AU222" s="61"/>
      <c r="AV222" s="298"/>
      <c r="AX222" s="194"/>
      <c r="AY222" s="61"/>
      <c r="AZ222" s="373"/>
      <c r="BA222" s="81"/>
      <c r="BB222" s="81"/>
      <c r="BC222" s="61"/>
      <c r="BD222" s="269"/>
      <c r="BF222" s="194"/>
      <c r="BG222" s="61"/>
      <c r="BH222" s="61"/>
      <c r="BI222" s="81"/>
      <c r="BJ222" s="81"/>
      <c r="BK222" s="61"/>
      <c r="BL222" s="269"/>
    </row>
    <row r="223" ht="22.5" customHeight="1">
      <c r="A223" s="368"/>
      <c r="B223" s="444"/>
      <c r="C223" s="195"/>
      <c r="D223" s="195"/>
      <c r="E223" s="199"/>
      <c r="F223" s="199"/>
      <c r="G223" s="195"/>
      <c r="H223" s="371"/>
      <c r="J223" s="194"/>
      <c r="K223" s="61"/>
      <c r="L223" s="61"/>
      <c r="M223" s="81"/>
      <c r="N223" s="81"/>
      <c r="O223" s="61"/>
      <c r="P223" s="269"/>
      <c r="R223" s="194"/>
      <c r="S223" s="61"/>
      <c r="T223" s="61"/>
      <c r="U223" s="81"/>
      <c r="V223" s="81"/>
      <c r="W223" s="61"/>
      <c r="X223" s="269"/>
      <c r="Z223" s="194"/>
      <c r="AA223" s="61"/>
      <c r="AB223" s="61"/>
      <c r="AC223" s="81"/>
      <c r="AD223" s="81"/>
      <c r="AE223" s="61"/>
      <c r="AF223" s="269"/>
      <c r="AH223" s="194"/>
      <c r="AI223" s="61"/>
      <c r="AJ223" s="373"/>
      <c r="AK223" s="81"/>
      <c r="AL223" s="81"/>
      <c r="AM223" s="61"/>
      <c r="AN223" s="298"/>
      <c r="AP223" s="194"/>
      <c r="AQ223" s="61"/>
      <c r="AR223" s="61"/>
      <c r="AS223" s="81"/>
      <c r="AT223" s="81"/>
      <c r="AU223" s="61"/>
      <c r="AV223" s="298"/>
      <c r="AX223" s="194"/>
      <c r="AY223" s="61"/>
      <c r="AZ223" s="373"/>
      <c r="BA223" s="81"/>
      <c r="BB223" s="81"/>
      <c r="BC223" s="61"/>
      <c r="BD223" s="269"/>
      <c r="BF223" s="194"/>
      <c r="BG223" s="61"/>
      <c r="BH223" s="61"/>
      <c r="BI223" s="81"/>
      <c r="BJ223" s="81"/>
      <c r="BK223" s="61"/>
      <c r="BL223" s="269"/>
    </row>
    <row r="224" ht="22.5" customHeight="1">
      <c r="A224" s="368"/>
      <c r="B224" s="444"/>
      <c r="C224" s="195"/>
      <c r="D224" s="195"/>
      <c r="E224" s="199"/>
      <c r="F224" s="199"/>
      <c r="G224" s="195"/>
      <c r="H224" s="371"/>
      <c r="J224" s="194"/>
      <c r="K224" s="61"/>
      <c r="L224" s="61"/>
      <c r="M224" s="81"/>
      <c r="N224" s="81"/>
      <c r="O224" s="61"/>
      <c r="P224" s="269"/>
      <c r="R224" s="194"/>
      <c r="S224" s="61"/>
      <c r="T224" s="61"/>
      <c r="U224" s="81"/>
      <c r="V224" s="81"/>
      <c r="W224" s="61"/>
      <c r="X224" s="269"/>
      <c r="Z224" s="194"/>
      <c r="AA224" s="61"/>
      <c r="AB224" s="61"/>
      <c r="AC224" s="81"/>
      <c r="AD224" s="81"/>
      <c r="AE224" s="61"/>
      <c r="AF224" s="269"/>
      <c r="AH224" s="194"/>
      <c r="AI224" s="61"/>
      <c r="AJ224" s="373"/>
      <c r="AK224" s="81"/>
      <c r="AL224" s="81"/>
      <c r="AM224" s="61"/>
      <c r="AN224" s="298"/>
      <c r="AP224" s="194"/>
      <c r="AQ224" s="61"/>
      <c r="AR224" s="61"/>
      <c r="AS224" s="81"/>
      <c r="AT224" s="81"/>
      <c r="AU224" s="61"/>
      <c r="AV224" s="298"/>
      <c r="AX224" s="194"/>
      <c r="AY224" s="61"/>
      <c r="AZ224" s="373"/>
      <c r="BA224" s="81"/>
      <c r="BB224" s="81"/>
      <c r="BC224" s="61"/>
      <c r="BD224" s="269"/>
      <c r="BF224" s="194"/>
      <c r="BG224" s="61"/>
      <c r="BH224" s="61"/>
      <c r="BI224" s="81"/>
      <c r="BJ224" s="81"/>
      <c r="BK224" s="61"/>
      <c r="BL224" s="269"/>
    </row>
    <row r="225" ht="22.5" customHeight="1">
      <c r="A225" s="368"/>
      <c r="B225" s="444"/>
      <c r="C225" s="195"/>
      <c r="D225" s="195"/>
      <c r="E225" s="199"/>
      <c r="F225" s="199"/>
      <c r="G225" s="195"/>
      <c r="H225" s="371"/>
      <c r="J225" s="194"/>
      <c r="K225" s="61"/>
      <c r="L225" s="61"/>
      <c r="M225" s="81"/>
      <c r="N225" s="81"/>
      <c r="O225" s="61"/>
      <c r="P225" s="269"/>
      <c r="R225" s="194"/>
      <c r="S225" s="61"/>
      <c r="T225" s="61"/>
      <c r="U225" s="81"/>
      <c r="V225" s="81"/>
      <c r="W225" s="61"/>
      <c r="X225" s="269"/>
      <c r="Z225" s="194"/>
      <c r="AA225" s="61"/>
      <c r="AB225" s="61"/>
      <c r="AC225" s="81"/>
      <c r="AD225" s="81"/>
      <c r="AE225" s="61"/>
      <c r="AF225" s="269"/>
      <c r="AH225" s="194"/>
      <c r="AI225" s="61"/>
      <c r="AJ225" s="373"/>
      <c r="AK225" s="81"/>
      <c r="AL225" s="81"/>
      <c r="AM225" s="61"/>
      <c r="AN225" s="298"/>
      <c r="AP225" s="194"/>
      <c r="AQ225" s="61"/>
      <c r="AR225" s="61"/>
      <c r="AS225" s="81"/>
      <c r="AT225" s="81"/>
      <c r="AU225" s="61"/>
      <c r="AV225" s="298"/>
      <c r="AX225" s="194"/>
      <c r="AY225" s="61"/>
      <c r="AZ225" s="373"/>
      <c r="BA225" s="81"/>
      <c r="BB225" s="81"/>
      <c r="BC225" s="61"/>
      <c r="BD225" s="269"/>
      <c r="BF225" s="194"/>
      <c r="BG225" s="61"/>
      <c r="BH225" s="61"/>
      <c r="BI225" s="81"/>
      <c r="BJ225" s="81"/>
      <c r="BK225" s="61"/>
      <c r="BL225" s="269"/>
    </row>
    <row r="226" ht="22.5" customHeight="1">
      <c r="A226" s="368"/>
      <c r="B226" s="444"/>
      <c r="C226" s="195"/>
      <c r="D226" s="195"/>
      <c r="E226" s="199"/>
      <c r="F226" s="199"/>
      <c r="G226" s="195"/>
      <c r="H226" s="371"/>
      <c r="J226" s="194"/>
      <c r="K226" s="61"/>
      <c r="L226" s="61"/>
      <c r="M226" s="81"/>
      <c r="N226" s="81"/>
      <c r="O226" s="61"/>
      <c r="P226" s="269"/>
      <c r="R226" s="194"/>
      <c r="S226" s="61"/>
      <c r="T226" s="61"/>
      <c r="U226" s="81"/>
      <c r="V226" s="81"/>
      <c r="W226" s="61"/>
      <c r="X226" s="269"/>
      <c r="Z226" s="194"/>
      <c r="AA226" s="61"/>
      <c r="AB226" s="61"/>
      <c r="AC226" s="81"/>
      <c r="AD226" s="81"/>
      <c r="AE226" s="61"/>
      <c r="AF226" s="269"/>
      <c r="AH226" s="194"/>
      <c r="AI226" s="61"/>
      <c r="AJ226" s="373"/>
      <c r="AK226" s="81"/>
      <c r="AL226" s="81"/>
      <c r="AM226" s="61"/>
      <c r="AN226" s="298"/>
      <c r="AP226" s="194"/>
      <c r="AQ226" s="61"/>
      <c r="AR226" s="61"/>
      <c r="AS226" s="81"/>
      <c r="AT226" s="81"/>
      <c r="AU226" s="61"/>
      <c r="AV226" s="298"/>
      <c r="AX226" s="194"/>
      <c r="AY226" s="61"/>
      <c r="AZ226" s="373"/>
      <c r="BA226" s="81"/>
      <c r="BB226" s="81"/>
      <c r="BC226" s="61"/>
      <c r="BD226" s="269"/>
      <c r="BF226" s="194"/>
      <c r="BG226" s="61"/>
      <c r="BH226" s="61"/>
      <c r="BI226" s="81"/>
      <c r="BJ226" s="81"/>
      <c r="BK226" s="61"/>
      <c r="BL226" s="269"/>
    </row>
    <row r="227" ht="22.5" customHeight="1">
      <c r="A227" s="368"/>
      <c r="B227" s="444"/>
      <c r="C227" s="195"/>
      <c r="D227" s="195"/>
      <c r="E227" s="199"/>
      <c r="F227" s="199"/>
      <c r="G227" s="195"/>
      <c r="H227" s="371"/>
      <c r="J227" s="194"/>
      <c r="K227" s="61"/>
      <c r="L227" s="61"/>
      <c r="M227" s="81"/>
      <c r="N227" s="81"/>
      <c r="O227" s="61"/>
      <c r="P227" s="269"/>
      <c r="R227" s="194"/>
      <c r="S227" s="61"/>
      <c r="T227" s="61"/>
      <c r="U227" s="81"/>
      <c r="V227" s="81"/>
      <c r="W227" s="61"/>
      <c r="X227" s="269"/>
      <c r="Z227" s="194"/>
      <c r="AA227" s="61"/>
      <c r="AB227" s="61"/>
      <c r="AC227" s="81"/>
      <c r="AD227" s="81"/>
      <c r="AE227" s="61"/>
      <c r="AF227" s="269"/>
      <c r="AH227" s="194"/>
      <c r="AI227" s="61"/>
      <c r="AJ227" s="373"/>
      <c r="AK227" s="81"/>
      <c r="AL227" s="81"/>
      <c r="AM227" s="61"/>
      <c r="AN227" s="298"/>
      <c r="AP227" s="194"/>
      <c r="AQ227" s="61"/>
      <c r="AR227" s="61"/>
      <c r="AS227" s="81"/>
      <c r="AT227" s="81"/>
      <c r="AU227" s="61"/>
      <c r="AV227" s="298"/>
      <c r="AX227" s="194"/>
      <c r="AY227" s="61"/>
      <c r="AZ227" s="373"/>
      <c r="BA227" s="81"/>
      <c r="BB227" s="81"/>
      <c r="BC227" s="61"/>
      <c r="BD227" s="269"/>
      <c r="BF227" s="194"/>
      <c r="BG227" s="61"/>
      <c r="BH227" s="61"/>
      <c r="BI227" s="81"/>
      <c r="BJ227" s="81"/>
      <c r="BK227" s="61"/>
      <c r="BL227" s="269"/>
    </row>
    <row r="228" ht="22.5" customHeight="1">
      <c r="A228" s="368"/>
      <c r="B228" s="444"/>
      <c r="C228" s="195"/>
      <c r="D228" s="195"/>
      <c r="E228" s="199"/>
      <c r="F228" s="199"/>
      <c r="G228" s="195"/>
      <c r="H228" s="371"/>
      <c r="J228" s="194"/>
      <c r="K228" s="61"/>
      <c r="L228" s="61"/>
      <c r="M228" s="81"/>
      <c r="N228" s="81"/>
      <c r="O228" s="61"/>
      <c r="P228" s="269"/>
      <c r="R228" s="194"/>
      <c r="S228" s="61"/>
      <c r="T228" s="61"/>
      <c r="U228" s="81"/>
      <c r="V228" s="81"/>
      <c r="W228" s="61"/>
      <c r="X228" s="269"/>
      <c r="Z228" s="194"/>
      <c r="AA228" s="61"/>
      <c r="AB228" s="61"/>
      <c r="AC228" s="81"/>
      <c r="AD228" s="81"/>
      <c r="AE228" s="61"/>
      <c r="AF228" s="269"/>
      <c r="AH228" s="194"/>
      <c r="AI228" s="61"/>
      <c r="AJ228" s="373"/>
      <c r="AK228" s="81"/>
      <c r="AL228" s="81"/>
      <c r="AM228" s="61"/>
      <c r="AN228" s="298"/>
      <c r="AP228" s="194"/>
      <c r="AQ228" s="61"/>
      <c r="AR228" s="61"/>
      <c r="AS228" s="81"/>
      <c r="AT228" s="81"/>
      <c r="AU228" s="61"/>
      <c r="AV228" s="298"/>
      <c r="AX228" s="194"/>
      <c r="AY228" s="61"/>
      <c r="AZ228" s="373"/>
      <c r="BA228" s="81"/>
      <c r="BB228" s="81"/>
      <c r="BC228" s="61"/>
      <c r="BD228" s="269"/>
      <c r="BF228" s="194"/>
      <c r="BG228" s="61"/>
      <c r="BH228" s="61"/>
      <c r="BI228" s="81"/>
      <c r="BJ228" s="81"/>
      <c r="BK228" s="61"/>
      <c r="BL228" s="269"/>
    </row>
    <row r="229" ht="22.5" customHeight="1">
      <c r="A229" s="368"/>
      <c r="B229" s="444"/>
      <c r="C229" s="195"/>
      <c r="D229" s="195"/>
      <c r="E229" s="199"/>
      <c r="F229" s="199"/>
      <c r="G229" s="195"/>
      <c r="H229" s="371"/>
      <c r="J229" s="194"/>
      <c r="K229" s="61"/>
      <c r="L229" s="61"/>
      <c r="M229" s="81"/>
      <c r="N229" s="81"/>
      <c r="O229" s="61"/>
      <c r="P229" s="269"/>
      <c r="R229" s="194"/>
      <c r="S229" s="61"/>
      <c r="T229" s="61"/>
      <c r="U229" s="81"/>
      <c r="V229" s="81"/>
      <c r="W229" s="61"/>
      <c r="X229" s="269"/>
      <c r="Z229" s="194"/>
      <c r="AA229" s="61"/>
      <c r="AB229" s="61"/>
      <c r="AC229" s="81"/>
      <c r="AD229" s="81"/>
      <c r="AE229" s="61"/>
      <c r="AF229" s="269"/>
      <c r="AH229" s="194"/>
      <c r="AI229" s="61"/>
      <c r="AJ229" s="373"/>
      <c r="AK229" s="81"/>
      <c r="AL229" s="81"/>
      <c r="AM229" s="61"/>
      <c r="AN229" s="298"/>
      <c r="AP229" s="194"/>
      <c r="AQ229" s="61"/>
      <c r="AR229" s="61"/>
      <c r="AS229" s="81"/>
      <c r="AT229" s="81"/>
      <c r="AU229" s="61"/>
      <c r="AV229" s="298"/>
      <c r="AX229" s="194"/>
      <c r="AY229" s="61"/>
      <c r="AZ229" s="373"/>
      <c r="BA229" s="81"/>
      <c r="BB229" s="81"/>
      <c r="BC229" s="61"/>
      <c r="BD229" s="269"/>
      <c r="BF229" s="194"/>
      <c r="BG229" s="61"/>
      <c r="BH229" s="61"/>
      <c r="BI229" s="81"/>
      <c r="BJ229" s="81"/>
      <c r="BK229" s="61"/>
      <c r="BL229" s="269"/>
    </row>
    <row r="230" ht="22.5" customHeight="1">
      <c r="A230" s="368"/>
      <c r="B230" s="444"/>
      <c r="C230" s="195"/>
      <c r="D230" s="195"/>
      <c r="E230" s="199"/>
      <c r="F230" s="199"/>
      <c r="G230" s="195"/>
      <c r="H230" s="371"/>
      <c r="J230" s="194"/>
      <c r="K230" s="61"/>
      <c r="L230" s="61"/>
      <c r="M230" s="81"/>
      <c r="N230" s="81"/>
      <c r="O230" s="61"/>
      <c r="P230" s="269"/>
      <c r="R230" s="194"/>
      <c r="S230" s="61"/>
      <c r="T230" s="61"/>
      <c r="U230" s="81"/>
      <c r="V230" s="81"/>
      <c r="W230" s="61"/>
      <c r="X230" s="269"/>
      <c r="Z230" s="194"/>
      <c r="AA230" s="61"/>
      <c r="AB230" s="61"/>
      <c r="AC230" s="81"/>
      <c r="AD230" s="81"/>
      <c r="AE230" s="61"/>
      <c r="AF230" s="269"/>
      <c r="AH230" s="194"/>
      <c r="AI230" s="61"/>
      <c r="AJ230" s="373"/>
      <c r="AK230" s="81"/>
      <c r="AL230" s="81"/>
      <c r="AM230" s="61"/>
      <c r="AN230" s="298"/>
      <c r="AP230" s="194"/>
      <c r="AQ230" s="61"/>
      <c r="AR230" s="61"/>
      <c r="AS230" s="81"/>
      <c r="AT230" s="81"/>
      <c r="AU230" s="61"/>
      <c r="AV230" s="298"/>
      <c r="AX230" s="194"/>
      <c r="AY230" s="61"/>
      <c r="AZ230" s="373"/>
      <c r="BA230" s="81"/>
      <c r="BB230" s="81"/>
      <c r="BC230" s="61"/>
      <c r="BD230" s="269"/>
      <c r="BF230" s="194"/>
      <c r="BG230" s="61"/>
      <c r="BH230" s="61"/>
      <c r="BI230" s="81"/>
      <c r="BJ230" s="81"/>
      <c r="BK230" s="61"/>
      <c r="BL230" s="269"/>
    </row>
    <row r="231" ht="22.5" customHeight="1">
      <c r="A231" s="368"/>
      <c r="B231" s="444"/>
      <c r="C231" s="195"/>
      <c r="D231" s="195"/>
      <c r="E231" s="199"/>
      <c r="F231" s="199"/>
      <c r="G231" s="195"/>
      <c r="H231" s="371"/>
      <c r="J231" s="194"/>
      <c r="K231" s="61"/>
      <c r="L231" s="61"/>
      <c r="M231" s="81"/>
      <c r="N231" s="81"/>
      <c r="O231" s="61"/>
      <c r="P231" s="269"/>
      <c r="R231" s="194"/>
      <c r="S231" s="61"/>
      <c r="T231" s="61"/>
      <c r="U231" s="81"/>
      <c r="V231" s="81"/>
      <c r="W231" s="61"/>
      <c r="X231" s="269"/>
      <c r="Z231" s="194"/>
      <c r="AA231" s="61"/>
      <c r="AB231" s="61"/>
      <c r="AC231" s="81"/>
      <c r="AD231" s="81"/>
      <c r="AE231" s="61"/>
      <c r="AF231" s="269"/>
      <c r="AH231" s="194"/>
      <c r="AI231" s="61"/>
      <c r="AJ231" s="373"/>
      <c r="AK231" s="81"/>
      <c r="AL231" s="81"/>
      <c r="AM231" s="61"/>
      <c r="AN231" s="298"/>
      <c r="AP231" s="194"/>
      <c r="AQ231" s="61"/>
      <c r="AR231" s="61"/>
      <c r="AS231" s="81"/>
      <c r="AT231" s="81"/>
      <c r="AU231" s="61"/>
      <c r="AV231" s="298"/>
      <c r="AX231" s="194"/>
      <c r="AY231" s="61"/>
      <c r="AZ231" s="373"/>
      <c r="BA231" s="81"/>
      <c r="BB231" s="81"/>
      <c r="BC231" s="61"/>
      <c r="BD231" s="269"/>
      <c r="BF231" s="194"/>
      <c r="BG231" s="61"/>
      <c r="BH231" s="61"/>
      <c r="BI231" s="81"/>
      <c r="BJ231" s="81"/>
      <c r="BK231" s="61"/>
      <c r="BL231" s="269"/>
    </row>
    <row r="232" ht="22.5" customHeight="1">
      <c r="A232" s="368"/>
      <c r="B232" s="444"/>
      <c r="C232" s="195"/>
      <c r="D232" s="195"/>
      <c r="E232" s="199"/>
      <c r="F232" s="199"/>
      <c r="G232" s="195"/>
      <c r="H232" s="371"/>
      <c r="J232" s="194"/>
      <c r="K232" s="61"/>
      <c r="L232" s="61"/>
      <c r="M232" s="81"/>
      <c r="N232" s="81"/>
      <c r="O232" s="61"/>
      <c r="P232" s="269"/>
      <c r="R232" s="194"/>
      <c r="S232" s="61"/>
      <c r="T232" s="61"/>
      <c r="U232" s="81"/>
      <c r="V232" s="81"/>
      <c r="W232" s="61"/>
      <c r="X232" s="269"/>
      <c r="Z232" s="194"/>
      <c r="AA232" s="61"/>
      <c r="AB232" s="61"/>
      <c r="AC232" s="81"/>
      <c r="AD232" s="81"/>
      <c r="AE232" s="61"/>
      <c r="AF232" s="269"/>
      <c r="AH232" s="194"/>
      <c r="AI232" s="61"/>
      <c r="AJ232" s="373"/>
      <c r="AK232" s="81"/>
      <c r="AL232" s="81"/>
      <c r="AM232" s="61"/>
      <c r="AN232" s="298"/>
      <c r="AP232" s="194"/>
      <c r="AQ232" s="61"/>
      <c r="AR232" s="61"/>
      <c r="AS232" s="81"/>
      <c r="AT232" s="81"/>
      <c r="AU232" s="61"/>
      <c r="AV232" s="298"/>
      <c r="AX232" s="194"/>
      <c r="AY232" s="61"/>
      <c r="AZ232" s="373"/>
      <c r="BA232" s="81"/>
      <c r="BB232" s="81"/>
      <c r="BC232" s="61"/>
      <c r="BD232" s="269"/>
      <c r="BF232" s="194"/>
      <c r="BG232" s="61"/>
      <c r="BH232" s="61"/>
      <c r="BI232" s="81"/>
      <c r="BJ232" s="81"/>
      <c r="BK232" s="61"/>
      <c r="BL232" s="269"/>
    </row>
    <row r="233" ht="22.5" customHeight="1">
      <c r="A233" s="368"/>
      <c r="B233" s="444"/>
      <c r="C233" s="195"/>
      <c r="D233" s="195"/>
      <c r="E233" s="199"/>
      <c r="F233" s="199"/>
      <c r="G233" s="195"/>
      <c r="H233" s="371"/>
      <c r="J233" s="194"/>
      <c r="K233" s="61"/>
      <c r="L233" s="61"/>
      <c r="M233" s="81"/>
      <c r="N233" s="81"/>
      <c r="O233" s="61"/>
      <c r="P233" s="269"/>
      <c r="R233" s="194"/>
      <c r="S233" s="61"/>
      <c r="T233" s="61"/>
      <c r="U233" s="81"/>
      <c r="V233" s="81"/>
      <c r="W233" s="61"/>
      <c r="X233" s="269"/>
      <c r="Z233" s="194"/>
      <c r="AA233" s="61"/>
      <c r="AB233" s="61"/>
      <c r="AC233" s="81"/>
      <c r="AD233" s="81"/>
      <c r="AE233" s="61"/>
      <c r="AF233" s="269"/>
      <c r="AH233" s="194"/>
      <c r="AI233" s="61"/>
      <c r="AJ233" s="373"/>
      <c r="AK233" s="81"/>
      <c r="AL233" s="81"/>
      <c r="AM233" s="61"/>
      <c r="AN233" s="298"/>
      <c r="AP233" s="194"/>
      <c r="AQ233" s="61"/>
      <c r="AR233" s="61"/>
      <c r="AS233" s="81"/>
      <c r="AT233" s="81"/>
      <c r="AU233" s="61"/>
      <c r="AV233" s="298"/>
      <c r="AX233" s="194"/>
      <c r="AY233" s="61"/>
      <c r="AZ233" s="373"/>
      <c r="BA233" s="81"/>
      <c r="BB233" s="81"/>
      <c r="BC233" s="61"/>
      <c r="BD233" s="269"/>
      <c r="BF233" s="194"/>
      <c r="BG233" s="61"/>
      <c r="BH233" s="61"/>
      <c r="BI233" s="81"/>
      <c r="BJ233" s="81"/>
      <c r="BK233" s="61"/>
      <c r="BL233" s="269"/>
    </row>
    <row r="234" ht="22.5" customHeight="1">
      <c r="A234" s="368"/>
      <c r="B234" s="444"/>
      <c r="C234" s="195"/>
      <c r="D234" s="195"/>
      <c r="E234" s="199"/>
      <c r="F234" s="199"/>
      <c r="G234" s="195"/>
      <c r="H234" s="371"/>
      <c r="J234" s="194"/>
      <c r="K234" s="61"/>
      <c r="L234" s="61"/>
      <c r="M234" s="81"/>
      <c r="N234" s="81"/>
      <c r="O234" s="61"/>
      <c r="P234" s="269"/>
      <c r="R234" s="194"/>
      <c r="S234" s="61"/>
      <c r="T234" s="61"/>
      <c r="U234" s="81"/>
      <c r="V234" s="81"/>
      <c r="W234" s="61"/>
      <c r="X234" s="269"/>
      <c r="Z234" s="194"/>
      <c r="AA234" s="61"/>
      <c r="AB234" s="61"/>
      <c r="AC234" s="81"/>
      <c r="AD234" s="81"/>
      <c r="AE234" s="61"/>
      <c r="AF234" s="269"/>
      <c r="AH234" s="194"/>
      <c r="AI234" s="61"/>
      <c r="AJ234" s="373"/>
      <c r="AK234" s="81"/>
      <c r="AL234" s="81"/>
      <c r="AM234" s="61"/>
      <c r="AN234" s="298"/>
      <c r="AP234" s="194"/>
      <c r="AQ234" s="61"/>
      <c r="AR234" s="61"/>
      <c r="AS234" s="81"/>
      <c r="AT234" s="81"/>
      <c r="AU234" s="61"/>
      <c r="AV234" s="298"/>
      <c r="AX234" s="194"/>
      <c r="AY234" s="61"/>
      <c r="AZ234" s="373"/>
      <c r="BA234" s="81"/>
      <c r="BB234" s="81"/>
      <c r="BC234" s="61"/>
      <c r="BD234" s="269"/>
      <c r="BF234" s="194"/>
      <c r="BG234" s="61"/>
      <c r="BH234" s="61"/>
      <c r="BI234" s="81"/>
      <c r="BJ234" s="81"/>
      <c r="BK234" s="61"/>
      <c r="BL234" s="269"/>
    </row>
    <row r="235" ht="22.5" customHeight="1">
      <c r="A235" s="368"/>
      <c r="B235" s="444"/>
      <c r="C235" s="195"/>
      <c r="D235" s="195"/>
      <c r="E235" s="199"/>
      <c r="F235" s="199"/>
      <c r="G235" s="195"/>
      <c r="H235" s="371"/>
      <c r="J235" s="194"/>
      <c r="K235" s="61"/>
      <c r="L235" s="61"/>
      <c r="M235" s="81"/>
      <c r="N235" s="81"/>
      <c r="O235" s="61"/>
      <c r="P235" s="269"/>
      <c r="R235" s="194"/>
      <c r="S235" s="61"/>
      <c r="T235" s="61"/>
      <c r="U235" s="81"/>
      <c r="V235" s="81"/>
      <c r="W235" s="61"/>
      <c r="X235" s="269"/>
      <c r="Z235" s="194"/>
      <c r="AA235" s="61"/>
      <c r="AB235" s="61"/>
      <c r="AC235" s="81"/>
      <c r="AD235" s="81"/>
      <c r="AE235" s="61"/>
      <c r="AF235" s="269"/>
      <c r="AH235" s="194"/>
      <c r="AI235" s="61"/>
      <c r="AJ235" s="373"/>
      <c r="AK235" s="81"/>
      <c r="AL235" s="81"/>
      <c r="AM235" s="61"/>
      <c r="AN235" s="298"/>
      <c r="AP235" s="194"/>
      <c r="AQ235" s="61"/>
      <c r="AR235" s="61"/>
      <c r="AS235" s="81"/>
      <c r="AT235" s="81"/>
      <c r="AU235" s="61"/>
      <c r="AV235" s="298"/>
      <c r="AX235" s="194"/>
      <c r="AY235" s="61"/>
      <c r="AZ235" s="373"/>
      <c r="BA235" s="81"/>
      <c r="BB235" s="81"/>
      <c r="BC235" s="61"/>
      <c r="BD235" s="269"/>
      <c r="BF235" s="194"/>
      <c r="BG235" s="61"/>
      <c r="BH235" s="61"/>
      <c r="BI235" s="81"/>
      <c r="BJ235" s="81"/>
      <c r="BK235" s="61"/>
      <c r="BL235" s="269"/>
    </row>
    <row r="236" ht="22.5" customHeight="1">
      <c r="A236" s="368"/>
      <c r="B236" s="444"/>
      <c r="C236" s="195"/>
      <c r="D236" s="195"/>
      <c r="E236" s="199"/>
      <c r="F236" s="199"/>
      <c r="G236" s="195"/>
      <c r="H236" s="371"/>
      <c r="J236" s="194"/>
      <c r="K236" s="61"/>
      <c r="L236" s="61"/>
      <c r="M236" s="81"/>
      <c r="N236" s="81"/>
      <c r="O236" s="61"/>
      <c r="P236" s="269"/>
      <c r="R236" s="194"/>
      <c r="S236" s="61"/>
      <c r="T236" s="61"/>
      <c r="U236" s="81"/>
      <c r="V236" s="81"/>
      <c r="W236" s="61"/>
      <c r="X236" s="269"/>
      <c r="Z236" s="194"/>
      <c r="AA236" s="61"/>
      <c r="AB236" s="61"/>
      <c r="AC236" s="81"/>
      <c r="AD236" s="81"/>
      <c r="AE236" s="61"/>
      <c r="AF236" s="269"/>
      <c r="AH236" s="194"/>
      <c r="AI236" s="61"/>
      <c r="AJ236" s="373"/>
      <c r="AK236" s="81"/>
      <c r="AL236" s="81"/>
      <c r="AM236" s="61"/>
      <c r="AN236" s="298"/>
      <c r="AP236" s="194"/>
      <c r="AQ236" s="61"/>
      <c r="AR236" s="61"/>
      <c r="AS236" s="81"/>
      <c r="AT236" s="81"/>
      <c r="AU236" s="61"/>
      <c r="AV236" s="298"/>
      <c r="AX236" s="194"/>
      <c r="AY236" s="61"/>
      <c r="AZ236" s="373"/>
      <c r="BA236" s="81"/>
      <c r="BB236" s="81"/>
      <c r="BC236" s="61"/>
      <c r="BD236" s="269"/>
      <c r="BF236" s="194"/>
      <c r="BG236" s="61"/>
      <c r="BH236" s="61"/>
      <c r="BI236" s="81"/>
      <c r="BJ236" s="81"/>
      <c r="BK236" s="61"/>
      <c r="BL236" s="269"/>
    </row>
    <row r="237" ht="22.5" customHeight="1">
      <c r="A237" s="368"/>
      <c r="B237" s="444"/>
      <c r="C237" s="195"/>
      <c r="D237" s="195"/>
      <c r="E237" s="199"/>
      <c r="F237" s="199"/>
      <c r="G237" s="195"/>
      <c r="H237" s="371"/>
      <c r="J237" s="194"/>
      <c r="K237" s="61"/>
      <c r="L237" s="61"/>
      <c r="M237" s="81"/>
      <c r="N237" s="81"/>
      <c r="O237" s="61"/>
      <c r="P237" s="269"/>
      <c r="R237" s="194"/>
      <c r="S237" s="61"/>
      <c r="T237" s="61"/>
      <c r="U237" s="81"/>
      <c r="V237" s="81"/>
      <c r="W237" s="61"/>
      <c r="X237" s="269"/>
      <c r="Z237" s="194"/>
      <c r="AA237" s="61"/>
      <c r="AB237" s="61"/>
      <c r="AC237" s="81"/>
      <c r="AD237" s="81"/>
      <c r="AE237" s="61"/>
      <c r="AF237" s="269"/>
      <c r="AH237" s="194"/>
      <c r="AI237" s="61"/>
      <c r="AJ237" s="373"/>
      <c r="AK237" s="81"/>
      <c r="AL237" s="81"/>
      <c r="AM237" s="61"/>
      <c r="AN237" s="298"/>
      <c r="AP237" s="194"/>
      <c r="AQ237" s="61"/>
      <c r="AR237" s="61"/>
      <c r="AS237" s="81"/>
      <c r="AT237" s="81"/>
      <c r="AU237" s="61"/>
      <c r="AV237" s="298"/>
      <c r="AX237" s="194"/>
      <c r="AY237" s="61"/>
      <c r="AZ237" s="373"/>
      <c r="BA237" s="81"/>
      <c r="BB237" s="81"/>
      <c r="BC237" s="61"/>
      <c r="BD237" s="269"/>
      <c r="BF237" s="194"/>
      <c r="BG237" s="61"/>
      <c r="BH237" s="61"/>
      <c r="BI237" s="81"/>
      <c r="BJ237" s="81"/>
      <c r="BK237" s="61"/>
      <c r="BL237" s="269"/>
    </row>
    <row r="238" ht="22.5" customHeight="1">
      <c r="A238" s="368"/>
      <c r="B238" s="444"/>
      <c r="C238" s="195"/>
      <c r="D238" s="195"/>
      <c r="E238" s="199"/>
      <c r="F238" s="199"/>
      <c r="G238" s="195"/>
      <c r="H238" s="371"/>
      <c r="J238" s="194"/>
      <c r="K238" s="61"/>
      <c r="L238" s="61"/>
      <c r="M238" s="81"/>
      <c r="N238" s="81"/>
      <c r="O238" s="61"/>
      <c r="P238" s="269"/>
      <c r="R238" s="194"/>
      <c r="S238" s="61"/>
      <c r="T238" s="61"/>
      <c r="U238" s="81"/>
      <c r="V238" s="81"/>
      <c r="W238" s="61"/>
      <c r="X238" s="269"/>
      <c r="Z238" s="194"/>
      <c r="AA238" s="61"/>
      <c r="AB238" s="61"/>
      <c r="AC238" s="81"/>
      <c r="AD238" s="81"/>
      <c r="AE238" s="61"/>
      <c r="AF238" s="269"/>
      <c r="AH238" s="194"/>
      <c r="AI238" s="61"/>
      <c r="AJ238" s="373"/>
      <c r="AK238" s="81"/>
      <c r="AL238" s="81"/>
      <c r="AM238" s="61"/>
      <c r="AN238" s="298"/>
      <c r="AP238" s="194"/>
      <c r="AQ238" s="61"/>
      <c r="AR238" s="61"/>
      <c r="AS238" s="81"/>
      <c r="AT238" s="81"/>
      <c r="AU238" s="61"/>
      <c r="AV238" s="298"/>
      <c r="AX238" s="194"/>
      <c r="AY238" s="61"/>
      <c r="AZ238" s="373"/>
      <c r="BA238" s="81"/>
      <c r="BB238" s="81"/>
      <c r="BC238" s="61"/>
      <c r="BD238" s="269"/>
      <c r="BF238" s="194"/>
      <c r="BG238" s="61"/>
      <c r="BH238" s="61"/>
      <c r="BI238" s="81"/>
      <c r="BJ238" s="81"/>
      <c r="BK238" s="61"/>
      <c r="BL238" s="269"/>
    </row>
    <row r="239" ht="22.5" customHeight="1">
      <c r="A239" s="368"/>
      <c r="B239" s="444"/>
      <c r="C239" s="195"/>
      <c r="D239" s="195"/>
      <c r="E239" s="199"/>
      <c r="F239" s="199"/>
      <c r="G239" s="195"/>
      <c r="H239" s="371"/>
      <c r="J239" s="194"/>
      <c r="K239" s="61"/>
      <c r="L239" s="61"/>
      <c r="M239" s="81"/>
      <c r="N239" s="81"/>
      <c r="O239" s="61"/>
      <c r="P239" s="269"/>
      <c r="R239" s="194"/>
      <c r="S239" s="61"/>
      <c r="T239" s="61"/>
      <c r="U239" s="81"/>
      <c r="V239" s="81"/>
      <c r="W239" s="61"/>
      <c r="X239" s="269"/>
      <c r="Z239" s="194"/>
      <c r="AA239" s="61"/>
      <c r="AB239" s="61"/>
      <c r="AC239" s="81"/>
      <c r="AD239" s="81"/>
      <c r="AE239" s="61"/>
      <c r="AF239" s="269"/>
      <c r="AH239" s="194"/>
      <c r="AI239" s="61"/>
      <c r="AJ239" s="373"/>
      <c r="AK239" s="81"/>
      <c r="AL239" s="81"/>
      <c r="AM239" s="61"/>
      <c r="AN239" s="298"/>
      <c r="AP239" s="194"/>
      <c r="AQ239" s="61"/>
      <c r="AR239" s="61"/>
      <c r="AS239" s="81"/>
      <c r="AT239" s="81"/>
      <c r="AU239" s="61"/>
      <c r="AV239" s="298"/>
      <c r="AX239" s="194"/>
      <c r="AY239" s="61"/>
      <c r="AZ239" s="373"/>
      <c r="BA239" s="81"/>
      <c r="BB239" s="81"/>
      <c r="BC239" s="61"/>
      <c r="BD239" s="269"/>
      <c r="BF239" s="194"/>
      <c r="BG239" s="61"/>
      <c r="BH239" s="61"/>
      <c r="BI239" s="81"/>
      <c r="BJ239" s="81"/>
      <c r="BK239" s="61"/>
      <c r="BL239" s="269"/>
    </row>
    <row r="240" ht="22.5" customHeight="1">
      <c r="A240" s="368"/>
      <c r="B240" s="444"/>
      <c r="C240" s="195"/>
      <c r="D240" s="195"/>
      <c r="E240" s="199"/>
      <c r="F240" s="199"/>
      <c r="G240" s="195"/>
      <c r="H240" s="371"/>
      <c r="J240" s="194"/>
      <c r="K240" s="61"/>
      <c r="L240" s="61"/>
      <c r="M240" s="81"/>
      <c r="N240" s="81"/>
      <c r="O240" s="61"/>
      <c r="P240" s="269"/>
      <c r="R240" s="194"/>
      <c r="S240" s="61"/>
      <c r="T240" s="61"/>
      <c r="U240" s="81"/>
      <c r="V240" s="81"/>
      <c r="W240" s="61"/>
      <c r="X240" s="269"/>
      <c r="Z240" s="194"/>
      <c r="AA240" s="61"/>
      <c r="AB240" s="61"/>
      <c r="AC240" s="81"/>
      <c r="AD240" s="81"/>
      <c r="AE240" s="61"/>
      <c r="AF240" s="269"/>
      <c r="AH240" s="194"/>
      <c r="AI240" s="61"/>
      <c r="AJ240" s="373"/>
      <c r="AK240" s="81"/>
      <c r="AL240" s="81"/>
      <c r="AM240" s="61"/>
      <c r="AN240" s="298"/>
      <c r="AP240" s="194"/>
      <c r="AQ240" s="61"/>
      <c r="AR240" s="61"/>
      <c r="AS240" s="81"/>
      <c r="AT240" s="81"/>
      <c r="AU240" s="61"/>
      <c r="AV240" s="298"/>
      <c r="AX240" s="194"/>
      <c r="AY240" s="61"/>
      <c r="AZ240" s="373"/>
      <c r="BA240" s="81"/>
      <c r="BB240" s="81"/>
      <c r="BC240" s="61"/>
      <c r="BD240" s="269"/>
      <c r="BF240" s="194"/>
      <c r="BG240" s="61"/>
      <c r="BH240" s="61"/>
      <c r="BI240" s="81"/>
      <c r="BJ240" s="81"/>
      <c r="BK240" s="61"/>
      <c r="BL240" s="269"/>
    </row>
    <row r="241" ht="22.5" customHeight="1">
      <c r="A241" s="368"/>
      <c r="B241" s="444"/>
      <c r="C241" s="195"/>
      <c r="D241" s="195"/>
      <c r="E241" s="199"/>
      <c r="F241" s="199"/>
      <c r="G241" s="195"/>
      <c r="H241" s="371"/>
      <c r="J241" s="194"/>
      <c r="K241" s="61"/>
      <c r="L241" s="61"/>
      <c r="M241" s="81"/>
      <c r="N241" s="81"/>
      <c r="O241" s="61"/>
      <c r="P241" s="269"/>
      <c r="R241" s="194"/>
      <c r="S241" s="61"/>
      <c r="T241" s="61"/>
      <c r="U241" s="81"/>
      <c r="V241" s="81"/>
      <c r="W241" s="61"/>
      <c r="X241" s="269"/>
      <c r="Z241" s="194"/>
      <c r="AA241" s="61"/>
      <c r="AB241" s="61"/>
      <c r="AC241" s="81"/>
      <c r="AD241" s="81"/>
      <c r="AE241" s="61"/>
      <c r="AF241" s="269"/>
      <c r="AH241" s="194"/>
      <c r="AI241" s="61"/>
      <c r="AJ241" s="373"/>
      <c r="AK241" s="81"/>
      <c r="AL241" s="81"/>
      <c r="AM241" s="61"/>
      <c r="AN241" s="298"/>
      <c r="AP241" s="194"/>
      <c r="AQ241" s="61"/>
      <c r="AR241" s="61"/>
      <c r="AS241" s="81"/>
      <c r="AT241" s="81"/>
      <c r="AU241" s="61"/>
      <c r="AV241" s="298"/>
      <c r="AX241" s="194"/>
      <c r="AY241" s="61"/>
      <c r="AZ241" s="373"/>
      <c r="BA241" s="81"/>
      <c r="BB241" s="81"/>
      <c r="BC241" s="61"/>
      <c r="BD241" s="269"/>
      <c r="BF241" s="194"/>
      <c r="BG241" s="61"/>
      <c r="BH241" s="61"/>
      <c r="BI241" s="81"/>
      <c r="BJ241" s="81"/>
      <c r="BK241" s="61"/>
      <c r="BL241" s="269"/>
    </row>
    <row r="242" ht="22.5" customHeight="1">
      <c r="A242" s="368"/>
      <c r="B242" s="444"/>
      <c r="C242" s="195"/>
      <c r="D242" s="195"/>
      <c r="E242" s="199"/>
      <c r="F242" s="199"/>
      <c r="G242" s="195"/>
      <c r="H242" s="371"/>
      <c r="J242" s="194"/>
      <c r="K242" s="61"/>
      <c r="L242" s="61"/>
      <c r="M242" s="81"/>
      <c r="N242" s="81"/>
      <c r="O242" s="61"/>
      <c r="P242" s="269"/>
      <c r="R242" s="194"/>
      <c r="S242" s="61"/>
      <c r="T242" s="61"/>
      <c r="U242" s="81"/>
      <c r="V242" s="81"/>
      <c r="W242" s="61"/>
      <c r="X242" s="269"/>
      <c r="Z242" s="194"/>
      <c r="AA242" s="61"/>
      <c r="AB242" s="61"/>
      <c r="AC242" s="81"/>
      <c r="AD242" s="81"/>
      <c r="AE242" s="61"/>
      <c r="AF242" s="269"/>
      <c r="AH242" s="194"/>
      <c r="AI242" s="61"/>
      <c r="AJ242" s="373"/>
      <c r="AK242" s="81"/>
      <c r="AL242" s="81"/>
      <c r="AM242" s="61"/>
      <c r="AN242" s="298"/>
      <c r="AP242" s="194"/>
      <c r="AQ242" s="61"/>
      <c r="AR242" s="61"/>
      <c r="AS242" s="81"/>
      <c r="AT242" s="81"/>
      <c r="AU242" s="61"/>
      <c r="AV242" s="298"/>
      <c r="AX242" s="194"/>
      <c r="AY242" s="61"/>
      <c r="AZ242" s="373"/>
      <c r="BA242" s="81"/>
      <c r="BB242" s="81"/>
      <c r="BC242" s="61"/>
      <c r="BD242" s="269"/>
      <c r="BF242" s="194"/>
      <c r="BG242" s="61"/>
      <c r="BH242" s="61"/>
      <c r="BI242" s="81"/>
      <c r="BJ242" s="81"/>
      <c r="BK242" s="61"/>
      <c r="BL242" s="269"/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315"/>
      <c r="AO243" s="258"/>
      <c r="AP243" s="346"/>
      <c r="AQ243" s="300"/>
      <c r="AR243" s="300"/>
      <c r="AS243" s="345"/>
      <c r="AT243" s="345"/>
      <c r="AU243" s="300"/>
      <c r="AV243" s="313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315"/>
      <c r="AO244" s="258"/>
      <c r="AP244" s="346"/>
      <c r="AQ244" s="300"/>
      <c r="AR244" s="300"/>
      <c r="AS244" s="345"/>
      <c r="AT244" s="345"/>
      <c r="AU244" s="300"/>
      <c r="AV244" s="313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315"/>
      <c r="AO245" s="258"/>
      <c r="AP245" s="346"/>
      <c r="AQ245" s="300"/>
      <c r="AR245" s="300"/>
      <c r="AS245" s="345"/>
      <c r="AT245" s="345"/>
      <c r="AU245" s="300"/>
      <c r="AV245" s="313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315"/>
      <c r="AO246" s="258"/>
      <c r="AP246" s="346"/>
      <c r="AQ246" s="300"/>
      <c r="AR246" s="300"/>
      <c r="AS246" s="345"/>
      <c r="AT246" s="345"/>
      <c r="AU246" s="300"/>
      <c r="AV246" s="313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315"/>
      <c r="AO247" s="258"/>
      <c r="AP247" s="346"/>
      <c r="AQ247" s="300"/>
      <c r="AR247" s="300"/>
      <c r="AS247" s="345"/>
      <c r="AT247" s="345"/>
      <c r="AU247" s="300"/>
      <c r="AV247" s="313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315"/>
      <c r="AO248" s="258"/>
      <c r="AP248" s="346"/>
      <c r="AQ248" s="300"/>
      <c r="AR248" s="300"/>
      <c r="AS248" s="345"/>
      <c r="AT248" s="345"/>
      <c r="AU248" s="300"/>
      <c r="AV248" s="313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315"/>
      <c r="AO249" s="258"/>
      <c r="AP249" s="346"/>
      <c r="AQ249" s="300"/>
      <c r="AR249" s="300"/>
      <c r="AS249" s="345"/>
      <c r="AT249" s="345"/>
      <c r="AU249" s="300"/>
      <c r="AV249" s="313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315"/>
      <c r="AO250" s="258"/>
      <c r="AP250" s="346"/>
      <c r="AQ250" s="300"/>
      <c r="AR250" s="300"/>
      <c r="AS250" s="345"/>
      <c r="AT250" s="345"/>
      <c r="AU250" s="300"/>
      <c r="AV250" s="313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315"/>
      <c r="AO251" s="258"/>
      <c r="AP251" s="346"/>
      <c r="AQ251" s="300"/>
      <c r="AR251" s="300"/>
      <c r="AS251" s="345"/>
      <c r="AT251" s="345"/>
      <c r="AU251" s="300"/>
      <c r="AV251" s="313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315"/>
      <c r="AO252" s="258"/>
      <c r="AP252" s="346"/>
      <c r="AQ252" s="300"/>
      <c r="AR252" s="300"/>
      <c r="AS252" s="345"/>
      <c r="AT252" s="345"/>
      <c r="AU252" s="300"/>
      <c r="AV252" s="313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315"/>
      <c r="AO253" s="258"/>
      <c r="AP253" s="346"/>
      <c r="AQ253" s="300"/>
      <c r="AR253" s="300"/>
      <c r="AS253" s="345"/>
      <c r="AT253" s="345"/>
      <c r="AU253" s="300"/>
      <c r="AV253" s="313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315"/>
      <c r="AO254" s="258"/>
      <c r="AP254" s="346"/>
      <c r="AQ254" s="300"/>
      <c r="AR254" s="300"/>
      <c r="AS254" s="345"/>
      <c r="AT254" s="345"/>
      <c r="AU254" s="300"/>
      <c r="AV254" s="313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315"/>
      <c r="AO255" s="258"/>
      <c r="AP255" s="346"/>
      <c r="AQ255" s="300"/>
      <c r="AR255" s="300"/>
      <c r="AS255" s="345"/>
      <c r="AT255" s="345"/>
      <c r="AU255" s="300"/>
      <c r="AV255" s="313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315"/>
      <c r="AO256" s="258"/>
      <c r="AP256" s="346"/>
      <c r="AQ256" s="300"/>
      <c r="AR256" s="300"/>
      <c r="AS256" s="345"/>
      <c r="AT256" s="345"/>
      <c r="AU256" s="300"/>
      <c r="AV256" s="313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315"/>
      <c r="AO257" s="258"/>
      <c r="AP257" s="346"/>
      <c r="AQ257" s="300"/>
      <c r="AR257" s="300"/>
      <c r="AS257" s="345"/>
      <c r="AT257" s="345"/>
      <c r="AU257" s="300"/>
      <c r="AV257" s="313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315"/>
      <c r="AO258" s="258"/>
      <c r="AP258" s="346"/>
      <c r="AQ258" s="300"/>
      <c r="AR258" s="300"/>
      <c r="AS258" s="345"/>
      <c r="AT258" s="345"/>
      <c r="AU258" s="300"/>
      <c r="AV258" s="313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315"/>
      <c r="AO259" s="258"/>
      <c r="AP259" s="346"/>
      <c r="AQ259" s="300"/>
      <c r="AR259" s="300"/>
      <c r="AS259" s="345"/>
      <c r="AT259" s="345"/>
      <c r="AU259" s="300"/>
      <c r="AV259" s="313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315"/>
      <c r="AO260" s="258"/>
      <c r="AP260" s="346"/>
      <c r="AQ260" s="300"/>
      <c r="AR260" s="300"/>
      <c r="AS260" s="345"/>
      <c r="AT260" s="345"/>
      <c r="AU260" s="300"/>
      <c r="AV260" s="313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315"/>
      <c r="AO261" s="258"/>
      <c r="AP261" s="346"/>
      <c r="AQ261" s="300"/>
      <c r="AR261" s="300"/>
      <c r="AS261" s="345"/>
      <c r="AT261" s="345"/>
      <c r="AU261" s="300"/>
      <c r="AV261" s="313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315"/>
      <c r="AO262" s="258"/>
      <c r="AP262" s="346"/>
      <c r="AQ262" s="300"/>
      <c r="AR262" s="300"/>
      <c r="AS262" s="345"/>
      <c r="AT262" s="345"/>
      <c r="AU262" s="300"/>
      <c r="AV262" s="313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315"/>
      <c r="AO263" s="258"/>
      <c r="AP263" s="346"/>
      <c r="AQ263" s="300"/>
      <c r="AR263" s="300"/>
      <c r="AS263" s="345"/>
      <c r="AT263" s="345"/>
      <c r="AU263" s="300"/>
      <c r="AV263" s="313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315"/>
      <c r="AO264" s="258"/>
      <c r="AP264" s="346"/>
      <c r="AQ264" s="300"/>
      <c r="AR264" s="300"/>
      <c r="AS264" s="345"/>
      <c r="AT264" s="345"/>
      <c r="AU264" s="300"/>
      <c r="AV264" s="313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315"/>
      <c r="AO265" s="258"/>
      <c r="AP265" s="346"/>
      <c r="AQ265" s="300"/>
      <c r="AR265" s="300"/>
      <c r="AS265" s="345"/>
      <c r="AT265" s="345"/>
      <c r="AU265" s="300"/>
      <c r="AV265" s="313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315"/>
      <c r="AO266" s="258"/>
      <c r="AP266" s="346"/>
      <c r="AQ266" s="300"/>
      <c r="AR266" s="300"/>
      <c r="AS266" s="345"/>
      <c r="AT266" s="345"/>
      <c r="AU266" s="300"/>
      <c r="AV266" s="313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315"/>
      <c r="AO267" s="258"/>
      <c r="AP267" s="346"/>
      <c r="AQ267" s="300"/>
      <c r="AR267" s="300"/>
      <c r="AS267" s="345"/>
      <c r="AT267" s="345"/>
      <c r="AU267" s="300"/>
      <c r="AV267" s="313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315"/>
      <c r="AO268" s="258"/>
      <c r="AP268" s="346"/>
      <c r="AQ268" s="300"/>
      <c r="AR268" s="300"/>
      <c r="AS268" s="345"/>
      <c r="AT268" s="345"/>
      <c r="AU268" s="300"/>
      <c r="AV268" s="313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315"/>
      <c r="AO269" s="258"/>
      <c r="AP269" s="346"/>
      <c r="AQ269" s="300"/>
      <c r="AR269" s="300"/>
      <c r="AS269" s="345"/>
      <c r="AT269" s="345"/>
      <c r="AU269" s="300"/>
      <c r="AV269" s="313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315"/>
      <c r="AO270" s="258"/>
      <c r="AP270" s="346"/>
      <c r="AQ270" s="300"/>
      <c r="AR270" s="300"/>
      <c r="AS270" s="345"/>
      <c r="AT270" s="345"/>
      <c r="AU270" s="300"/>
      <c r="AV270" s="313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315"/>
      <c r="AO271" s="258"/>
      <c r="AP271" s="346"/>
      <c r="AQ271" s="300"/>
      <c r="AR271" s="300"/>
      <c r="AS271" s="345"/>
      <c r="AT271" s="345"/>
      <c r="AU271" s="300"/>
      <c r="AV271" s="313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315"/>
      <c r="AO272" s="258"/>
      <c r="AP272" s="346"/>
      <c r="AQ272" s="300"/>
      <c r="AR272" s="300"/>
      <c r="AS272" s="345"/>
      <c r="AT272" s="345"/>
      <c r="AU272" s="300"/>
      <c r="AV272" s="313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315"/>
      <c r="AO273" s="258"/>
      <c r="AP273" s="346"/>
      <c r="AQ273" s="300"/>
      <c r="AR273" s="300"/>
      <c r="AS273" s="345"/>
      <c r="AT273" s="345"/>
      <c r="AU273" s="300"/>
      <c r="AV273" s="313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315"/>
      <c r="AO274" s="258"/>
      <c r="AP274" s="346"/>
      <c r="AQ274" s="300"/>
      <c r="AR274" s="300"/>
      <c r="AS274" s="345"/>
      <c r="AT274" s="345"/>
      <c r="AU274" s="300"/>
      <c r="AV274" s="313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315"/>
      <c r="AO275" s="258"/>
      <c r="AP275" s="346"/>
      <c r="AQ275" s="300"/>
      <c r="AR275" s="300"/>
      <c r="AS275" s="345"/>
      <c r="AT275" s="345"/>
      <c r="AU275" s="300"/>
      <c r="AV275" s="313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315"/>
      <c r="AO276" s="258"/>
      <c r="AP276" s="346"/>
      <c r="AQ276" s="300"/>
      <c r="AR276" s="300"/>
      <c r="AS276" s="345"/>
      <c r="AT276" s="345"/>
      <c r="AU276" s="300"/>
      <c r="AV276" s="313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315"/>
      <c r="AO277" s="258"/>
      <c r="AP277" s="346"/>
      <c r="AQ277" s="300"/>
      <c r="AR277" s="300"/>
      <c r="AS277" s="345"/>
      <c r="AT277" s="345"/>
      <c r="AU277" s="300"/>
      <c r="AV277" s="313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315"/>
      <c r="AO278" s="258"/>
      <c r="AP278" s="346"/>
      <c r="AQ278" s="300"/>
      <c r="AR278" s="300"/>
      <c r="AS278" s="345"/>
      <c r="AT278" s="345"/>
      <c r="AU278" s="300"/>
      <c r="AV278" s="313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315"/>
      <c r="AO279" s="258"/>
      <c r="AP279" s="346"/>
      <c r="AQ279" s="300"/>
      <c r="AR279" s="300"/>
      <c r="AS279" s="345"/>
      <c r="AT279" s="345"/>
      <c r="AU279" s="300"/>
      <c r="AV279" s="313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315"/>
      <c r="AO280" s="258"/>
      <c r="AP280" s="346"/>
      <c r="AQ280" s="300"/>
      <c r="AR280" s="300"/>
      <c r="AS280" s="345"/>
      <c r="AT280" s="345"/>
      <c r="AU280" s="300"/>
      <c r="AV280" s="313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315"/>
      <c r="AO281" s="258"/>
      <c r="AP281" s="346"/>
      <c r="AQ281" s="300"/>
      <c r="AR281" s="300"/>
      <c r="AS281" s="345"/>
      <c r="AT281" s="345"/>
      <c r="AU281" s="300"/>
      <c r="AV281" s="313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315"/>
      <c r="AO282" s="258"/>
      <c r="AP282" s="346"/>
      <c r="AQ282" s="300"/>
      <c r="AR282" s="300"/>
      <c r="AS282" s="345"/>
      <c r="AT282" s="345"/>
      <c r="AU282" s="300"/>
      <c r="AV282" s="313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315"/>
      <c r="AO283" s="258"/>
      <c r="AP283" s="346"/>
      <c r="AQ283" s="300"/>
      <c r="AR283" s="300"/>
      <c r="AS283" s="345"/>
      <c r="AT283" s="345"/>
      <c r="AU283" s="300"/>
      <c r="AV283" s="313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315"/>
      <c r="AO284" s="258"/>
      <c r="AP284" s="346"/>
      <c r="AQ284" s="300"/>
      <c r="AR284" s="300"/>
      <c r="AS284" s="345"/>
      <c r="AT284" s="345"/>
      <c r="AU284" s="300"/>
      <c r="AV284" s="313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315"/>
      <c r="AO285" s="258"/>
      <c r="AP285" s="346"/>
      <c r="AQ285" s="300"/>
      <c r="AR285" s="300"/>
      <c r="AS285" s="345"/>
      <c r="AT285" s="345"/>
      <c r="AU285" s="300"/>
      <c r="AV285" s="313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315"/>
      <c r="AO286" s="258"/>
      <c r="AP286" s="346"/>
      <c r="AQ286" s="300"/>
      <c r="AR286" s="300"/>
      <c r="AS286" s="345"/>
      <c r="AT286" s="345"/>
      <c r="AU286" s="300"/>
      <c r="AV286" s="313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315"/>
      <c r="AO287" s="258"/>
      <c r="AP287" s="346"/>
      <c r="AQ287" s="300"/>
      <c r="AR287" s="300"/>
      <c r="AS287" s="345"/>
      <c r="AT287" s="345"/>
      <c r="AU287" s="300"/>
      <c r="AV287" s="313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315"/>
      <c r="AO288" s="258"/>
      <c r="AP288" s="346"/>
      <c r="AQ288" s="300"/>
      <c r="AR288" s="300"/>
      <c r="AS288" s="345"/>
      <c r="AT288" s="345"/>
      <c r="AU288" s="300"/>
      <c r="AV288" s="313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315"/>
      <c r="AO289" s="258"/>
      <c r="AP289" s="346"/>
      <c r="AQ289" s="300"/>
      <c r="AR289" s="300"/>
      <c r="AS289" s="345"/>
      <c r="AT289" s="345"/>
      <c r="AU289" s="300"/>
      <c r="AV289" s="313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315"/>
      <c r="AO290" s="258"/>
      <c r="AP290" s="346"/>
      <c r="AQ290" s="300"/>
      <c r="AR290" s="300"/>
      <c r="AS290" s="345"/>
      <c r="AT290" s="345"/>
      <c r="AU290" s="300"/>
      <c r="AV290" s="313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315"/>
      <c r="AO291" s="258"/>
      <c r="AP291" s="346"/>
      <c r="AQ291" s="300"/>
      <c r="AR291" s="300"/>
      <c r="AS291" s="345"/>
      <c r="AT291" s="345"/>
      <c r="AU291" s="300"/>
      <c r="AV291" s="313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315"/>
      <c r="AO292" s="258"/>
      <c r="AP292" s="346"/>
      <c r="AQ292" s="300"/>
      <c r="AR292" s="300"/>
      <c r="AS292" s="345"/>
      <c r="AT292" s="345"/>
      <c r="AU292" s="300"/>
      <c r="AV292" s="313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315"/>
      <c r="AO293" s="258"/>
      <c r="AP293" s="346"/>
      <c r="AQ293" s="300"/>
      <c r="AR293" s="300"/>
      <c r="AS293" s="345"/>
      <c r="AT293" s="345"/>
      <c r="AU293" s="300"/>
      <c r="AV293" s="313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315"/>
      <c r="AO294" s="258"/>
      <c r="AP294" s="346"/>
      <c r="AQ294" s="300"/>
      <c r="AR294" s="300"/>
      <c r="AS294" s="345"/>
      <c r="AT294" s="345"/>
      <c r="AU294" s="300"/>
      <c r="AV294" s="313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315"/>
      <c r="AO295" s="258"/>
      <c r="AP295" s="346"/>
      <c r="AQ295" s="300"/>
      <c r="AR295" s="300"/>
      <c r="AS295" s="345"/>
      <c r="AT295" s="345"/>
      <c r="AU295" s="300"/>
      <c r="AV295" s="313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315"/>
      <c r="AO296" s="258"/>
      <c r="AP296" s="346"/>
      <c r="AQ296" s="300"/>
      <c r="AR296" s="300"/>
      <c r="AS296" s="345"/>
      <c r="AT296" s="345"/>
      <c r="AU296" s="300"/>
      <c r="AV296" s="313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315"/>
      <c r="AO297" s="258"/>
      <c r="AP297" s="346"/>
      <c r="AQ297" s="300"/>
      <c r="AR297" s="300"/>
      <c r="AS297" s="345"/>
      <c r="AT297" s="345"/>
      <c r="AU297" s="300"/>
      <c r="AV297" s="313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315"/>
      <c r="AO298" s="258"/>
      <c r="AP298" s="346"/>
      <c r="AQ298" s="300"/>
      <c r="AR298" s="300"/>
      <c r="AS298" s="345"/>
      <c r="AT298" s="345"/>
      <c r="AU298" s="300"/>
      <c r="AV298" s="313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315"/>
      <c r="AO299" s="258"/>
      <c r="AP299" s="346"/>
      <c r="AQ299" s="300"/>
      <c r="AR299" s="300"/>
      <c r="AS299" s="345"/>
      <c r="AT299" s="345"/>
      <c r="AU299" s="300"/>
      <c r="AV299" s="313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315"/>
      <c r="AO300" s="258"/>
      <c r="AP300" s="346"/>
      <c r="AQ300" s="300"/>
      <c r="AR300" s="300"/>
      <c r="AS300" s="345"/>
      <c r="AT300" s="345"/>
      <c r="AU300" s="300"/>
      <c r="AV300" s="313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315"/>
      <c r="AO301" s="258"/>
      <c r="AP301" s="346"/>
      <c r="AQ301" s="300"/>
      <c r="AR301" s="300"/>
      <c r="AS301" s="345"/>
      <c r="AT301" s="345"/>
      <c r="AU301" s="300"/>
      <c r="AV301" s="313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315"/>
      <c r="AO302" s="258"/>
      <c r="AP302" s="346"/>
      <c r="AQ302" s="300"/>
      <c r="AR302" s="300"/>
      <c r="AS302" s="345"/>
      <c r="AT302" s="345"/>
      <c r="AU302" s="300"/>
      <c r="AV302" s="313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315"/>
      <c r="AO303" s="258"/>
      <c r="AP303" s="346"/>
      <c r="AQ303" s="300"/>
      <c r="AR303" s="300"/>
      <c r="AS303" s="345"/>
      <c r="AT303" s="345"/>
      <c r="AU303" s="300"/>
      <c r="AV303" s="313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315"/>
      <c r="AO304" s="258"/>
      <c r="AP304" s="346"/>
      <c r="AQ304" s="300"/>
      <c r="AR304" s="300"/>
      <c r="AS304" s="345"/>
      <c r="AT304" s="345"/>
      <c r="AU304" s="300"/>
      <c r="AV304" s="313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315"/>
      <c r="AO305" s="258"/>
      <c r="AP305" s="346"/>
      <c r="AQ305" s="300"/>
      <c r="AR305" s="300"/>
      <c r="AS305" s="345"/>
      <c r="AT305" s="345"/>
      <c r="AU305" s="300"/>
      <c r="AV305" s="313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315"/>
      <c r="AO306" s="258"/>
      <c r="AP306" s="346"/>
      <c r="AQ306" s="300"/>
      <c r="AR306" s="300"/>
      <c r="AS306" s="345"/>
      <c r="AT306" s="345"/>
      <c r="AU306" s="300"/>
      <c r="AV306" s="313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315"/>
      <c r="AO307" s="258"/>
      <c r="AP307" s="346"/>
      <c r="AQ307" s="300"/>
      <c r="AR307" s="300"/>
      <c r="AS307" s="345"/>
      <c r="AT307" s="345"/>
      <c r="AU307" s="300"/>
      <c r="AV307" s="313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315"/>
      <c r="AO308" s="258"/>
      <c r="AP308" s="346"/>
      <c r="AQ308" s="300"/>
      <c r="AR308" s="300"/>
      <c r="AS308" s="345"/>
      <c r="AT308" s="345"/>
      <c r="AU308" s="300"/>
      <c r="AV308" s="313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315"/>
      <c r="AO309" s="258"/>
      <c r="AP309" s="346"/>
      <c r="AQ309" s="300"/>
      <c r="AR309" s="300"/>
      <c r="AS309" s="345"/>
      <c r="AT309" s="345"/>
      <c r="AU309" s="300"/>
      <c r="AV309" s="313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315"/>
      <c r="AO310" s="258"/>
      <c r="AP310" s="346"/>
      <c r="AQ310" s="300"/>
      <c r="AR310" s="300"/>
      <c r="AS310" s="345"/>
      <c r="AT310" s="345"/>
      <c r="AU310" s="300"/>
      <c r="AV310" s="313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315"/>
      <c r="AO311" s="258"/>
      <c r="AP311" s="346"/>
      <c r="AQ311" s="300"/>
      <c r="AR311" s="300"/>
      <c r="AS311" s="345"/>
      <c r="AT311" s="345"/>
      <c r="AU311" s="300"/>
      <c r="AV311" s="313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315"/>
      <c r="AO312" s="258"/>
      <c r="AP312" s="346"/>
      <c r="AQ312" s="300"/>
      <c r="AR312" s="300"/>
      <c r="AS312" s="345"/>
      <c r="AT312" s="345"/>
      <c r="AU312" s="300"/>
      <c r="AV312" s="313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315"/>
      <c r="AO313" s="258"/>
      <c r="AP313" s="346"/>
      <c r="AQ313" s="300"/>
      <c r="AR313" s="300"/>
      <c r="AS313" s="345"/>
      <c r="AT313" s="345"/>
      <c r="AU313" s="300"/>
      <c r="AV313" s="313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315"/>
      <c r="AO314" s="258"/>
      <c r="AP314" s="346"/>
      <c r="AQ314" s="300"/>
      <c r="AR314" s="300"/>
      <c r="AS314" s="345"/>
      <c r="AT314" s="345"/>
      <c r="AU314" s="300"/>
      <c r="AV314" s="313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315"/>
      <c r="AO315" s="258"/>
      <c r="AP315" s="346"/>
      <c r="AQ315" s="300"/>
      <c r="AR315" s="300"/>
      <c r="AS315" s="345"/>
      <c r="AT315" s="345"/>
      <c r="AU315" s="300"/>
      <c r="AV315" s="313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315"/>
      <c r="AO316" s="258"/>
      <c r="AP316" s="346"/>
      <c r="AQ316" s="300"/>
      <c r="AR316" s="300"/>
      <c r="AS316" s="345"/>
      <c r="AT316" s="345"/>
      <c r="AU316" s="300"/>
      <c r="AV316" s="313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315"/>
      <c r="AO317" s="258"/>
      <c r="AP317" s="346"/>
      <c r="AQ317" s="300"/>
      <c r="AR317" s="300"/>
      <c r="AS317" s="345"/>
      <c r="AT317" s="345"/>
      <c r="AU317" s="300"/>
      <c r="AV317" s="313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315"/>
      <c r="AO318" s="258"/>
      <c r="AP318" s="346"/>
      <c r="AQ318" s="300"/>
      <c r="AR318" s="300"/>
      <c r="AS318" s="345"/>
      <c r="AT318" s="345"/>
      <c r="AU318" s="300"/>
      <c r="AV318" s="313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315"/>
      <c r="AO319" s="258"/>
      <c r="AP319" s="346"/>
      <c r="AQ319" s="300"/>
      <c r="AR319" s="300"/>
      <c r="AS319" s="345"/>
      <c r="AT319" s="345"/>
      <c r="AU319" s="300"/>
      <c r="AV319" s="313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315"/>
      <c r="AO320" s="258"/>
      <c r="AP320" s="346"/>
      <c r="AQ320" s="300"/>
      <c r="AR320" s="300"/>
      <c r="AS320" s="345"/>
      <c r="AT320" s="345"/>
      <c r="AU320" s="300"/>
      <c r="AV320" s="313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315"/>
      <c r="AO321" s="258"/>
      <c r="AP321" s="346"/>
      <c r="AQ321" s="300"/>
      <c r="AR321" s="300"/>
      <c r="AS321" s="345"/>
      <c r="AT321" s="345"/>
      <c r="AU321" s="300"/>
      <c r="AV321" s="313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315"/>
      <c r="AO322" s="258"/>
      <c r="AP322" s="346"/>
      <c r="AQ322" s="300"/>
      <c r="AR322" s="300"/>
      <c r="AS322" s="345"/>
      <c r="AT322" s="345"/>
      <c r="AU322" s="300"/>
      <c r="AV322" s="313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315"/>
      <c r="AO323" s="258"/>
      <c r="AP323" s="346"/>
      <c r="AQ323" s="300"/>
      <c r="AR323" s="300"/>
      <c r="AS323" s="345"/>
      <c r="AT323" s="345"/>
      <c r="AU323" s="300"/>
      <c r="AV323" s="313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315"/>
      <c r="AO324" s="258"/>
      <c r="AP324" s="346"/>
      <c r="AQ324" s="300"/>
      <c r="AR324" s="300"/>
      <c r="AS324" s="345"/>
      <c r="AT324" s="345"/>
      <c r="AU324" s="300"/>
      <c r="AV324" s="313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315"/>
      <c r="AO325" s="258"/>
      <c r="AP325" s="346"/>
      <c r="AQ325" s="300"/>
      <c r="AR325" s="300"/>
      <c r="AS325" s="345"/>
      <c r="AT325" s="345"/>
      <c r="AU325" s="300"/>
      <c r="AV325" s="313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315"/>
      <c r="AO326" s="258"/>
      <c r="AP326" s="346"/>
      <c r="AQ326" s="300"/>
      <c r="AR326" s="300"/>
      <c r="AS326" s="345"/>
      <c r="AT326" s="345"/>
      <c r="AU326" s="300"/>
      <c r="AV326" s="313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315"/>
      <c r="AO327" s="258"/>
      <c r="AP327" s="346"/>
      <c r="AQ327" s="300"/>
      <c r="AR327" s="300"/>
      <c r="AS327" s="345"/>
      <c r="AT327" s="345"/>
      <c r="AU327" s="300"/>
      <c r="AV327" s="313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315"/>
      <c r="AO328" s="258"/>
      <c r="AP328" s="346"/>
      <c r="AQ328" s="300"/>
      <c r="AR328" s="300"/>
      <c r="AS328" s="345"/>
      <c r="AT328" s="345"/>
      <c r="AU328" s="300"/>
      <c r="AV328" s="313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315"/>
      <c r="AO329" s="258"/>
      <c r="AP329" s="346"/>
      <c r="AQ329" s="300"/>
      <c r="AR329" s="300"/>
      <c r="AS329" s="345"/>
      <c r="AT329" s="345"/>
      <c r="AU329" s="300"/>
      <c r="AV329" s="313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315"/>
      <c r="AO330" s="258"/>
      <c r="AP330" s="346"/>
      <c r="AQ330" s="300"/>
      <c r="AR330" s="300"/>
      <c r="AS330" s="345"/>
      <c r="AT330" s="345"/>
      <c r="AU330" s="300"/>
      <c r="AV330" s="313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315"/>
      <c r="AO331" s="258"/>
      <c r="AP331" s="346"/>
      <c r="AQ331" s="300"/>
      <c r="AR331" s="300"/>
      <c r="AS331" s="345"/>
      <c r="AT331" s="345"/>
      <c r="AU331" s="300"/>
      <c r="AV331" s="313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315"/>
      <c r="AO332" s="258"/>
      <c r="AP332" s="346"/>
      <c r="AQ332" s="300"/>
      <c r="AR332" s="300"/>
      <c r="AS332" s="345"/>
      <c r="AT332" s="345"/>
      <c r="AU332" s="300"/>
      <c r="AV332" s="313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315"/>
      <c r="AO333" s="258"/>
      <c r="AP333" s="346"/>
      <c r="AQ333" s="300"/>
      <c r="AR333" s="300"/>
      <c r="AS333" s="345"/>
      <c r="AT333" s="345"/>
      <c r="AU333" s="300"/>
      <c r="AV333" s="313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315"/>
      <c r="AO334" s="258"/>
      <c r="AP334" s="346"/>
      <c r="AQ334" s="300"/>
      <c r="AR334" s="300"/>
      <c r="AS334" s="345"/>
      <c r="AT334" s="345"/>
      <c r="AU334" s="300"/>
      <c r="AV334" s="313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315"/>
      <c r="AO335" s="258"/>
      <c r="AP335" s="346"/>
      <c r="AQ335" s="300"/>
      <c r="AR335" s="300"/>
      <c r="AS335" s="345"/>
      <c r="AT335" s="345"/>
      <c r="AU335" s="300"/>
      <c r="AV335" s="313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315"/>
      <c r="AO336" s="258"/>
      <c r="AP336" s="346"/>
      <c r="AQ336" s="300"/>
      <c r="AR336" s="300"/>
      <c r="AS336" s="345"/>
      <c r="AT336" s="345"/>
      <c r="AU336" s="300"/>
      <c r="AV336" s="313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315"/>
      <c r="AO337" s="258"/>
      <c r="AP337" s="346"/>
      <c r="AQ337" s="300"/>
      <c r="AR337" s="300"/>
      <c r="AS337" s="345"/>
      <c r="AT337" s="345"/>
      <c r="AU337" s="300"/>
      <c r="AV337" s="313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315"/>
      <c r="AO338" s="258"/>
      <c r="AP338" s="346"/>
      <c r="AQ338" s="300"/>
      <c r="AR338" s="300"/>
      <c r="AS338" s="345"/>
      <c r="AT338" s="345"/>
      <c r="AU338" s="300"/>
      <c r="AV338" s="313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315"/>
      <c r="AO339" s="258"/>
      <c r="AP339" s="346"/>
      <c r="AQ339" s="300"/>
      <c r="AR339" s="300"/>
      <c r="AS339" s="345"/>
      <c r="AT339" s="345"/>
      <c r="AU339" s="300"/>
      <c r="AV339" s="313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315"/>
      <c r="AO340" s="258"/>
      <c r="AP340" s="346"/>
      <c r="AQ340" s="300"/>
      <c r="AR340" s="300"/>
      <c r="AS340" s="345"/>
      <c r="AT340" s="345"/>
      <c r="AU340" s="300"/>
      <c r="AV340" s="313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315"/>
      <c r="AO341" s="258"/>
      <c r="AP341" s="346"/>
      <c r="AQ341" s="300"/>
      <c r="AR341" s="300"/>
      <c r="AS341" s="345"/>
      <c r="AT341" s="345"/>
      <c r="AU341" s="300"/>
      <c r="AV341" s="313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315"/>
      <c r="AO342" s="258"/>
      <c r="AP342" s="346"/>
      <c r="AQ342" s="300"/>
      <c r="AR342" s="300"/>
      <c r="AS342" s="345"/>
      <c r="AT342" s="345"/>
      <c r="AU342" s="300"/>
      <c r="AV342" s="313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315"/>
      <c r="AO343" s="258"/>
      <c r="AP343" s="346"/>
      <c r="AQ343" s="300"/>
      <c r="AR343" s="300"/>
      <c r="AS343" s="345"/>
      <c r="AT343" s="345"/>
      <c r="AU343" s="300"/>
      <c r="AV343" s="313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315"/>
      <c r="AO344" s="258"/>
      <c r="AP344" s="346"/>
      <c r="AQ344" s="300"/>
      <c r="AR344" s="300"/>
      <c r="AS344" s="345"/>
      <c r="AT344" s="345"/>
      <c r="AU344" s="300"/>
      <c r="AV344" s="313"/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315"/>
      <c r="AO345" s="258"/>
      <c r="AP345" s="346"/>
      <c r="AQ345" s="300"/>
      <c r="AR345" s="300"/>
      <c r="AS345" s="345"/>
      <c r="AT345" s="345"/>
      <c r="AU345" s="300"/>
      <c r="AV345" s="313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315"/>
      <c r="AO346" s="258"/>
      <c r="AP346" s="346"/>
      <c r="AQ346" s="300"/>
      <c r="AR346" s="300"/>
      <c r="AS346" s="345"/>
      <c r="AT346" s="345"/>
      <c r="AU346" s="300"/>
      <c r="AV346" s="313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315"/>
      <c r="AO347" s="258"/>
      <c r="AP347" s="346"/>
      <c r="AQ347" s="300"/>
      <c r="AR347" s="300"/>
      <c r="AS347" s="345"/>
      <c r="AT347" s="345"/>
      <c r="AU347" s="300"/>
      <c r="AV347" s="313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315"/>
      <c r="AO348" s="258"/>
      <c r="AP348" s="346"/>
      <c r="AQ348" s="300"/>
      <c r="AR348" s="300"/>
      <c r="AS348" s="345"/>
      <c r="AT348" s="345"/>
      <c r="AU348" s="300"/>
      <c r="AV348" s="313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315"/>
      <c r="AO349" s="258"/>
      <c r="AP349" s="346"/>
      <c r="AQ349" s="300"/>
      <c r="AR349" s="300"/>
      <c r="AS349" s="345"/>
      <c r="AT349" s="345"/>
      <c r="AU349" s="300"/>
      <c r="AV349" s="313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315"/>
      <c r="AO350" s="258"/>
      <c r="AP350" s="346"/>
      <c r="AQ350" s="300"/>
      <c r="AR350" s="300"/>
      <c r="AS350" s="345"/>
      <c r="AT350" s="345"/>
      <c r="AU350" s="300"/>
      <c r="AV350" s="313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315"/>
      <c r="AO351" s="258"/>
      <c r="AP351" s="346"/>
      <c r="AQ351" s="300"/>
      <c r="AR351" s="300"/>
      <c r="AS351" s="345"/>
      <c r="AT351" s="345"/>
      <c r="AU351" s="300"/>
      <c r="AV351" s="313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315"/>
      <c r="AO352" s="258"/>
      <c r="AP352" s="346"/>
      <c r="AQ352" s="300"/>
      <c r="AR352" s="300"/>
      <c r="AS352" s="345"/>
      <c r="AT352" s="345"/>
      <c r="AU352" s="300"/>
      <c r="AV352" s="313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315"/>
      <c r="AO353" s="258"/>
      <c r="AP353" s="346"/>
      <c r="AQ353" s="300"/>
      <c r="AR353" s="300"/>
      <c r="AS353" s="345"/>
      <c r="AT353" s="345"/>
      <c r="AU353" s="300"/>
      <c r="AV353" s="313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315"/>
      <c r="AO354" s="258"/>
      <c r="AP354" s="346"/>
      <c r="AQ354" s="300"/>
      <c r="AR354" s="300"/>
      <c r="AS354" s="345"/>
      <c r="AT354" s="345"/>
      <c r="AU354" s="300"/>
      <c r="AV354" s="313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315"/>
      <c r="AO355" s="258"/>
      <c r="AP355" s="346"/>
      <c r="AQ355" s="300"/>
      <c r="AR355" s="300"/>
      <c r="AS355" s="345"/>
      <c r="AT355" s="345"/>
      <c r="AU355" s="300"/>
      <c r="AV355" s="313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315"/>
      <c r="AO356" s="258"/>
      <c r="AP356" s="346"/>
      <c r="AQ356" s="300"/>
      <c r="AR356" s="300"/>
      <c r="AS356" s="345"/>
      <c r="AT356" s="345"/>
      <c r="AU356" s="300"/>
      <c r="AV356" s="313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315"/>
      <c r="AO357" s="258"/>
      <c r="AP357" s="346"/>
      <c r="AQ357" s="300"/>
      <c r="AR357" s="300"/>
      <c r="AS357" s="345"/>
      <c r="AT357" s="345"/>
      <c r="AU357" s="300"/>
      <c r="AV357" s="313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315"/>
      <c r="AO358" s="258"/>
      <c r="AP358" s="346"/>
      <c r="AQ358" s="300"/>
      <c r="AR358" s="300"/>
      <c r="AS358" s="345"/>
      <c r="AT358" s="345"/>
      <c r="AU358" s="300"/>
      <c r="AV358" s="313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315"/>
      <c r="AO359" s="258"/>
      <c r="AP359" s="346"/>
      <c r="AQ359" s="300"/>
      <c r="AR359" s="300"/>
      <c r="AS359" s="345"/>
      <c r="AT359" s="345"/>
      <c r="AU359" s="300"/>
      <c r="AV359" s="313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315"/>
      <c r="AO360" s="258"/>
      <c r="AP360" s="346"/>
      <c r="AQ360" s="300"/>
      <c r="AR360" s="300"/>
      <c r="AS360" s="345"/>
      <c r="AT360" s="345"/>
      <c r="AU360" s="300"/>
      <c r="AV360" s="313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315"/>
      <c r="AO361" s="258"/>
      <c r="AP361" s="346"/>
      <c r="AQ361" s="300"/>
      <c r="AR361" s="300"/>
      <c r="AS361" s="345"/>
      <c r="AT361" s="345"/>
      <c r="AU361" s="300"/>
      <c r="AV361" s="313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315"/>
      <c r="AO362" s="258"/>
      <c r="AP362" s="346"/>
      <c r="AQ362" s="300"/>
      <c r="AR362" s="300"/>
      <c r="AS362" s="345"/>
      <c r="AT362" s="345"/>
      <c r="AU362" s="300"/>
      <c r="AV362" s="313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315"/>
      <c r="AO363" s="258"/>
      <c r="AP363" s="346"/>
      <c r="AQ363" s="300"/>
      <c r="AR363" s="300"/>
      <c r="AS363" s="345"/>
      <c r="AT363" s="345"/>
      <c r="AU363" s="300"/>
      <c r="AV363" s="313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315"/>
      <c r="AO364" s="258"/>
      <c r="AP364" s="346"/>
      <c r="AQ364" s="300"/>
      <c r="AR364" s="300"/>
      <c r="AS364" s="345"/>
      <c r="AT364" s="345"/>
      <c r="AU364" s="300"/>
      <c r="AV364" s="313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315"/>
      <c r="AO365" s="258"/>
      <c r="AP365" s="346"/>
      <c r="AQ365" s="300"/>
      <c r="AR365" s="300"/>
      <c r="AS365" s="345"/>
      <c r="AT365" s="345"/>
      <c r="AU365" s="300"/>
      <c r="AV365" s="313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315"/>
      <c r="AO366" s="258"/>
      <c r="AP366" s="346"/>
      <c r="AQ366" s="300"/>
      <c r="AR366" s="300"/>
      <c r="AS366" s="345"/>
      <c r="AT366" s="345"/>
      <c r="AU366" s="300"/>
      <c r="AV366" s="313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315"/>
      <c r="AO367" s="258"/>
      <c r="AP367" s="346"/>
      <c r="AQ367" s="300"/>
      <c r="AR367" s="300"/>
      <c r="AS367" s="345"/>
      <c r="AT367" s="345"/>
      <c r="AU367" s="300"/>
      <c r="AV367" s="313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315"/>
      <c r="AO368" s="258"/>
      <c r="AP368" s="346"/>
      <c r="AQ368" s="300"/>
      <c r="AR368" s="300"/>
      <c r="AS368" s="345"/>
      <c r="AT368" s="345"/>
      <c r="AU368" s="300"/>
      <c r="AV368" s="313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315"/>
      <c r="AO369" s="258"/>
      <c r="AP369" s="346"/>
      <c r="AQ369" s="300"/>
      <c r="AR369" s="300"/>
      <c r="AS369" s="345"/>
      <c r="AT369" s="345"/>
      <c r="AU369" s="300"/>
      <c r="AV369" s="313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315"/>
      <c r="AO370" s="258"/>
      <c r="AP370" s="346"/>
      <c r="AQ370" s="300"/>
      <c r="AR370" s="300"/>
      <c r="AS370" s="345"/>
      <c r="AT370" s="345"/>
      <c r="AU370" s="300"/>
      <c r="AV370" s="313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315"/>
      <c r="AO371" s="258"/>
      <c r="AP371" s="346"/>
      <c r="AQ371" s="300"/>
      <c r="AR371" s="300"/>
      <c r="AS371" s="345"/>
      <c r="AT371" s="345"/>
      <c r="AU371" s="300"/>
      <c r="AV371" s="313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315"/>
      <c r="AO372" s="258"/>
      <c r="AP372" s="346"/>
      <c r="AQ372" s="300"/>
      <c r="AR372" s="300"/>
      <c r="AS372" s="345"/>
      <c r="AT372" s="345"/>
      <c r="AU372" s="300"/>
      <c r="AV372" s="313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315"/>
      <c r="AO373" s="258"/>
      <c r="AP373" s="346"/>
      <c r="AQ373" s="300"/>
      <c r="AR373" s="300"/>
      <c r="AS373" s="345"/>
      <c r="AT373" s="345"/>
      <c r="AU373" s="300"/>
      <c r="AV373" s="313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315"/>
      <c r="AO374" s="258"/>
      <c r="AP374" s="346"/>
      <c r="AQ374" s="300"/>
      <c r="AR374" s="300"/>
      <c r="AS374" s="345"/>
      <c r="AT374" s="345"/>
      <c r="AU374" s="300"/>
      <c r="AV374" s="313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315"/>
      <c r="AO375" s="258"/>
      <c r="AP375" s="346"/>
      <c r="AQ375" s="300"/>
      <c r="AR375" s="300"/>
      <c r="AS375" s="345"/>
      <c r="AT375" s="345"/>
      <c r="AU375" s="300"/>
      <c r="AV375" s="313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315"/>
      <c r="AO376" s="258"/>
      <c r="AP376" s="346"/>
      <c r="AQ376" s="300"/>
      <c r="AR376" s="300"/>
      <c r="AS376" s="345"/>
      <c r="AT376" s="345"/>
      <c r="AU376" s="300"/>
      <c r="AV376" s="313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315"/>
      <c r="AO377" s="258"/>
      <c r="AP377" s="346"/>
      <c r="AQ377" s="300"/>
      <c r="AR377" s="300"/>
      <c r="AS377" s="345"/>
      <c r="AT377" s="345"/>
      <c r="AU377" s="300"/>
      <c r="AV377" s="313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315"/>
      <c r="AO378" s="258"/>
      <c r="AP378" s="346"/>
      <c r="AQ378" s="300"/>
      <c r="AR378" s="300"/>
      <c r="AS378" s="345"/>
      <c r="AT378" s="345"/>
      <c r="AU378" s="300"/>
      <c r="AV378" s="313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315"/>
      <c r="AO379" s="258"/>
      <c r="AP379" s="346"/>
      <c r="AQ379" s="300"/>
      <c r="AR379" s="300"/>
      <c r="AS379" s="345"/>
      <c r="AT379" s="345"/>
      <c r="AU379" s="300"/>
      <c r="AV379" s="313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315"/>
      <c r="AO380" s="258"/>
      <c r="AP380" s="346"/>
      <c r="AQ380" s="300"/>
      <c r="AR380" s="300"/>
      <c r="AS380" s="345"/>
      <c r="AT380" s="345"/>
      <c r="AU380" s="300"/>
      <c r="AV380" s="313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315"/>
      <c r="AO381" s="258"/>
      <c r="AP381" s="346"/>
      <c r="AQ381" s="300"/>
      <c r="AR381" s="300"/>
      <c r="AS381" s="345"/>
      <c r="AT381" s="345"/>
      <c r="AU381" s="300"/>
      <c r="AV381" s="313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315"/>
      <c r="AO382" s="258"/>
      <c r="AP382" s="346"/>
      <c r="AQ382" s="300"/>
      <c r="AR382" s="300"/>
      <c r="AS382" s="345"/>
      <c r="AT382" s="345"/>
      <c r="AU382" s="300"/>
      <c r="AV382" s="313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315"/>
      <c r="AO383" s="258"/>
      <c r="AP383" s="346"/>
      <c r="AQ383" s="300"/>
      <c r="AR383" s="300"/>
      <c r="AS383" s="345"/>
      <c r="AT383" s="345"/>
      <c r="AU383" s="300"/>
      <c r="AV383" s="313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315"/>
      <c r="AO384" s="258"/>
      <c r="AP384" s="346"/>
      <c r="AQ384" s="300"/>
      <c r="AR384" s="300"/>
      <c r="AS384" s="345"/>
      <c r="AT384" s="345"/>
      <c r="AU384" s="300"/>
      <c r="AV384" s="313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315"/>
      <c r="AO385" s="258"/>
      <c r="AP385" s="346"/>
      <c r="AQ385" s="300"/>
      <c r="AR385" s="300"/>
      <c r="AS385" s="345"/>
      <c r="AT385" s="345"/>
      <c r="AU385" s="300"/>
      <c r="AV385" s="313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315"/>
      <c r="AO386" s="258"/>
      <c r="AP386" s="346"/>
      <c r="AQ386" s="300"/>
      <c r="AR386" s="300"/>
      <c r="AS386" s="345"/>
      <c r="AT386" s="345"/>
      <c r="AU386" s="300"/>
      <c r="AV386" s="313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315"/>
      <c r="AO387" s="258"/>
      <c r="AP387" s="346"/>
      <c r="AQ387" s="300"/>
      <c r="AR387" s="300"/>
      <c r="AS387" s="345"/>
      <c r="AT387" s="345"/>
      <c r="AU387" s="300"/>
      <c r="AV387" s="313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315"/>
      <c r="AO388" s="258"/>
      <c r="AP388" s="346"/>
      <c r="AQ388" s="300"/>
      <c r="AR388" s="300"/>
      <c r="AS388" s="345"/>
      <c r="AT388" s="345"/>
      <c r="AU388" s="300"/>
      <c r="AV388" s="313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315"/>
      <c r="AO389" s="258"/>
      <c r="AP389" s="346"/>
      <c r="AQ389" s="300"/>
      <c r="AR389" s="300"/>
      <c r="AS389" s="345"/>
      <c r="AT389" s="345"/>
      <c r="AU389" s="300"/>
      <c r="AV389" s="313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315"/>
      <c r="AO390" s="258"/>
      <c r="AP390" s="346"/>
      <c r="AQ390" s="300"/>
      <c r="AR390" s="300"/>
      <c r="AS390" s="345"/>
      <c r="AT390" s="345"/>
      <c r="AU390" s="300"/>
      <c r="AV390" s="313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315"/>
      <c r="AO391" s="258"/>
      <c r="AP391" s="346"/>
      <c r="AQ391" s="300"/>
      <c r="AR391" s="300"/>
      <c r="AS391" s="345"/>
      <c r="AT391" s="345"/>
      <c r="AU391" s="300"/>
      <c r="AV391" s="313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315"/>
      <c r="AO392" s="258"/>
      <c r="AP392" s="346"/>
      <c r="AQ392" s="300"/>
      <c r="AR392" s="300"/>
      <c r="AS392" s="345"/>
      <c r="AT392" s="345"/>
      <c r="AU392" s="300"/>
      <c r="AV392" s="313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315"/>
      <c r="AO393" s="258"/>
      <c r="AP393" s="346"/>
      <c r="AQ393" s="300"/>
      <c r="AR393" s="300"/>
      <c r="AS393" s="345"/>
      <c r="AT393" s="345"/>
      <c r="AU393" s="300"/>
      <c r="AV393" s="313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315"/>
      <c r="AO394" s="258"/>
      <c r="AP394" s="346"/>
      <c r="AQ394" s="300"/>
      <c r="AR394" s="300"/>
      <c r="AS394" s="345"/>
      <c r="AT394" s="345"/>
      <c r="AU394" s="300"/>
      <c r="AV394" s="313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315"/>
      <c r="AO395" s="258"/>
      <c r="AP395" s="346"/>
      <c r="AQ395" s="300"/>
      <c r="AR395" s="300"/>
      <c r="AS395" s="345"/>
      <c r="AT395" s="345"/>
      <c r="AU395" s="300"/>
      <c r="AV395" s="313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315"/>
      <c r="AO396" s="258"/>
      <c r="AP396" s="346"/>
      <c r="AQ396" s="300"/>
      <c r="AR396" s="300"/>
      <c r="AS396" s="345"/>
      <c r="AT396" s="345"/>
      <c r="AU396" s="300"/>
      <c r="AV396" s="313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315"/>
      <c r="AO397" s="258"/>
      <c r="AP397" s="346"/>
      <c r="AQ397" s="300"/>
      <c r="AR397" s="300"/>
      <c r="AS397" s="345"/>
      <c r="AT397" s="345"/>
      <c r="AU397" s="300"/>
      <c r="AV397" s="313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315"/>
      <c r="AO398" s="258"/>
      <c r="AP398" s="346"/>
      <c r="AQ398" s="300"/>
      <c r="AR398" s="300"/>
      <c r="AS398" s="345"/>
      <c r="AT398" s="345"/>
      <c r="AU398" s="300"/>
      <c r="AV398" s="313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315"/>
      <c r="AO399" s="258"/>
      <c r="AP399" s="346"/>
      <c r="AQ399" s="300"/>
      <c r="AR399" s="300"/>
      <c r="AS399" s="345"/>
      <c r="AT399" s="345"/>
      <c r="AU399" s="300"/>
      <c r="AV399" s="313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315"/>
      <c r="AO400" s="258"/>
      <c r="AP400" s="346"/>
      <c r="AQ400" s="300"/>
      <c r="AR400" s="300"/>
      <c r="AS400" s="345"/>
      <c r="AT400" s="345"/>
      <c r="AU400" s="300"/>
      <c r="AV400" s="313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315"/>
      <c r="AO401" s="258"/>
      <c r="AP401" s="346"/>
      <c r="AQ401" s="300"/>
      <c r="AR401" s="300"/>
      <c r="AS401" s="345"/>
      <c r="AT401" s="345"/>
      <c r="AU401" s="300"/>
      <c r="AV401" s="313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315"/>
      <c r="AO402" s="258"/>
      <c r="AP402" s="346"/>
      <c r="AQ402" s="300"/>
      <c r="AR402" s="300"/>
      <c r="AS402" s="345"/>
      <c r="AT402" s="345"/>
      <c r="AU402" s="300"/>
      <c r="AV402" s="313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315"/>
      <c r="AO403" s="258"/>
      <c r="AP403" s="346"/>
      <c r="AQ403" s="300"/>
      <c r="AR403" s="300"/>
      <c r="AS403" s="345"/>
      <c r="AT403" s="345"/>
      <c r="AU403" s="300"/>
      <c r="AV403" s="313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315"/>
      <c r="AO404" s="258"/>
      <c r="AP404" s="346"/>
      <c r="AQ404" s="300"/>
      <c r="AR404" s="300"/>
      <c r="AS404" s="345"/>
      <c r="AT404" s="345"/>
      <c r="AU404" s="300"/>
      <c r="AV404" s="313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315"/>
      <c r="AO405" s="258"/>
      <c r="AP405" s="346"/>
      <c r="AQ405" s="300"/>
      <c r="AR405" s="300"/>
      <c r="AS405" s="345"/>
      <c r="AT405" s="345"/>
      <c r="AU405" s="300"/>
      <c r="AV405" s="313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315"/>
      <c r="AO406" s="258"/>
      <c r="AP406" s="346"/>
      <c r="AQ406" s="300"/>
      <c r="AR406" s="300"/>
      <c r="AS406" s="345"/>
      <c r="AT406" s="345"/>
      <c r="AU406" s="300"/>
      <c r="AV406" s="313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315"/>
      <c r="AO407" s="258"/>
      <c r="AP407" s="346"/>
      <c r="AQ407" s="300"/>
      <c r="AR407" s="300"/>
      <c r="AS407" s="345"/>
      <c r="AT407" s="345"/>
      <c r="AU407" s="300"/>
      <c r="AV407" s="313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315"/>
      <c r="AO408" s="258"/>
      <c r="AP408" s="346"/>
      <c r="AQ408" s="300"/>
      <c r="AR408" s="300"/>
      <c r="AS408" s="345"/>
      <c r="AT408" s="345"/>
      <c r="AU408" s="300"/>
      <c r="AV408" s="313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315"/>
      <c r="AO409" s="258"/>
      <c r="AP409" s="346"/>
      <c r="AQ409" s="300"/>
      <c r="AR409" s="300"/>
      <c r="AS409" s="345"/>
      <c r="AT409" s="345"/>
      <c r="AU409" s="300"/>
      <c r="AV409" s="313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315"/>
      <c r="AO410" s="258"/>
      <c r="AP410" s="346"/>
      <c r="AQ410" s="300"/>
      <c r="AR410" s="300"/>
      <c r="AS410" s="345"/>
      <c r="AT410" s="345"/>
      <c r="AU410" s="300"/>
      <c r="AV410" s="313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315"/>
      <c r="AO411" s="258"/>
      <c r="AP411" s="346"/>
      <c r="AQ411" s="300"/>
      <c r="AR411" s="300"/>
      <c r="AS411" s="345"/>
      <c r="AT411" s="345"/>
      <c r="AU411" s="300"/>
      <c r="AV411" s="313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315"/>
      <c r="AO412" s="258"/>
      <c r="AP412" s="346"/>
      <c r="AQ412" s="300"/>
      <c r="AR412" s="300"/>
      <c r="AS412" s="345"/>
      <c r="AT412" s="345"/>
      <c r="AU412" s="300"/>
      <c r="AV412" s="313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315"/>
      <c r="AO413" s="258"/>
      <c r="AP413" s="346"/>
      <c r="AQ413" s="300"/>
      <c r="AR413" s="300"/>
      <c r="AS413" s="345"/>
      <c r="AT413" s="345"/>
      <c r="AU413" s="300"/>
      <c r="AV413" s="313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315"/>
      <c r="AO414" s="258"/>
      <c r="AP414" s="346"/>
      <c r="AQ414" s="300"/>
      <c r="AR414" s="300"/>
      <c r="AS414" s="345"/>
      <c r="AT414" s="345"/>
      <c r="AU414" s="300"/>
      <c r="AV414" s="313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315"/>
      <c r="AO415" s="258"/>
      <c r="AP415" s="346"/>
      <c r="AQ415" s="300"/>
      <c r="AR415" s="300"/>
      <c r="AS415" s="345"/>
      <c r="AT415" s="345"/>
      <c r="AU415" s="300"/>
      <c r="AV415" s="313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315"/>
      <c r="AO416" s="258"/>
      <c r="AP416" s="346"/>
      <c r="AQ416" s="300"/>
      <c r="AR416" s="300"/>
      <c r="AS416" s="345"/>
      <c r="AT416" s="345"/>
      <c r="AU416" s="300"/>
      <c r="AV416" s="313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315"/>
      <c r="AO417" s="258"/>
      <c r="AP417" s="346"/>
      <c r="AQ417" s="300"/>
      <c r="AR417" s="300"/>
      <c r="AS417" s="345"/>
      <c r="AT417" s="345"/>
      <c r="AU417" s="300"/>
      <c r="AV417" s="313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315"/>
      <c r="AO418" s="258"/>
      <c r="AP418" s="346"/>
      <c r="AQ418" s="300"/>
      <c r="AR418" s="300"/>
      <c r="AS418" s="345"/>
      <c r="AT418" s="345"/>
      <c r="AU418" s="300"/>
      <c r="AV418" s="313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315"/>
      <c r="AO419" s="258"/>
      <c r="AP419" s="346"/>
      <c r="AQ419" s="300"/>
      <c r="AR419" s="300"/>
      <c r="AS419" s="345"/>
      <c r="AT419" s="345"/>
      <c r="AU419" s="300"/>
      <c r="AV419" s="313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315"/>
      <c r="AO420" s="258"/>
      <c r="AP420" s="346"/>
      <c r="AQ420" s="300"/>
      <c r="AR420" s="300"/>
      <c r="AS420" s="345"/>
      <c r="AT420" s="345"/>
      <c r="AU420" s="300"/>
      <c r="AV420" s="313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315"/>
      <c r="AO421" s="258"/>
      <c r="AP421" s="346"/>
      <c r="AQ421" s="300"/>
      <c r="AR421" s="300"/>
      <c r="AS421" s="345"/>
      <c r="AT421" s="345"/>
      <c r="AU421" s="300"/>
      <c r="AV421" s="313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315"/>
      <c r="AO422" s="258"/>
      <c r="AP422" s="346"/>
      <c r="AQ422" s="300"/>
      <c r="AR422" s="300"/>
      <c r="AS422" s="345"/>
      <c r="AT422" s="345"/>
      <c r="AU422" s="300"/>
      <c r="AV422" s="313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315"/>
      <c r="AO423" s="258"/>
      <c r="AP423" s="346"/>
      <c r="AQ423" s="300"/>
      <c r="AR423" s="300"/>
      <c r="AS423" s="345"/>
      <c r="AT423" s="345"/>
      <c r="AU423" s="300"/>
      <c r="AV423" s="313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315"/>
      <c r="AO424" s="258"/>
      <c r="AP424" s="346"/>
      <c r="AQ424" s="300"/>
      <c r="AR424" s="300"/>
      <c r="AS424" s="345"/>
      <c r="AT424" s="345"/>
      <c r="AU424" s="300"/>
      <c r="AV424" s="313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315"/>
      <c r="AO425" s="258"/>
      <c r="AP425" s="346"/>
      <c r="AQ425" s="300"/>
      <c r="AR425" s="300"/>
      <c r="AS425" s="345"/>
      <c r="AT425" s="345"/>
      <c r="AU425" s="300"/>
      <c r="AV425" s="313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315"/>
      <c r="AO426" s="258"/>
      <c r="AP426" s="346"/>
      <c r="AQ426" s="300"/>
      <c r="AR426" s="300"/>
      <c r="AS426" s="345"/>
      <c r="AT426" s="345"/>
      <c r="AU426" s="300"/>
      <c r="AV426" s="313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315"/>
      <c r="AO427" s="258"/>
      <c r="AP427" s="346"/>
      <c r="AQ427" s="300"/>
      <c r="AR427" s="300"/>
      <c r="AS427" s="345"/>
      <c r="AT427" s="345"/>
      <c r="AU427" s="300"/>
      <c r="AV427" s="313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315"/>
      <c r="AO428" s="258"/>
      <c r="AP428" s="346"/>
      <c r="AQ428" s="300"/>
      <c r="AR428" s="300"/>
      <c r="AS428" s="345"/>
      <c r="AT428" s="345"/>
      <c r="AU428" s="300"/>
      <c r="AV428" s="313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315"/>
      <c r="AO429" s="258"/>
      <c r="AP429" s="346"/>
      <c r="AQ429" s="300"/>
      <c r="AR429" s="300"/>
      <c r="AS429" s="345"/>
      <c r="AT429" s="345"/>
      <c r="AU429" s="300"/>
      <c r="AV429" s="313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315"/>
      <c r="AO430" s="258"/>
      <c r="AP430" s="346"/>
      <c r="AQ430" s="300"/>
      <c r="AR430" s="300"/>
      <c r="AS430" s="345"/>
      <c r="AT430" s="345"/>
      <c r="AU430" s="300"/>
      <c r="AV430" s="313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315"/>
      <c r="AO431" s="258"/>
      <c r="AP431" s="346"/>
      <c r="AQ431" s="300"/>
      <c r="AR431" s="300"/>
      <c r="AS431" s="345"/>
      <c r="AT431" s="345"/>
      <c r="AU431" s="300"/>
      <c r="AV431" s="313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315"/>
      <c r="AO432" s="258"/>
      <c r="AP432" s="346"/>
      <c r="AQ432" s="300"/>
      <c r="AR432" s="300"/>
      <c r="AS432" s="345"/>
      <c r="AT432" s="345"/>
      <c r="AU432" s="300"/>
      <c r="AV432" s="313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315"/>
      <c r="AO433" s="258"/>
      <c r="AP433" s="346"/>
      <c r="AQ433" s="300"/>
      <c r="AR433" s="300"/>
      <c r="AS433" s="345"/>
      <c r="AT433" s="345"/>
      <c r="AU433" s="300"/>
      <c r="AV433" s="313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315"/>
      <c r="AO434" s="258"/>
      <c r="AP434" s="346"/>
      <c r="AQ434" s="300"/>
      <c r="AR434" s="300"/>
      <c r="AS434" s="345"/>
      <c r="AT434" s="345"/>
      <c r="AU434" s="300"/>
      <c r="AV434" s="313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315"/>
      <c r="AO435" s="258"/>
      <c r="AP435" s="346"/>
      <c r="AQ435" s="300"/>
      <c r="AR435" s="300"/>
      <c r="AS435" s="345"/>
      <c r="AT435" s="345"/>
      <c r="AU435" s="300"/>
      <c r="AV435" s="313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315"/>
      <c r="AO436" s="258"/>
      <c r="AP436" s="346"/>
      <c r="AQ436" s="300"/>
      <c r="AR436" s="300"/>
      <c r="AS436" s="345"/>
      <c r="AT436" s="345"/>
      <c r="AU436" s="300"/>
      <c r="AV436" s="313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315"/>
      <c r="AO437" s="258"/>
      <c r="AP437" s="346"/>
      <c r="AQ437" s="300"/>
      <c r="AR437" s="300"/>
      <c r="AS437" s="345"/>
      <c r="AT437" s="345"/>
      <c r="AU437" s="300"/>
      <c r="AV437" s="313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315"/>
      <c r="AO438" s="258"/>
      <c r="AP438" s="346"/>
      <c r="AQ438" s="300"/>
      <c r="AR438" s="300"/>
      <c r="AS438" s="345"/>
      <c r="AT438" s="345"/>
      <c r="AU438" s="300"/>
      <c r="AV438" s="313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315"/>
      <c r="AO439" s="258"/>
      <c r="AP439" s="346"/>
      <c r="AQ439" s="300"/>
      <c r="AR439" s="300"/>
      <c r="AS439" s="345"/>
      <c r="AT439" s="345"/>
      <c r="AU439" s="300"/>
      <c r="AV439" s="313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315"/>
      <c r="AO440" s="258"/>
      <c r="AP440" s="346"/>
      <c r="AQ440" s="300"/>
      <c r="AR440" s="300"/>
      <c r="AS440" s="345"/>
      <c r="AT440" s="345"/>
      <c r="AU440" s="300"/>
      <c r="AV440" s="313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315"/>
      <c r="AO441" s="258"/>
      <c r="AP441" s="346"/>
      <c r="AQ441" s="300"/>
      <c r="AR441" s="300"/>
      <c r="AS441" s="345"/>
      <c r="AT441" s="345"/>
      <c r="AU441" s="300"/>
      <c r="AV441" s="313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315"/>
      <c r="AO442" s="258"/>
      <c r="AP442" s="346"/>
      <c r="AQ442" s="300"/>
      <c r="AR442" s="300"/>
      <c r="AS442" s="345"/>
      <c r="AT442" s="345"/>
      <c r="AU442" s="300"/>
      <c r="AV442" s="313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315"/>
      <c r="AO443" s="258"/>
      <c r="AP443" s="346"/>
      <c r="AQ443" s="300"/>
      <c r="AR443" s="300"/>
      <c r="AS443" s="345"/>
      <c r="AT443" s="345"/>
      <c r="AU443" s="300"/>
      <c r="AV443" s="313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315"/>
      <c r="AO444" s="258"/>
      <c r="AP444" s="346"/>
      <c r="AQ444" s="300"/>
      <c r="AR444" s="300"/>
      <c r="AS444" s="345"/>
      <c r="AT444" s="345"/>
      <c r="AU444" s="300"/>
      <c r="AV444" s="313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315"/>
      <c r="AO445" s="258"/>
      <c r="AP445" s="346"/>
      <c r="AQ445" s="300"/>
      <c r="AR445" s="300"/>
      <c r="AS445" s="345"/>
      <c r="AT445" s="345"/>
      <c r="AU445" s="300"/>
      <c r="AV445" s="313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315"/>
      <c r="AO446" s="258"/>
      <c r="AP446" s="346"/>
      <c r="AQ446" s="300"/>
      <c r="AR446" s="300"/>
      <c r="AS446" s="345"/>
      <c r="AT446" s="345"/>
      <c r="AU446" s="300"/>
      <c r="AV446" s="313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315"/>
      <c r="AO447" s="258"/>
      <c r="AP447" s="346"/>
      <c r="AQ447" s="300"/>
      <c r="AR447" s="300"/>
      <c r="AS447" s="345"/>
      <c r="AT447" s="345"/>
      <c r="AU447" s="300"/>
      <c r="AV447" s="313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315"/>
      <c r="AO448" s="258"/>
      <c r="AP448" s="346"/>
      <c r="AQ448" s="300"/>
      <c r="AR448" s="300"/>
      <c r="AS448" s="345"/>
      <c r="AT448" s="345"/>
      <c r="AU448" s="300"/>
      <c r="AV448" s="313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315"/>
      <c r="AO449" s="258"/>
      <c r="AP449" s="346"/>
      <c r="AQ449" s="300"/>
      <c r="AR449" s="300"/>
      <c r="AS449" s="345"/>
      <c r="AT449" s="345"/>
      <c r="AU449" s="300"/>
      <c r="AV449" s="313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315"/>
      <c r="AO450" s="258"/>
      <c r="AP450" s="346"/>
      <c r="AQ450" s="300"/>
      <c r="AR450" s="300"/>
      <c r="AS450" s="345"/>
      <c r="AT450" s="345"/>
      <c r="AU450" s="300"/>
      <c r="AV450" s="313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315"/>
      <c r="AO451" s="258"/>
      <c r="AP451" s="346"/>
      <c r="AQ451" s="300"/>
      <c r="AR451" s="300"/>
      <c r="AS451" s="345"/>
      <c r="AT451" s="345"/>
      <c r="AU451" s="300"/>
      <c r="AV451" s="313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315"/>
      <c r="AO452" s="258"/>
      <c r="AP452" s="346"/>
      <c r="AQ452" s="300"/>
      <c r="AR452" s="300"/>
      <c r="AS452" s="345"/>
      <c r="AT452" s="345"/>
      <c r="AU452" s="300"/>
      <c r="AV452" s="313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315"/>
      <c r="AO453" s="258"/>
      <c r="AP453" s="346"/>
      <c r="AQ453" s="300"/>
      <c r="AR453" s="300"/>
      <c r="AS453" s="345"/>
      <c r="AT453" s="345"/>
      <c r="AU453" s="300"/>
      <c r="AV453" s="313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315"/>
      <c r="AO454" s="258"/>
      <c r="AP454" s="346"/>
      <c r="AQ454" s="300"/>
      <c r="AR454" s="300"/>
      <c r="AS454" s="345"/>
      <c r="AT454" s="345"/>
      <c r="AU454" s="300"/>
      <c r="AV454" s="313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315"/>
      <c r="AO455" s="258"/>
      <c r="AP455" s="346"/>
      <c r="AQ455" s="300"/>
      <c r="AR455" s="300"/>
      <c r="AS455" s="345"/>
      <c r="AT455" s="345"/>
      <c r="AU455" s="300"/>
      <c r="AV455" s="313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315"/>
      <c r="AO456" s="258"/>
      <c r="AP456" s="346"/>
      <c r="AQ456" s="300"/>
      <c r="AR456" s="300"/>
      <c r="AS456" s="345"/>
      <c r="AT456" s="345"/>
      <c r="AU456" s="300"/>
      <c r="AV456" s="313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315"/>
      <c r="AO457" s="258"/>
      <c r="AP457" s="346"/>
      <c r="AQ457" s="300"/>
      <c r="AR457" s="300"/>
      <c r="AS457" s="345"/>
      <c r="AT457" s="345"/>
      <c r="AU457" s="300"/>
      <c r="AV457" s="313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315"/>
      <c r="AO458" s="258"/>
      <c r="AP458" s="346"/>
      <c r="AQ458" s="300"/>
      <c r="AR458" s="300"/>
      <c r="AS458" s="345"/>
      <c r="AT458" s="345"/>
      <c r="AU458" s="300"/>
      <c r="AV458" s="313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315"/>
      <c r="AO459" s="258"/>
      <c r="AP459" s="346"/>
      <c r="AQ459" s="300"/>
      <c r="AR459" s="300"/>
      <c r="AS459" s="345"/>
      <c r="AT459" s="345"/>
      <c r="AU459" s="300"/>
      <c r="AV459" s="313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315"/>
      <c r="AO460" s="258"/>
      <c r="AP460" s="346"/>
      <c r="AQ460" s="300"/>
      <c r="AR460" s="300"/>
      <c r="AS460" s="345"/>
      <c r="AT460" s="345"/>
      <c r="AU460" s="300"/>
      <c r="AV460" s="313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315"/>
      <c r="AO461" s="258"/>
      <c r="AP461" s="346"/>
      <c r="AQ461" s="300"/>
      <c r="AR461" s="300"/>
      <c r="AS461" s="345"/>
      <c r="AT461" s="345"/>
      <c r="AU461" s="300"/>
      <c r="AV461" s="313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315"/>
      <c r="AO462" s="258"/>
      <c r="AP462" s="346"/>
      <c r="AQ462" s="300"/>
      <c r="AR462" s="300"/>
      <c r="AS462" s="345"/>
      <c r="AT462" s="345"/>
      <c r="AU462" s="300"/>
      <c r="AV462" s="313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315"/>
      <c r="AO463" s="258"/>
      <c r="AP463" s="346"/>
      <c r="AQ463" s="300"/>
      <c r="AR463" s="300"/>
      <c r="AS463" s="345"/>
      <c r="AT463" s="345"/>
      <c r="AU463" s="300"/>
      <c r="AV463" s="313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315"/>
      <c r="AO464" s="258"/>
      <c r="AP464" s="346"/>
      <c r="AQ464" s="300"/>
      <c r="AR464" s="300"/>
      <c r="AS464" s="345"/>
      <c r="AT464" s="345"/>
      <c r="AU464" s="300"/>
      <c r="AV464" s="313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315"/>
      <c r="AO465" s="258"/>
      <c r="AP465" s="346"/>
      <c r="AQ465" s="300"/>
      <c r="AR465" s="300"/>
      <c r="AS465" s="345"/>
      <c r="AT465" s="345"/>
      <c r="AU465" s="300"/>
      <c r="AV465" s="313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315"/>
      <c r="AO466" s="258"/>
      <c r="AP466" s="346"/>
      <c r="AQ466" s="300"/>
      <c r="AR466" s="300"/>
      <c r="AS466" s="345"/>
      <c r="AT466" s="345"/>
      <c r="AU466" s="300"/>
      <c r="AV466" s="313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315"/>
      <c r="AO467" s="258"/>
      <c r="AP467" s="346"/>
      <c r="AQ467" s="300"/>
      <c r="AR467" s="300"/>
      <c r="AS467" s="345"/>
      <c r="AT467" s="345"/>
      <c r="AU467" s="300"/>
      <c r="AV467" s="313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315"/>
      <c r="AO468" s="258"/>
      <c r="AP468" s="346"/>
      <c r="AQ468" s="300"/>
      <c r="AR468" s="300"/>
      <c r="AS468" s="345"/>
      <c r="AT468" s="345"/>
      <c r="AU468" s="300"/>
      <c r="AV468" s="313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315"/>
      <c r="AO469" s="258"/>
      <c r="AP469" s="346"/>
      <c r="AQ469" s="300"/>
      <c r="AR469" s="300"/>
      <c r="AS469" s="345"/>
      <c r="AT469" s="345"/>
      <c r="AU469" s="300"/>
      <c r="AV469" s="313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315"/>
      <c r="AO470" s="258"/>
      <c r="AP470" s="346"/>
      <c r="AQ470" s="300"/>
      <c r="AR470" s="300"/>
      <c r="AS470" s="345"/>
      <c r="AT470" s="345"/>
      <c r="AU470" s="300"/>
      <c r="AV470" s="313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315"/>
      <c r="AO471" s="258"/>
      <c r="AP471" s="346"/>
      <c r="AQ471" s="300"/>
      <c r="AR471" s="300"/>
      <c r="AS471" s="345"/>
      <c r="AT471" s="345"/>
      <c r="AU471" s="300"/>
      <c r="AV471" s="313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315"/>
      <c r="AO472" s="258"/>
      <c r="AP472" s="346"/>
      <c r="AQ472" s="300"/>
      <c r="AR472" s="300"/>
      <c r="AS472" s="345"/>
      <c r="AT472" s="345"/>
      <c r="AU472" s="300"/>
      <c r="AV472" s="313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315"/>
      <c r="AO473" s="258"/>
      <c r="AP473" s="346"/>
      <c r="AQ473" s="300"/>
      <c r="AR473" s="300"/>
      <c r="AS473" s="345"/>
      <c r="AT473" s="345"/>
      <c r="AU473" s="300"/>
      <c r="AV473" s="313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315"/>
      <c r="AO474" s="258"/>
      <c r="AP474" s="346"/>
      <c r="AQ474" s="300"/>
      <c r="AR474" s="300"/>
      <c r="AS474" s="345"/>
      <c r="AT474" s="345"/>
      <c r="AU474" s="300"/>
      <c r="AV474" s="313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315"/>
      <c r="AO475" s="258"/>
      <c r="AP475" s="346"/>
      <c r="AQ475" s="300"/>
      <c r="AR475" s="300"/>
      <c r="AS475" s="345"/>
      <c r="AT475" s="345"/>
      <c r="AU475" s="300"/>
      <c r="AV475" s="313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315"/>
      <c r="AO476" s="258"/>
      <c r="AP476" s="346"/>
      <c r="AQ476" s="300"/>
      <c r="AR476" s="300"/>
      <c r="AS476" s="345"/>
      <c r="AT476" s="345"/>
      <c r="AU476" s="300"/>
      <c r="AV476" s="313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315"/>
      <c r="AO477" s="258"/>
      <c r="AP477" s="346"/>
      <c r="AQ477" s="300"/>
      <c r="AR477" s="300"/>
      <c r="AS477" s="345"/>
      <c r="AT477" s="345"/>
      <c r="AU477" s="300"/>
      <c r="AV477" s="313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315"/>
      <c r="AO478" s="258"/>
      <c r="AP478" s="346"/>
      <c r="AQ478" s="300"/>
      <c r="AR478" s="300"/>
      <c r="AS478" s="345"/>
      <c r="AT478" s="345"/>
      <c r="AU478" s="300"/>
      <c r="AV478" s="313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315"/>
      <c r="AO479" s="258"/>
      <c r="AP479" s="346"/>
      <c r="AQ479" s="300"/>
      <c r="AR479" s="300"/>
      <c r="AS479" s="345"/>
      <c r="AT479" s="345"/>
      <c r="AU479" s="300"/>
      <c r="AV479" s="313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315"/>
      <c r="AO480" s="258"/>
      <c r="AP480" s="346"/>
      <c r="AQ480" s="300"/>
      <c r="AR480" s="300"/>
      <c r="AS480" s="345"/>
      <c r="AT480" s="345"/>
      <c r="AU480" s="300"/>
      <c r="AV480" s="313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315"/>
      <c r="AO481" s="258"/>
      <c r="AP481" s="346"/>
      <c r="AQ481" s="300"/>
      <c r="AR481" s="300"/>
      <c r="AS481" s="345"/>
      <c r="AT481" s="345"/>
      <c r="AU481" s="300"/>
      <c r="AV481" s="313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315"/>
      <c r="AO482" s="258"/>
      <c r="AP482" s="346"/>
      <c r="AQ482" s="300"/>
      <c r="AR482" s="300"/>
      <c r="AS482" s="345"/>
      <c r="AT482" s="345"/>
      <c r="AU482" s="300"/>
      <c r="AV482" s="313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315"/>
      <c r="AO483" s="258"/>
      <c r="AP483" s="346"/>
      <c r="AQ483" s="300"/>
      <c r="AR483" s="300"/>
      <c r="AS483" s="345"/>
      <c r="AT483" s="345"/>
      <c r="AU483" s="300"/>
      <c r="AV483" s="313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315"/>
      <c r="AO484" s="258"/>
      <c r="AP484" s="346"/>
      <c r="AQ484" s="300"/>
      <c r="AR484" s="300"/>
      <c r="AS484" s="345"/>
      <c r="AT484" s="345"/>
      <c r="AU484" s="300"/>
      <c r="AV484" s="313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315"/>
      <c r="AO485" s="258"/>
      <c r="AP485" s="346"/>
      <c r="AQ485" s="300"/>
      <c r="AR485" s="300"/>
      <c r="AS485" s="345"/>
      <c r="AT485" s="345"/>
      <c r="AU485" s="300"/>
      <c r="AV485" s="313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315"/>
      <c r="AO486" s="258"/>
      <c r="AP486" s="346"/>
      <c r="AQ486" s="300"/>
      <c r="AR486" s="300"/>
      <c r="AS486" s="345"/>
      <c r="AT486" s="345"/>
      <c r="AU486" s="300"/>
      <c r="AV486" s="313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315"/>
      <c r="AO487" s="258"/>
      <c r="AP487" s="346"/>
      <c r="AQ487" s="300"/>
      <c r="AR487" s="300"/>
      <c r="AS487" s="345"/>
      <c r="AT487" s="345"/>
      <c r="AU487" s="300"/>
      <c r="AV487" s="313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315"/>
      <c r="AO488" s="258"/>
      <c r="AP488" s="346"/>
      <c r="AQ488" s="300"/>
      <c r="AR488" s="300"/>
      <c r="AS488" s="345"/>
      <c r="AT488" s="345"/>
      <c r="AU488" s="300"/>
      <c r="AV488" s="313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315"/>
      <c r="AO489" s="258"/>
      <c r="AP489" s="346"/>
      <c r="AQ489" s="300"/>
      <c r="AR489" s="300"/>
      <c r="AS489" s="345"/>
      <c r="AT489" s="345"/>
      <c r="AU489" s="300"/>
      <c r="AV489" s="313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315"/>
      <c r="AO490" s="258"/>
      <c r="AP490" s="346"/>
      <c r="AQ490" s="300"/>
      <c r="AR490" s="300"/>
      <c r="AS490" s="345"/>
      <c r="AT490" s="345"/>
      <c r="AU490" s="300"/>
      <c r="AV490" s="313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315"/>
      <c r="AO491" s="258"/>
      <c r="AP491" s="346"/>
      <c r="AQ491" s="300"/>
      <c r="AR491" s="300"/>
      <c r="AS491" s="345"/>
      <c r="AT491" s="345"/>
      <c r="AU491" s="300"/>
      <c r="AV491" s="313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315"/>
      <c r="AO492" s="258"/>
      <c r="AP492" s="346"/>
      <c r="AQ492" s="300"/>
      <c r="AR492" s="300"/>
      <c r="AS492" s="345"/>
      <c r="AT492" s="345"/>
      <c r="AU492" s="300"/>
      <c r="AV492" s="313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315"/>
      <c r="AO493" s="258"/>
      <c r="AP493" s="346"/>
      <c r="AQ493" s="300"/>
      <c r="AR493" s="300"/>
      <c r="AS493" s="345"/>
      <c r="AT493" s="345"/>
      <c r="AU493" s="300"/>
      <c r="AV493" s="313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315"/>
      <c r="AO494" s="258"/>
      <c r="AP494" s="346"/>
      <c r="AQ494" s="300"/>
      <c r="AR494" s="300"/>
      <c r="AS494" s="345"/>
      <c r="AT494" s="345"/>
      <c r="AU494" s="300"/>
      <c r="AV494" s="313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315"/>
      <c r="AO495" s="258"/>
      <c r="AP495" s="346"/>
      <c r="AQ495" s="300"/>
      <c r="AR495" s="300"/>
      <c r="AS495" s="345"/>
      <c r="AT495" s="345"/>
      <c r="AU495" s="300"/>
      <c r="AV495" s="313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315"/>
      <c r="AO496" s="258"/>
      <c r="AP496" s="346"/>
      <c r="AQ496" s="300"/>
      <c r="AR496" s="300"/>
      <c r="AS496" s="345"/>
      <c r="AT496" s="345"/>
      <c r="AU496" s="300"/>
      <c r="AV496" s="313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315"/>
      <c r="AO497" s="258"/>
      <c r="AP497" s="346"/>
      <c r="AQ497" s="300"/>
      <c r="AR497" s="300"/>
      <c r="AS497" s="345"/>
      <c r="AT497" s="345"/>
      <c r="AU497" s="300"/>
      <c r="AV497" s="313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315"/>
      <c r="AO498" s="258"/>
      <c r="AP498" s="346"/>
      <c r="AQ498" s="300"/>
      <c r="AR498" s="300"/>
      <c r="AS498" s="345"/>
      <c r="AT498" s="345"/>
      <c r="AU498" s="300"/>
      <c r="AV498" s="313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315"/>
      <c r="AO499" s="258"/>
      <c r="AP499" s="346"/>
      <c r="AQ499" s="300"/>
      <c r="AR499" s="300"/>
      <c r="AS499" s="345"/>
      <c r="AT499" s="345"/>
      <c r="AU499" s="300"/>
      <c r="AV499" s="313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315"/>
      <c r="AO500" s="258"/>
      <c r="AP500" s="346"/>
      <c r="AQ500" s="300"/>
      <c r="AR500" s="300"/>
      <c r="AS500" s="345"/>
      <c r="AT500" s="345"/>
      <c r="AU500" s="300"/>
      <c r="AV500" s="313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315"/>
      <c r="AO501" s="258"/>
      <c r="AP501" s="346"/>
      <c r="AQ501" s="300"/>
      <c r="AR501" s="300"/>
      <c r="AS501" s="345"/>
      <c r="AT501" s="345"/>
      <c r="AU501" s="300"/>
      <c r="AV501" s="313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315"/>
      <c r="AO502" s="258"/>
      <c r="AP502" s="346"/>
      <c r="AQ502" s="300"/>
      <c r="AR502" s="300"/>
      <c r="AS502" s="345"/>
      <c r="AT502" s="345"/>
      <c r="AU502" s="300"/>
      <c r="AV502" s="313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315"/>
      <c r="AO503" s="258"/>
      <c r="AP503" s="346"/>
      <c r="AQ503" s="300"/>
      <c r="AR503" s="300"/>
      <c r="AS503" s="345"/>
      <c r="AT503" s="345"/>
      <c r="AU503" s="300"/>
      <c r="AV503" s="313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315"/>
      <c r="AO504" s="258"/>
      <c r="AP504" s="346"/>
      <c r="AQ504" s="300"/>
      <c r="AR504" s="300"/>
      <c r="AS504" s="345"/>
      <c r="AT504" s="345"/>
      <c r="AU504" s="300"/>
      <c r="AV504" s="313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315"/>
      <c r="AO505" s="258"/>
      <c r="AP505" s="346"/>
      <c r="AQ505" s="300"/>
      <c r="AR505" s="300"/>
      <c r="AS505" s="345"/>
      <c r="AT505" s="345"/>
      <c r="AU505" s="300"/>
      <c r="AV505" s="313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315"/>
      <c r="AO506" s="258"/>
      <c r="AP506" s="346"/>
      <c r="AQ506" s="300"/>
      <c r="AR506" s="300"/>
      <c r="AS506" s="345"/>
      <c r="AT506" s="345"/>
      <c r="AU506" s="300"/>
      <c r="AV506" s="313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315"/>
      <c r="AO507" s="258"/>
      <c r="AP507" s="346"/>
      <c r="AQ507" s="300"/>
      <c r="AR507" s="300"/>
      <c r="AS507" s="345"/>
      <c r="AT507" s="345"/>
      <c r="AU507" s="300"/>
      <c r="AV507" s="313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315"/>
      <c r="AO508" s="258"/>
      <c r="AP508" s="346"/>
      <c r="AQ508" s="300"/>
      <c r="AR508" s="300"/>
      <c r="AS508" s="345"/>
      <c r="AT508" s="345"/>
      <c r="AU508" s="300"/>
      <c r="AV508" s="313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315"/>
      <c r="AO509" s="258"/>
      <c r="AP509" s="346"/>
      <c r="AQ509" s="300"/>
      <c r="AR509" s="300"/>
      <c r="AS509" s="345"/>
      <c r="AT509" s="345"/>
      <c r="AU509" s="300"/>
      <c r="AV509" s="313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315"/>
      <c r="AO510" s="258"/>
      <c r="AP510" s="346"/>
      <c r="AQ510" s="300"/>
      <c r="AR510" s="300"/>
      <c r="AS510" s="345"/>
      <c r="AT510" s="345"/>
      <c r="AU510" s="300"/>
      <c r="AV510" s="313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315"/>
      <c r="AO511" s="258"/>
      <c r="AP511" s="346"/>
      <c r="AQ511" s="300"/>
      <c r="AR511" s="300"/>
      <c r="AS511" s="345"/>
      <c r="AT511" s="345"/>
      <c r="AU511" s="300"/>
      <c r="AV511" s="313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315"/>
      <c r="AO512" s="258"/>
      <c r="AP512" s="346"/>
      <c r="AQ512" s="300"/>
      <c r="AR512" s="300"/>
      <c r="AS512" s="345"/>
      <c r="AT512" s="345"/>
      <c r="AU512" s="300"/>
      <c r="AV512" s="313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315"/>
      <c r="AO513" s="258"/>
      <c r="AP513" s="346"/>
      <c r="AQ513" s="300"/>
      <c r="AR513" s="300"/>
      <c r="AS513" s="345"/>
      <c r="AT513" s="345"/>
      <c r="AU513" s="300"/>
      <c r="AV513" s="313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315"/>
      <c r="AO514" s="258"/>
      <c r="AP514" s="346"/>
      <c r="AQ514" s="300"/>
      <c r="AR514" s="300"/>
      <c r="AS514" s="345"/>
      <c r="AT514" s="345"/>
      <c r="AU514" s="300"/>
      <c r="AV514" s="313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315"/>
      <c r="AO515" s="258"/>
      <c r="AP515" s="346"/>
      <c r="AQ515" s="300"/>
      <c r="AR515" s="300"/>
      <c r="AS515" s="345"/>
      <c r="AT515" s="345"/>
      <c r="AU515" s="300"/>
      <c r="AV515" s="313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315"/>
      <c r="AO516" s="258"/>
      <c r="AP516" s="346"/>
      <c r="AQ516" s="300"/>
      <c r="AR516" s="300"/>
      <c r="AS516" s="345"/>
      <c r="AT516" s="345"/>
      <c r="AU516" s="300"/>
      <c r="AV516" s="313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315"/>
      <c r="AO517" s="258"/>
      <c r="AP517" s="346"/>
      <c r="AQ517" s="300"/>
      <c r="AR517" s="300"/>
      <c r="AS517" s="345"/>
      <c r="AT517" s="345"/>
      <c r="AU517" s="300"/>
      <c r="AV517" s="313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315"/>
      <c r="AO518" s="258"/>
      <c r="AP518" s="346"/>
      <c r="AQ518" s="300"/>
      <c r="AR518" s="300"/>
      <c r="AS518" s="345"/>
      <c r="AT518" s="345"/>
      <c r="AU518" s="300"/>
      <c r="AV518" s="313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315"/>
      <c r="AO519" s="258"/>
      <c r="AP519" s="346"/>
      <c r="AQ519" s="300"/>
      <c r="AR519" s="300"/>
      <c r="AS519" s="345"/>
      <c r="AT519" s="345"/>
      <c r="AU519" s="300"/>
      <c r="AV519" s="313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315"/>
      <c r="AO520" s="258"/>
      <c r="AP520" s="346"/>
      <c r="AQ520" s="300"/>
      <c r="AR520" s="300"/>
      <c r="AS520" s="345"/>
      <c r="AT520" s="345"/>
      <c r="AU520" s="300"/>
      <c r="AV520" s="313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315"/>
      <c r="AO521" s="258"/>
      <c r="AP521" s="346"/>
      <c r="AQ521" s="300"/>
      <c r="AR521" s="300"/>
      <c r="AS521" s="345"/>
      <c r="AT521" s="345"/>
      <c r="AU521" s="300"/>
      <c r="AV521" s="313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315"/>
      <c r="AO522" s="258"/>
      <c r="AP522" s="346"/>
      <c r="AQ522" s="300"/>
      <c r="AR522" s="300"/>
      <c r="AS522" s="345"/>
      <c r="AT522" s="345"/>
      <c r="AU522" s="300"/>
      <c r="AV522" s="313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315"/>
      <c r="AO523" s="258"/>
      <c r="AP523" s="346"/>
      <c r="AQ523" s="300"/>
      <c r="AR523" s="300"/>
      <c r="AS523" s="345"/>
      <c r="AT523" s="345"/>
      <c r="AU523" s="300"/>
      <c r="AV523" s="313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315"/>
      <c r="AO524" s="258"/>
      <c r="AP524" s="346"/>
      <c r="AQ524" s="300"/>
      <c r="AR524" s="300"/>
      <c r="AS524" s="345"/>
      <c r="AT524" s="345"/>
      <c r="AU524" s="300"/>
      <c r="AV524" s="313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315"/>
      <c r="AO525" s="258"/>
      <c r="AP525" s="346"/>
      <c r="AQ525" s="300"/>
      <c r="AR525" s="300"/>
      <c r="AS525" s="345"/>
      <c r="AT525" s="345"/>
      <c r="AU525" s="300"/>
      <c r="AV525" s="313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315"/>
      <c r="AO526" s="258"/>
      <c r="AP526" s="346"/>
      <c r="AQ526" s="300"/>
      <c r="AR526" s="300"/>
      <c r="AS526" s="345"/>
      <c r="AT526" s="345"/>
      <c r="AU526" s="300"/>
      <c r="AV526" s="313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315"/>
      <c r="AO527" s="258"/>
      <c r="AP527" s="346"/>
      <c r="AQ527" s="300"/>
      <c r="AR527" s="300"/>
      <c r="AS527" s="345"/>
      <c r="AT527" s="345"/>
      <c r="AU527" s="300"/>
      <c r="AV527" s="313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315"/>
      <c r="AO528" s="258"/>
      <c r="AP528" s="346"/>
      <c r="AQ528" s="300"/>
      <c r="AR528" s="300"/>
      <c r="AS528" s="345"/>
      <c r="AT528" s="345"/>
      <c r="AU528" s="300"/>
      <c r="AV528" s="313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315"/>
      <c r="AO529" s="258"/>
      <c r="AP529" s="346"/>
      <c r="AQ529" s="300"/>
      <c r="AR529" s="300"/>
      <c r="AS529" s="345"/>
      <c r="AT529" s="345"/>
      <c r="AU529" s="300"/>
      <c r="AV529" s="313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315"/>
      <c r="AO530" s="258"/>
      <c r="AP530" s="346"/>
      <c r="AQ530" s="300"/>
      <c r="AR530" s="300"/>
      <c r="AS530" s="345"/>
      <c r="AT530" s="345"/>
      <c r="AU530" s="300"/>
      <c r="AV530" s="313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315"/>
      <c r="AO531" s="258"/>
      <c r="AP531" s="346"/>
      <c r="AQ531" s="300"/>
      <c r="AR531" s="300"/>
      <c r="AS531" s="345"/>
      <c r="AT531" s="345"/>
      <c r="AU531" s="300"/>
      <c r="AV531" s="313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315"/>
      <c r="AO532" s="258"/>
      <c r="AP532" s="346"/>
      <c r="AQ532" s="300"/>
      <c r="AR532" s="300"/>
      <c r="AS532" s="345"/>
      <c r="AT532" s="345"/>
      <c r="AU532" s="300"/>
      <c r="AV532" s="313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315"/>
      <c r="AO533" s="258"/>
      <c r="AP533" s="346"/>
      <c r="AQ533" s="300"/>
      <c r="AR533" s="300"/>
      <c r="AS533" s="345"/>
      <c r="AT533" s="345"/>
      <c r="AU533" s="300"/>
      <c r="AV533" s="313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315"/>
      <c r="AO534" s="258"/>
      <c r="AP534" s="346"/>
      <c r="AQ534" s="300"/>
      <c r="AR534" s="300"/>
      <c r="AS534" s="345"/>
      <c r="AT534" s="345"/>
      <c r="AU534" s="300"/>
      <c r="AV534" s="313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315"/>
      <c r="AO535" s="258"/>
      <c r="AP535" s="346"/>
      <c r="AQ535" s="300"/>
      <c r="AR535" s="300"/>
      <c r="AS535" s="345"/>
      <c r="AT535" s="345"/>
      <c r="AU535" s="300"/>
      <c r="AV535" s="313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315"/>
      <c r="AO536" s="258"/>
      <c r="AP536" s="346"/>
      <c r="AQ536" s="300"/>
      <c r="AR536" s="300"/>
      <c r="AS536" s="345"/>
      <c r="AT536" s="345"/>
      <c r="AU536" s="300"/>
      <c r="AV536" s="313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315"/>
      <c r="AO537" s="258"/>
      <c r="AP537" s="346"/>
      <c r="AQ537" s="300"/>
      <c r="AR537" s="300"/>
      <c r="AS537" s="345"/>
      <c r="AT537" s="345"/>
      <c r="AU537" s="300"/>
      <c r="AV537" s="313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315"/>
      <c r="AO538" s="258"/>
      <c r="AP538" s="346"/>
      <c r="AQ538" s="300"/>
      <c r="AR538" s="300"/>
      <c r="AS538" s="345"/>
      <c r="AT538" s="345"/>
      <c r="AU538" s="300"/>
      <c r="AV538" s="313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315"/>
      <c r="AO539" s="258"/>
      <c r="AP539" s="346"/>
      <c r="AQ539" s="300"/>
      <c r="AR539" s="300"/>
      <c r="AS539" s="345"/>
      <c r="AT539" s="345"/>
      <c r="AU539" s="300"/>
      <c r="AV539" s="313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315"/>
      <c r="AO540" s="258"/>
      <c r="AP540" s="346"/>
      <c r="AQ540" s="300"/>
      <c r="AR540" s="300"/>
      <c r="AS540" s="345"/>
      <c r="AT540" s="345"/>
      <c r="AU540" s="300"/>
      <c r="AV540" s="313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315"/>
      <c r="AO541" s="258"/>
      <c r="AP541" s="346"/>
      <c r="AQ541" s="300"/>
      <c r="AR541" s="300"/>
      <c r="AS541" s="345"/>
      <c r="AT541" s="345"/>
      <c r="AU541" s="300"/>
      <c r="AV541" s="313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315"/>
      <c r="AO542" s="258"/>
      <c r="AP542" s="346"/>
      <c r="AQ542" s="300"/>
      <c r="AR542" s="300"/>
      <c r="AS542" s="345"/>
      <c r="AT542" s="345"/>
      <c r="AU542" s="300"/>
      <c r="AV542" s="313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315"/>
      <c r="AO543" s="258"/>
      <c r="AP543" s="346"/>
      <c r="AQ543" s="300"/>
      <c r="AR543" s="300"/>
      <c r="AS543" s="345"/>
      <c r="AT543" s="345"/>
      <c r="AU543" s="300"/>
      <c r="AV543" s="313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315"/>
      <c r="AO544" s="258"/>
      <c r="AP544" s="346"/>
      <c r="AQ544" s="300"/>
      <c r="AR544" s="300"/>
      <c r="AS544" s="345"/>
      <c r="AT544" s="345"/>
      <c r="AU544" s="300"/>
      <c r="AV544" s="313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315"/>
      <c r="AO545" s="258"/>
      <c r="AP545" s="346"/>
      <c r="AQ545" s="300"/>
      <c r="AR545" s="300"/>
      <c r="AS545" s="345"/>
      <c r="AT545" s="345"/>
      <c r="AU545" s="300"/>
      <c r="AV545" s="313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315"/>
      <c r="AO546" s="258"/>
      <c r="AP546" s="346"/>
      <c r="AQ546" s="300"/>
      <c r="AR546" s="300"/>
      <c r="AS546" s="345"/>
      <c r="AT546" s="345"/>
      <c r="AU546" s="300"/>
      <c r="AV546" s="313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315"/>
      <c r="AO547" s="258"/>
      <c r="AP547" s="346"/>
      <c r="AQ547" s="300"/>
      <c r="AR547" s="300"/>
      <c r="AS547" s="345"/>
      <c r="AT547" s="345"/>
      <c r="AU547" s="300"/>
      <c r="AV547" s="313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315"/>
      <c r="AO548" s="258"/>
      <c r="AP548" s="346"/>
      <c r="AQ548" s="300"/>
      <c r="AR548" s="300"/>
      <c r="AS548" s="345"/>
      <c r="AT548" s="345"/>
      <c r="AU548" s="300"/>
      <c r="AV548" s="313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315"/>
      <c r="AO549" s="258"/>
      <c r="AP549" s="346"/>
      <c r="AQ549" s="300"/>
      <c r="AR549" s="300"/>
      <c r="AS549" s="345"/>
      <c r="AT549" s="345"/>
      <c r="AU549" s="300"/>
      <c r="AV549" s="313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315"/>
      <c r="AO550" s="258"/>
      <c r="AP550" s="346"/>
      <c r="AQ550" s="300"/>
      <c r="AR550" s="300"/>
      <c r="AS550" s="345"/>
      <c r="AT550" s="345"/>
      <c r="AU550" s="300"/>
      <c r="AV550" s="313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315"/>
      <c r="AO551" s="258"/>
      <c r="AP551" s="346"/>
      <c r="AQ551" s="300"/>
      <c r="AR551" s="300"/>
      <c r="AS551" s="345"/>
      <c r="AT551" s="345"/>
      <c r="AU551" s="300"/>
      <c r="AV551" s="313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315"/>
      <c r="AO552" s="258"/>
      <c r="AP552" s="346"/>
      <c r="AQ552" s="300"/>
      <c r="AR552" s="300"/>
      <c r="AS552" s="345"/>
      <c r="AT552" s="345"/>
      <c r="AU552" s="300"/>
      <c r="AV552" s="313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315"/>
      <c r="AO553" s="258"/>
      <c r="AP553" s="346"/>
      <c r="AQ553" s="300"/>
      <c r="AR553" s="300"/>
      <c r="AS553" s="345"/>
      <c r="AT553" s="345"/>
      <c r="AU553" s="300"/>
      <c r="AV553" s="313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315"/>
      <c r="AO554" s="258"/>
      <c r="AP554" s="346"/>
      <c r="AQ554" s="300"/>
      <c r="AR554" s="300"/>
      <c r="AS554" s="345"/>
      <c r="AT554" s="345"/>
      <c r="AU554" s="300"/>
      <c r="AV554" s="313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315"/>
      <c r="AO555" s="258"/>
      <c r="AP555" s="346"/>
      <c r="AQ555" s="300"/>
      <c r="AR555" s="300"/>
      <c r="AS555" s="345"/>
      <c r="AT555" s="345"/>
      <c r="AU555" s="300"/>
      <c r="AV555" s="313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315"/>
      <c r="AO556" s="258"/>
      <c r="AP556" s="346"/>
      <c r="AQ556" s="300"/>
      <c r="AR556" s="300"/>
      <c r="AS556" s="345"/>
      <c r="AT556" s="345"/>
      <c r="AU556" s="300"/>
      <c r="AV556" s="313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315"/>
      <c r="AO557" s="258"/>
      <c r="AP557" s="346"/>
      <c r="AQ557" s="300"/>
      <c r="AR557" s="300"/>
      <c r="AS557" s="345"/>
      <c r="AT557" s="345"/>
      <c r="AU557" s="300"/>
      <c r="AV557" s="313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315"/>
      <c r="AO558" s="258"/>
      <c r="AP558" s="346"/>
      <c r="AQ558" s="300"/>
      <c r="AR558" s="300"/>
      <c r="AS558" s="345"/>
      <c r="AT558" s="345"/>
      <c r="AU558" s="300"/>
      <c r="AV558" s="313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315"/>
      <c r="AO559" s="258"/>
      <c r="AP559" s="346"/>
      <c r="AQ559" s="300"/>
      <c r="AR559" s="300"/>
      <c r="AS559" s="345"/>
      <c r="AT559" s="345"/>
      <c r="AU559" s="300"/>
      <c r="AV559" s="313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315"/>
      <c r="AO560" s="258"/>
      <c r="AP560" s="346"/>
      <c r="AQ560" s="300"/>
      <c r="AR560" s="300"/>
      <c r="AS560" s="345"/>
      <c r="AT560" s="345"/>
      <c r="AU560" s="300"/>
      <c r="AV560" s="313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315"/>
      <c r="AO561" s="258"/>
      <c r="AP561" s="346"/>
      <c r="AQ561" s="300"/>
      <c r="AR561" s="300"/>
      <c r="AS561" s="345"/>
      <c r="AT561" s="345"/>
      <c r="AU561" s="300"/>
      <c r="AV561" s="313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315"/>
      <c r="AO562" s="258"/>
      <c r="AP562" s="346"/>
      <c r="AQ562" s="300"/>
      <c r="AR562" s="300"/>
      <c r="AS562" s="345"/>
      <c r="AT562" s="345"/>
      <c r="AU562" s="300"/>
      <c r="AV562" s="313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315"/>
      <c r="AO563" s="258"/>
      <c r="AP563" s="346"/>
      <c r="AQ563" s="300"/>
      <c r="AR563" s="300"/>
      <c r="AS563" s="345"/>
      <c r="AT563" s="345"/>
      <c r="AU563" s="300"/>
      <c r="AV563" s="313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315"/>
      <c r="AO564" s="258"/>
      <c r="AP564" s="346"/>
      <c r="AQ564" s="300"/>
      <c r="AR564" s="300"/>
      <c r="AS564" s="345"/>
      <c r="AT564" s="345"/>
      <c r="AU564" s="300"/>
      <c r="AV564" s="313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315"/>
      <c r="AO565" s="258"/>
      <c r="AP565" s="346"/>
      <c r="AQ565" s="300"/>
      <c r="AR565" s="300"/>
      <c r="AS565" s="345"/>
      <c r="AT565" s="345"/>
      <c r="AU565" s="300"/>
      <c r="AV565" s="313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315"/>
      <c r="AO566" s="258"/>
      <c r="AP566" s="346"/>
      <c r="AQ566" s="300"/>
      <c r="AR566" s="300"/>
      <c r="AS566" s="345"/>
      <c r="AT566" s="345"/>
      <c r="AU566" s="300"/>
      <c r="AV566" s="313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315"/>
      <c r="AO567" s="258"/>
      <c r="AP567" s="346"/>
      <c r="AQ567" s="300"/>
      <c r="AR567" s="300"/>
      <c r="AS567" s="345"/>
      <c r="AT567" s="345"/>
      <c r="AU567" s="300"/>
      <c r="AV567" s="313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315"/>
      <c r="AO568" s="258"/>
      <c r="AP568" s="346"/>
      <c r="AQ568" s="300"/>
      <c r="AR568" s="300"/>
      <c r="AS568" s="345"/>
      <c r="AT568" s="345"/>
      <c r="AU568" s="300"/>
      <c r="AV568" s="313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315"/>
      <c r="AO569" s="258"/>
      <c r="AP569" s="346"/>
      <c r="AQ569" s="300"/>
      <c r="AR569" s="300"/>
      <c r="AS569" s="345"/>
      <c r="AT569" s="345"/>
      <c r="AU569" s="300"/>
      <c r="AV569" s="313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315"/>
      <c r="AO570" s="258"/>
      <c r="AP570" s="346"/>
      <c r="AQ570" s="300"/>
      <c r="AR570" s="300"/>
      <c r="AS570" s="345"/>
      <c r="AT570" s="345"/>
      <c r="AU570" s="300"/>
      <c r="AV570" s="313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315"/>
      <c r="AO571" s="258"/>
      <c r="AP571" s="346"/>
      <c r="AQ571" s="300"/>
      <c r="AR571" s="300"/>
      <c r="AS571" s="345"/>
      <c r="AT571" s="345"/>
      <c r="AU571" s="300"/>
      <c r="AV571" s="313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315"/>
      <c r="AO572" s="258"/>
      <c r="AP572" s="346"/>
      <c r="AQ572" s="300"/>
      <c r="AR572" s="300"/>
      <c r="AS572" s="345"/>
      <c r="AT572" s="345"/>
      <c r="AU572" s="300"/>
      <c r="AV572" s="313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315"/>
      <c r="AO573" s="258"/>
      <c r="AP573" s="346"/>
      <c r="AQ573" s="300"/>
      <c r="AR573" s="300"/>
      <c r="AS573" s="345"/>
      <c r="AT573" s="345"/>
      <c r="AU573" s="300"/>
      <c r="AV573" s="313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315"/>
      <c r="AO574" s="258"/>
      <c r="AP574" s="346"/>
      <c r="AQ574" s="300"/>
      <c r="AR574" s="300"/>
      <c r="AS574" s="345"/>
      <c r="AT574" s="345"/>
      <c r="AU574" s="300"/>
      <c r="AV574" s="313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315"/>
      <c r="AO575" s="258"/>
      <c r="AP575" s="346"/>
      <c r="AQ575" s="300"/>
      <c r="AR575" s="300"/>
      <c r="AS575" s="345"/>
      <c r="AT575" s="345"/>
      <c r="AU575" s="300"/>
      <c r="AV575" s="313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315"/>
      <c r="AO576" s="258"/>
      <c r="AP576" s="346"/>
      <c r="AQ576" s="300"/>
      <c r="AR576" s="300"/>
      <c r="AS576" s="345"/>
      <c r="AT576" s="345"/>
      <c r="AU576" s="300"/>
      <c r="AV576" s="313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315"/>
      <c r="AO577" s="258"/>
      <c r="AP577" s="346"/>
      <c r="AQ577" s="300"/>
      <c r="AR577" s="300"/>
      <c r="AS577" s="345"/>
      <c r="AT577" s="345"/>
      <c r="AU577" s="300"/>
      <c r="AV577" s="313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315"/>
      <c r="AO578" s="258"/>
      <c r="AP578" s="346"/>
      <c r="AQ578" s="300"/>
      <c r="AR578" s="300"/>
      <c r="AS578" s="345"/>
      <c r="AT578" s="345"/>
      <c r="AU578" s="300"/>
      <c r="AV578" s="313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315"/>
      <c r="AO579" s="258"/>
      <c r="AP579" s="346"/>
      <c r="AQ579" s="300"/>
      <c r="AR579" s="300"/>
      <c r="AS579" s="345"/>
      <c r="AT579" s="345"/>
      <c r="AU579" s="300"/>
      <c r="AV579" s="313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315"/>
      <c r="AO580" s="258"/>
      <c r="AP580" s="346"/>
      <c r="AQ580" s="300"/>
      <c r="AR580" s="300"/>
      <c r="AS580" s="345"/>
      <c r="AT580" s="345"/>
      <c r="AU580" s="300"/>
      <c r="AV580" s="313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315"/>
      <c r="AO581" s="258"/>
      <c r="AP581" s="346"/>
      <c r="AQ581" s="300"/>
      <c r="AR581" s="300"/>
      <c r="AS581" s="345"/>
      <c r="AT581" s="345"/>
      <c r="AU581" s="300"/>
      <c r="AV581" s="313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315"/>
      <c r="AO582" s="258"/>
      <c r="AP582" s="346"/>
      <c r="AQ582" s="300"/>
      <c r="AR582" s="300"/>
      <c r="AS582" s="345"/>
      <c r="AT582" s="345"/>
      <c r="AU582" s="300"/>
      <c r="AV582" s="313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315"/>
      <c r="AO583" s="258"/>
      <c r="AP583" s="346"/>
      <c r="AQ583" s="300"/>
      <c r="AR583" s="300"/>
      <c r="AS583" s="345"/>
      <c r="AT583" s="345"/>
      <c r="AU583" s="300"/>
      <c r="AV583" s="313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315"/>
      <c r="AO584" s="258"/>
      <c r="AP584" s="346"/>
      <c r="AQ584" s="300"/>
      <c r="AR584" s="300"/>
      <c r="AS584" s="345"/>
      <c r="AT584" s="345"/>
      <c r="AU584" s="300"/>
      <c r="AV584" s="313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315"/>
      <c r="AO585" s="258"/>
      <c r="AP585" s="346"/>
      <c r="AQ585" s="300"/>
      <c r="AR585" s="300"/>
      <c r="AS585" s="345"/>
      <c r="AT585" s="345"/>
      <c r="AU585" s="300"/>
      <c r="AV585" s="313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315"/>
      <c r="AO586" s="258"/>
      <c r="AP586" s="346"/>
      <c r="AQ586" s="300"/>
      <c r="AR586" s="300"/>
      <c r="AS586" s="345"/>
      <c r="AT586" s="345"/>
      <c r="AU586" s="300"/>
      <c r="AV586" s="313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315"/>
      <c r="AO587" s="258"/>
      <c r="AP587" s="346"/>
      <c r="AQ587" s="300"/>
      <c r="AR587" s="300"/>
      <c r="AS587" s="345"/>
      <c r="AT587" s="345"/>
      <c r="AU587" s="300"/>
      <c r="AV587" s="313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315"/>
      <c r="AO588" s="258"/>
      <c r="AP588" s="346"/>
      <c r="AQ588" s="300"/>
      <c r="AR588" s="300"/>
      <c r="AS588" s="345"/>
      <c r="AT588" s="345"/>
      <c r="AU588" s="300"/>
      <c r="AV588" s="313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315"/>
      <c r="AO589" s="258"/>
      <c r="AP589" s="346"/>
      <c r="AQ589" s="300"/>
      <c r="AR589" s="300"/>
      <c r="AS589" s="345"/>
      <c r="AT589" s="345"/>
      <c r="AU589" s="300"/>
      <c r="AV589" s="313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315"/>
      <c r="AO590" s="258"/>
      <c r="AP590" s="346"/>
      <c r="AQ590" s="300"/>
      <c r="AR590" s="300"/>
      <c r="AS590" s="345"/>
      <c r="AT590" s="345"/>
      <c r="AU590" s="300"/>
      <c r="AV590" s="313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315"/>
      <c r="AO591" s="258"/>
      <c r="AP591" s="346"/>
      <c r="AQ591" s="300"/>
      <c r="AR591" s="300"/>
      <c r="AS591" s="345"/>
      <c r="AT591" s="345"/>
      <c r="AU591" s="300"/>
      <c r="AV591" s="313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315"/>
      <c r="AO592" s="258"/>
      <c r="AP592" s="346"/>
      <c r="AQ592" s="300"/>
      <c r="AR592" s="300"/>
      <c r="AS592" s="345"/>
      <c r="AT592" s="345"/>
      <c r="AU592" s="300"/>
      <c r="AV592" s="313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315"/>
      <c r="AO593" s="258"/>
      <c r="AP593" s="346"/>
      <c r="AQ593" s="300"/>
      <c r="AR593" s="300"/>
      <c r="AS593" s="345"/>
      <c r="AT593" s="345"/>
      <c r="AU593" s="300"/>
      <c r="AV593" s="313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315"/>
      <c r="AO594" s="258"/>
      <c r="AP594" s="346"/>
      <c r="AQ594" s="300"/>
      <c r="AR594" s="300"/>
      <c r="AS594" s="345"/>
      <c r="AT594" s="345"/>
      <c r="AU594" s="300"/>
      <c r="AV594" s="313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315"/>
      <c r="AO595" s="258"/>
      <c r="AP595" s="346"/>
      <c r="AQ595" s="300"/>
      <c r="AR595" s="300"/>
      <c r="AS595" s="345"/>
      <c r="AT595" s="345"/>
      <c r="AU595" s="300"/>
      <c r="AV595" s="313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315"/>
      <c r="AO596" s="258"/>
      <c r="AP596" s="346"/>
      <c r="AQ596" s="300"/>
      <c r="AR596" s="300"/>
      <c r="AS596" s="345"/>
      <c r="AT596" s="345"/>
      <c r="AU596" s="300"/>
      <c r="AV596" s="313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315"/>
      <c r="AO597" s="258"/>
      <c r="AP597" s="346"/>
      <c r="AQ597" s="300"/>
      <c r="AR597" s="300"/>
      <c r="AS597" s="345"/>
      <c r="AT597" s="345"/>
      <c r="AU597" s="300"/>
      <c r="AV597" s="313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315"/>
      <c r="AO598" s="258"/>
      <c r="AP598" s="346"/>
      <c r="AQ598" s="300"/>
      <c r="AR598" s="300"/>
      <c r="AS598" s="345"/>
      <c r="AT598" s="345"/>
      <c r="AU598" s="300"/>
      <c r="AV598" s="313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315"/>
      <c r="AO599" s="258"/>
      <c r="AP599" s="346"/>
      <c r="AQ599" s="300"/>
      <c r="AR599" s="300"/>
      <c r="AS599" s="345"/>
      <c r="AT599" s="345"/>
      <c r="AU599" s="300"/>
      <c r="AV599" s="313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315"/>
      <c r="AO600" s="258"/>
      <c r="AP600" s="346"/>
      <c r="AQ600" s="300"/>
      <c r="AR600" s="300"/>
      <c r="AS600" s="345"/>
      <c r="AT600" s="345"/>
      <c r="AU600" s="300"/>
      <c r="AV600" s="313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315"/>
      <c r="AO601" s="258"/>
      <c r="AP601" s="346"/>
      <c r="AQ601" s="300"/>
      <c r="AR601" s="300"/>
      <c r="AS601" s="345"/>
      <c r="AT601" s="345"/>
      <c r="AU601" s="300"/>
      <c r="AV601" s="313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315"/>
      <c r="AO602" s="258"/>
      <c r="AP602" s="346"/>
      <c r="AQ602" s="300"/>
      <c r="AR602" s="300"/>
      <c r="AS602" s="345"/>
      <c r="AT602" s="345"/>
      <c r="AU602" s="300"/>
      <c r="AV602" s="313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315"/>
      <c r="AO603" s="258"/>
      <c r="AP603" s="346"/>
      <c r="AQ603" s="300"/>
      <c r="AR603" s="300"/>
      <c r="AS603" s="345"/>
      <c r="AT603" s="345"/>
      <c r="AU603" s="300"/>
      <c r="AV603" s="313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315"/>
      <c r="AO604" s="258"/>
      <c r="AP604" s="346"/>
      <c r="AQ604" s="300"/>
      <c r="AR604" s="300"/>
      <c r="AS604" s="345"/>
      <c r="AT604" s="345"/>
      <c r="AU604" s="300"/>
      <c r="AV604" s="313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315"/>
      <c r="AO605" s="258"/>
      <c r="AP605" s="346"/>
      <c r="AQ605" s="300"/>
      <c r="AR605" s="300"/>
      <c r="AS605" s="345"/>
      <c r="AT605" s="345"/>
      <c r="AU605" s="300"/>
      <c r="AV605" s="313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315"/>
      <c r="AO606" s="258"/>
      <c r="AP606" s="346"/>
      <c r="AQ606" s="300"/>
      <c r="AR606" s="300"/>
      <c r="AS606" s="345"/>
      <c r="AT606" s="345"/>
      <c r="AU606" s="300"/>
      <c r="AV606" s="313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315"/>
      <c r="AO607" s="258"/>
      <c r="AP607" s="346"/>
      <c r="AQ607" s="300"/>
      <c r="AR607" s="300"/>
      <c r="AS607" s="345"/>
      <c r="AT607" s="345"/>
      <c r="AU607" s="300"/>
      <c r="AV607" s="313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315"/>
      <c r="AO608" s="258"/>
      <c r="AP608" s="346"/>
      <c r="AQ608" s="300"/>
      <c r="AR608" s="300"/>
      <c r="AS608" s="345"/>
      <c r="AT608" s="345"/>
      <c r="AU608" s="300"/>
      <c r="AV608" s="313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315"/>
      <c r="AO609" s="258"/>
      <c r="AP609" s="346"/>
      <c r="AQ609" s="300"/>
      <c r="AR609" s="300"/>
      <c r="AS609" s="345"/>
      <c r="AT609" s="345"/>
      <c r="AU609" s="300"/>
      <c r="AV609" s="313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315"/>
      <c r="AO610" s="258"/>
      <c r="AP610" s="346"/>
      <c r="AQ610" s="300"/>
      <c r="AR610" s="300"/>
      <c r="AS610" s="345"/>
      <c r="AT610" s="345"/>
      <c r="AU610" s="300"/>
      <c r="AV610" s="313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315"/>
      <c r="AO611" s="258"/>
      <c r="AP611" s="346"/>
      <c r="AQ611" s="300"/>
      <c r="AR611" s="300"/>
      <c r="AS611" s="345"/>
      <c r="AT611" s="345"/>
      <c r="AU611" s="300"/>
      <c r="AV611" s="313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315"/>
      <c r="AO612" s="258"/>
      <c r="AP612" s="346"/>
      <c r="AQ612" s="300"/>
      <c r="AR612" s="300"/>
      <c r="AS612" s="345"/>
      <c r="AT612" s="345"/>
      <c r="AU612" s="300"/>
      <c r="AV612" s="313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315"/>
      <c r="AO613" s="258"/>
      <c r="AP613" s="346"/>
      <c r="AQ613" s="300"/>
      <c r="AR613" s="300"/>
      <c r="AS613" s="345"/>
      <c r="AT613" s="345"/>
      <c r="AU613" s="300"/>
      <c r="AV613" s="313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315"/>
      <c r="AO614" s="258"/>
      <c r="AP614" s="346"/>
      <c r="AQ614" s="300"/>
      <c r="AR614" s="300"/>
      <c r="AS614" s="345"/>
      <c r="AT614" s="345"/>
      <c r="AU614" s="300"/>
      <c r="AV614" s="313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315"/>
      <c r="AO615" s="258"/>
      <c r="AP615" s="346"/>
      <c r="AQ615" s="300"/>
      <c r="AR615" s="300"/>
      <c r="AS615" s="345"/>
      <c r="AT615" s="345"/>
      <c r="AU615" s="300"/>
      <c r="AV615" s="313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315"/>
      <c r="AO616" s="258"/>
      <c r="AP616" s="346"/>
      <c r="AQ616" s="300"/>
      <c r="AR616" s="300"/>
      <c r="AS616" s="345"/>
      <c r="AT616" s="345"/>
      <c r="AU616" s="300"/>
      <c r="AV616" s="313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315"/>
      <c r="AO617" s="258"/>
      <c r="AP617" s="346"/>
      <c r="AQ617" s="300"/>
      <c r="AR617" s="300"/>
      <c r="AS617" s="345"/>
      <c r="AT617" s="345"/>
      <c r="AU617" s="300"/>
      <c r="AV617" s="313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315"/>
      <c r="AO618" s="258"/>
      <c r="AP618" s="346"/>
      <c r="AQ618" s="300"/>
      <c r="AR618" s="300"/>
      <c r="AS618" s="345"/>
      <c r="AT618" s="345"/>
      <c r="AU618" s="300"/>
      <c r="AV618" s="313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315"/>
      <c r="AO619" s="258"/>
      <c r="AP619" s="346"/>
      <c r="AQ619" s="300"/>
      <c r="AR619" s="300"/>
      <c r="AS619" s="345"/>
      <c r="AT619" s="345"/>
      <c r="AU619" s="300"/>
      <c r="AV619" s="313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315"/>
      <c r="AO620" s="258"/>
      <c r="AP620" s="346"/>
      <c r="AQ620" s="300"/>
      <c r="AR620" s="300"/>
      <c r="AS620" s="345"/>
      <c r="AT620" s="345"/>
      <c r="AU620" s="300"/>
      <c r="AV620" s="313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315"/>
      <c r="AO621" s="258"/>
      <c r="AP621" s="346"/>
      <c r="AQ621" s="300"/>
      <c r="AR621" s="300"/>
      <c r="AS621" s="345"/>
      <c r="AT621" s="345"/>
      <c r="AU621" s="300"/>
      <c r="AV621" s="313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315"/>
      <c r="AO622" s="258"/>
      <c r="AP622" s="346"/>
      <c r="AQ622" s="300"/>
      <c r="AR622" s="300"/>
      <c r="AS622" s="345"/>
      <c r="AT622" s="345"/>
      <c r="AU622" s="300"/>
      <c r="AV622" s="313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315"/>
      <c r="AO623" s="258"/>
      <c r="AP623" s="346"/>
      <c r="AQ623" s="300"/>
      <c r="AR623" s="300"/>
      <c r="AS623" s="345"/>
      <c r="AT623" s="345"/>
      <c r="AU623" s="300"/>
      <c r="AV623" s="313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315"/>
      <c r="AO624" s="258"/>
      <c r="AP624" s="346"/>
      <c r="AQ624" s="300"/>
      <c r="AR624" s="300"/>
      <c r="AS624" s="345"/>
      <c r="AT624" s="345"/>
      <c r="AU624" s="300"/>
      <c r="AV624" s="313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315"/>
      <c r="AO625" s="258"/>
      <c r="AP625" s="346"/>
      <c r="AQ625" s="300"/>
      <c r="AR625" s="300"/>
      <c r="AS625" s="345"/>
      <c r="AT625" s="345"/>
      <c r="AU625" s="300"/>
      <c r="AV625" s="313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315"/>
      <c r="AO626" s="258"/>
      <c r="AP626" s="346"/>
      <c r="AQ626" s="300"/>
      <c r="AR626" s="300"/>
      <c r="AS626" s="345"/>
      <c r="AT626" s="345"/>
      <c r="AU626" s="300"/>
      <c r="AV626" s="313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315"/>
      <c r="AO627" s="258"/>
      <c r="AP627" s="346"/>
      <c r="AQ627" s="300"/>
      <c r="AR627" s="300"/>
      <c r="AS627" s="345"/>
      <c r="AT627" s="345"/>
      <c r="AU627" s="300"/>
      <c r="AV627" s="313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315"/>
      <c r="AO628" s="258"/>
      <c r="AP628" s="346"/>
      <c r="AQ628" s="300"/>
      <c r="AR628" s="300"/>
      <c r="AS628" s="345"/>
      <c r="AT628" s="345"/>
      <c r="AU628" s="300"/>
      <c r="AV628" s="313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315"/>
      <c r="AO629" s="258"/>
      <c r="AP629" s="346"/>
      <c r="AQ629" s="300"/>
      <c r="AR629" s="300"/>
      <c r="AS629" s="345"/>
      <c r="AT629" s="345"/>
      <c r="AU629" s="300"/>
      <c r="AV629" s="313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315"/>
      <c r="AO630" s="258"/>
      <c r="AP630" s="346"/>
      <c r="AQ630" s="300"/>
      <c r="AR630" s="300"/>
      <c r="AS630" s="345"/>
      <c r="AT630" s="345"/>
      <c r="AU630" s="300"/>
      <c r="AV630" s="313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315"/>
      <c r="AO631" s="258"/>
      <c r="AP631" s="346"/>
      <c r="AQ631" s="300"/>
      <c r="AR631" s="300"/>
      <c r="AS631" s="345"/>
      <c r="AT631" s="345"/>
      <c r="AU631" s="300"/>
      <c r="AV631" s="313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315"/>
      <c r="AO632" s="258"/>
      <c r="AP632" s="346"/>
      <c r="AQ632" s="300"/>
      <c r="AR632" s="300"/>
      <c r="AS632" s="345"/>
      <c r="AT632" s="345"/>
      <c r="AU632" s="300"/>
      <c r="AV632" s="313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315"/>
      <c r="AO633" s="258"/>
      <c r="AP633" s="346"/>
      <c r="AQ633" s="300"/>
      <c r="AR633" s="300"/>
      <c r="AS633" s="345"/>
      <c r="AT633" s="345"/>
      <c r="AU633" s="300"/>
      <c r="AV633" s="313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315"/>
      <c r="AO634" s="258"/>
      <c r="AP634" s="346"/>
      <c r="AQ634" s="300"/>
      <c r="AR634" s="300"/>
      <c r="AS634" s="345"/>
      <c r="AT634" s="345"/>
      <c r="AU634" s="300"/>
      <c r="AV634" s="313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315"/>
      <c r="AO635" s="258"/>
      <c r="AP635" s="346"/>
      <c r="AQ635" s="300"/>
      <c r="AR635" s="300"/>
      <c r="AS635" s="345"/>
      <c r="AT635" s="345"/>
      <c r="AU635" s="300"/>
      <c r="AV635" s="313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315"/>
      <c r="AO636" s="258"/>
      <c r="AP636" s="346"/>
      <c r="AQ636" s="300"/>
      <c r="AR636" s="300"/>
      <c r="AS636" s="345"/>
      <c r="AT636" s="345"/>
      <c r="AU636" s="300"/>
      <c r="AV636" s="313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315"/>
      <c r="AO637" s="258"/>
      <c r="AP637" s="346"/>
      <c r="AQ637" s="300"/>
      <c r="AR637" s="300"/>
      <c r="AS637" s="345"/>
      <c r="AT637" s="345"/>
      <c r="AU637" s="300"/>
      <c r="AV637" s="313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315"/>
      <c r="AO638" s="258"/>
      <c r="AP638" s="346"/>
      <c r="AQ638" s="300"/>
      <c r="AR638" s="300"/>
      <c r="AS638" s="345"/>
      <c r="AT638" s="345"/>
      <c r="AU638" s="300"/>
      <c r="AV638" s="313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315"/>
      <c r="AO639" s="258"/>
      <c r="AP639" s="346"/>
      <c r="AQ639" s="300"/>
      <c r="AR639" s="300"/>
      <c r="AS639" s="345"/>
      <c r="AT639" s="345"/>
      <c r="AU639" s="300"/>
      <c r="AV639" s="313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315"/>
      <c r="AO640" s="258"/>
      <c r="AP640" s="346"/>
      <c r="AQ640" s="300"/>
      <c r="AR640" s="300"/>
      <c r="AS640" s="345"/>
      <c r="AT640" s="345"/>
      <c r="AU640" s="300"/>
      <c r="AV640" s="313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315"/>
      <c r="AO641" s="258"/>
      <c r="AP641" s="346"/>
      <c r="AQ641" s="300"/>
      <c r="AR641" s="300"/>
      <c r="AS641" s="345"/>
      <c r="AT641" s="345"/>
      <c r="AU641" s="300"/>
      <c r="AV641" s="313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315"/>
      <c r="AO642" s="258"/>
      <c r="AP642" s="346"/>
      <c r="AQ642" s="300"/>
      <c r="AR642" s="300"/>
      <c r="AS642" s="345"/>
      <c r="AT642" s="345"/>
      <c r="AU642" s="300"/>
      <c r="AV642" s="313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315"/>
      <c r="AO643" s="258"/>
      <c r="AP643" s="346"/>
      <c r="AQ643" s="300"/>
      <c r="AR643" s="300"/>
      <c r="AS643" s="345"/>
      <c r="AT643" s="345"/>
      <c r="AU643" s="300"/>
      <c r="AV643" s="313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315"/>
      <c r="AO644" s="258"/>
      <c r="AP644" s="346"/>
      <c r="AQ644" s="300"/>
      <c r="AR644" s="300"/>
      <c r="AS644" s="345"/>
      <c r="AT644" s="345"/>
      <c r="AU644" s="300"/>
      <c r="AV644" s="313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315"/>
      <c r="AO645" s="258"/>
      <c r="AP645" s="346"/>
      <c r="AQ645" s="300"/>
      <c r="AR645" s="300"/>
      <c r="AS645" s="345"/>
      <c r="AT645" s="345"/>
      <c r="AU645" s="300"/>
      <c r="AV645" s="313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315"/>
      <c r="AO646" s="258"/>
      <c r="AP646" s="346"/>
      <c r="AQ646" s="300"/>
      <c r="AR646" s="300"/>
      <c r="AS646" s="345"/>
      <c r="AT646" s="345"/>
      <c r="AU646" s="300"/>
      <c r="AV646" s="313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315"/>
      <c r="AO647" s="258"/>
      <c r="AP647" s="346"/>
      <c r="AQ647" s="300"/>
      <c r="AR647" s="300"/>
      <c r="AS647" s="345"/>
      <c r="AT647" s="345"/>
      <c r="AU647" s="300"/>
      <c r="AV647" s="313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315"/>
      <c r="AO648" s="258"/>
      <c r="AP648" s="346"/>
      <c r="AQ648" s="300"/>
      <c r="AR648" s="300"/>
      <c r="AS648" s="345"/>
      <c r="AT648" s="345"/>
      <c r="AU648" s="300"/>
      <c r="AV648" s="313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315"/>
      <c r="AO649" s="258"/>
      <c r="AP649" s="346"/>
      <c r="AQ649" s="300"/>
      <c r="AR649" s="300"/>
      <c r="AS649" s="345"/>
      <c r="AT649" s="345"/>
      <c r="AU649" s="300"/>
      <c r="AV649" s="313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315"/>
      <c r="AO650" s="258"/>
      <c r="AP650" s="346"/>
      <c r="AQ650" s="300"/>
      <c r="AR650" s="300"/>
      <c r="AS650" s="345"/>
      <c r="AT650" s="345"/>
      <c r="AU650" s="300"/>
      <c r="AV650" s="313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315"/>
      <c r="AO651" s="258"/>
      <c r="AP651" s="346"/>
      <c r="AQ651" s="300"/>
      <c r="AR651" s="300"/>
      <c r="AS651" s="345"/>
      <c r="AT651" s="345"/>
      <c r="AU651" s="300"/>
      <c r="AV651" s="313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315"/>
      <c r="AO652" s="258"/>
      <c r="AP652" s="346"/>
      <c r="AQ652" s="300"/>
      <c r="AR652" s="300"/>
      <c r="AS652" s="345"/>
      <c r="AT652" s="345"/>
      <c r="AU652" s="300"/>
      <c r="AV652" s="313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315"/>
      <c r="AO653" s="258"/>
      <c r="AP653" s="346"/>
      <c r="AQ653" s="300"/>
      <c r="AR653" s="300"/>
      <c r="AS653" s="345"/>
      <c r="AT653" s="345"/>
      <c r="AU653" s="300"/>
      <c r="AV653" s="313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315"/>
      <c r="AO654" s="258"/>
      <c r="AP654" s="346"/>
      <c r="AQ654" s="300"/>
      <c r="AR654" s="300"/>
      <c r="AS654" s="345"/>
      <c r="AT654" s="345"/>
      <c r="AU654" s="300"/>
      <c r="AV654" s="313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315"/>
      <c r="AO655" s="258"/>
      <c r="AP655" s="346"/>
      <c r="AQ655" s="300"/>
      <c r="AR655" s="300"/>
      <c r="AS655" s="345"/>
      <c r="AT655" s="345"/>
      <c r="AU655" s="300"/>
      <c r="AV655" s="313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315"/>
      <c r="AO656" s="258"/>
      <c r="AP656" s="346"/>
      <c r="AQ656" s="300"/>
      <c r="AR656" s="300"/>
      <c r="AS656" s="345"/>
      <c r="AT656" s="345"/>
      <c r="AU656" s="300"/>
      <c r="AV656" s="313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315"/>
      <c r="AO657" s="258"/>
      <c r="AP657" s="346"/>
      <c r="AQ657" s="300"/>
      <c r="AR657" s="300"/>
      <c r="AS657" s="345"/>
      <c r="AT657" s="345"/>
      <c r="AU657" s="300"/>
      <c r="AV657" s="313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315"/>
      <c r="AO658" s="258"/>
      <c r="AP658" s="346"/>
      <c r="AQ658" s="300"/>
      <c r="AR658" s="300"/>
      <c r="AS658" s="345"/>
      <c r="AT658" s="345"/>
      <c r="AU658" s="300"/>
      <c r="AV658" s="313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315"/>
      <c r="AO659" s="258"/>
      <c r="AP659" s="346"/>
      <c r="AQ659" s="300"/>
      <c r="AR659" s="300"/>
      <c r="AS659" s="345"/>
      <c r="AT659" s="345"/>
      <c r="AU659" s="300"/>
      <c r="AV659" s="313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315"/>
      <c r="AO660" s="258"/>
      <c r="AP660" s="346"/>
      <c r="AQ660" s="300"/>
      <c r="AR660" s="300"/>
      <c r="AS660" s="345"/>
      <c r="AT660" s="345"/>
      <c r="AU660" s="300"/>
      <c r="AV660" s="313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315"/>
      <c r="AO661" s="258"/>
      <c r="AP661" s="346"/>
      <c r="AQ661" s="300"/>
      <c r="AR661" s="300"/>
      <c r="AS661" s="345"/>
      <c r="AT661" s="345"/>
      <c r="AU661" s="300"/>
      <c r="AV661" s="313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315"/>
      <c r="AO662" s="258"/>
      <c r="AP662" s="346"/>
      <c r="AQ662" s="300"/>
      <c r="AR662" s="300"/>
      <c r="AS662" s="345"/>
      <c r="AT662" s="345"/>
      <c r="AU662" s="300"/>
      <c r="AV662" s="313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315"/>
      <c r="AO663" s="258"/>
      <c r="AP663" s="346"/>
      <c r="AQ663" s="300"/>
      <c r="AR663" s="300"/>
      <c r="AS663" s="345"/>
      <c r="AT663" s="345"/>
      <c r="AU663" s="300"/>
      <c r="AV663" s="313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315"/>
      <c r="AO664" s="258"/>
      <c r="AP664" s="346"/>
      <c r="AQ664" s="300"/>
      <c r="AR664" s="300"/>
      <c r="AS664" s="345"/>
      <c r="AT664" s="345"/>
      <c r="AU664" s="300"/>
      <c r="AV664" s="313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315"/>
      <c r="AO665" s="258"/>
      <c r="AP665" s="346"/>
      <c r="AQ665" s="300"/>
      <c r="AR665" s="300"/>
      <c r="AS665" s="345"/>
      <c r="AT665" s="345"/>
      <c r="AU665" s="300"/>
      <c r="AV665" s="313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315"/>
      <c r="AO666" s="258"/>
      <c r="AP666" s="346"/>
      <c r="AQ666" s="300"/>
      <c r="AR666" s="300"/>
      <c r="AS666" s="345"/>
      <c r="AT666" s="345"/>
      <c r="AU666" s="300"/>
      <c r="AV666" s="313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315"/>
      <c r="AO667" s="258"/>
      <c r="AP667" s="346"/>
      <c r="AQ667" s="300"/>
      <c r="AR667" s="300"/>
      <c r="AS667" s="345"/>
      <c r="AT667" s="345"/>
      <c r="AU667" s="300"/>
      <c r="AV667" s="313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315"/>
      <c r="AO668" s="258"/>
      <c r="AP668" s="346"/>
      <c r="AQ668" s="300"/>
      <c r="AR668" s="300"/>
      <c r="AS668" s="345"/>
      <c r="AT668" s="345"/>
      <c r="AU668" s="300"/>
      <c r="AV668" s="313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315"/>
      <c r="AO669" s="258"/>
      <c r="AP669" s="346"/>
      <c r="AQ669" s="300"/>
      <c r="AR669" s="300"/>
      <c r="AS669" s="345"/>
      <c r="AT669" s="345"/>
      <c r="AU669" s="300"/>
      <c r="AV669" s="313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315"/>
      <c r="AO670" s="258"/>
      <c r="AP670" s="346"/>
      <c r="AQ670" s="300"/>
      <c r="AR670" s="300"/>
      <c r="AS670" s="345"/>
      <c r="AT670" s="345"/>
      <c r="AU670" s="300"/>
      <c r="AV670" s="313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315"/>
      <c r="AO671" s="258"/>
      <c r="AP671" s="346"/>
      <c r="AQ671" s="300"/>
      <c r="AR671" s="300"/>
      <c r="AS671" s="345"/>
      <c r="AT671" s="345"/>
      <c r="AU671" s="300"/>
      <c r="AV671" s="313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315"/>
      <c r="AO672" s="258"/>
      <c r="AP672" s="346"/>
      <c r="AQ672" s="300"/>
      <c r="AR672" s="300"/>
      <c r="AS672" s="345"/>
      <c r="AT672" s="345"/>
      <c r="AU672" s="300"/>
      <c r="AV672" s="313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315"/>
      <c r="AO673" s="258"/>
      <c r="AP673" s="346"/>
      <c r="AQ673" s="300"/>
      <c r="AR673" s="300"/>
      <c r="AS673" s="345"/>
      <c r="AT673" s="345"/>
      <c r="AU673" s="300"/>
      <c r="AV673" s="313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315"/>
      <c r="AO674" s="258"/>
      <c r="AP674" s="346"/>
      <c r="AQ674" s="300"/>
      <c r="AR674" s="300"/>
      <c r="AS674" s="345"/>
      <c r="AT674" s="345"/>
      <c r="AU674" s="300"/>
      <c r="AV674" s="313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315"/>
      <c r="AO675" s="258"/>
      <c r="AP675" s="346"/>
      <c r="AQ675" s="300"/>
      <c r="AR675" s="300"/>
      <c r="AS675" s="345"/>
      <c r="AT675" s="345"/>
      <c r="AU675" s="300"/>
      <c r="AV675" s="313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315"/>
      <c r="AO676" s="258"/>
      <c r="AP676" s="346"/>
      <c r="AQ676" s="300"/>
      <c r="AR676" s="300"/>
      <c r="AS676" s="345"/>
      <c r="AT676" s="345"/>
      <c r="AU676" s="300"/>
      <c r="AV676" s="313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315"/>
      <c r="AO677" s="258"/>
      <c r="AP677" s="346"/>
      <c r="AQ677" s="300"/>
      <c r="AR677" s="300"/>
      <c r="AS677" s="345"/>
      <c r="AT677" s="345"/>
      <c r="AU677" s="300"/>
      <c r="AV677" s="313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315"/>
      <c r="AO678" s="258"/>
      <c r="AP678" s="346"/>
      <c r="AQ678" s="300"/>
      <c r="AR678" s="300"/>
      <c r="AS678" s="345"/>
      <c r="AT678" s="345"/>
      <c r="AU678" s="300"/>
      <c r="AV678" s="313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315"/>
      <c r="AO679" s="258"/>
      <c r="AP679" s="346"/>
      <c r="AQ679" s="300"/>
      <c r="AR679" s="300"/>
      <c r="AS679" s="345"/>
      <c r="AT679" s="345"/>
      <c r="AU679" s="300"/>
      <c r="AV679" s="313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315"/>
      <c r="AO680" s="258"/>
      <c r="AP680" s="346"/>
      <c r="AQ680" s="300"/>
      <c r="AR680" s="300"/>
      <c r="AS680" s="345"/>
      <c r="AT680" s="345"/>
      <c r="AU680" s="300"/>
      <c r="AV680" s="313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315"/>
      <c r="AO681" s="258"/>
      <c r="AP681" s="346"/>
      <c r="AQ681" s="300"/>
      <c r="AR681" s="300"/>
      <c r="AS681" s="345"/>
      <c r="AT681" s="345"/>
      <c r="AU681" s="300"/>
      <c r="AV681" s="313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315"/>
      <c r="AO682" s="258"/>
      <c r="AP682" s="346"/>
      <c r="AQ682" s="300"/>
      <c r="AR682" s="300"/>
      <c r="AS682" s="345"/>
      <c r="AT682" s="345"/>
      <c r="AU682" s="300"/>
      <c r="AV682" s="313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315"/>
      <c r="AO683" s="258"/>
      <c r="AP683" s="346"/>
      <c r="AQ683" s="300"/>
      <c r="AR683" s="300"/>
      <c r="AS683" s="345"/>
      <c r="AT683" s="345"/>
      <c r="AU683" s="300"/>
      <c r="AV683" s="313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315"/>
      <c r="AO684" s="258"/>
      <c r="AP684" s="346"/>
      <c r="AQ684" s="300"/>
      <c r="AR684" s="300"/>
      <c r="AS684" s="345"/>
      <c r="AT684" s="345"/>
      <c r="AU684" s="300"/>
      <c r="AV684" s="313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315"/>
      <c r="AO685" s="258"/>
      <c r="AP685" s="346"/>
      <c r="AQ685" s="300"/>
      <c r="AR685" s="300"/>
      <c r="AS685" s="345"/>
      <c r="AT685" s="345"/>
      <c r="AU685" s="300"/>
      <c r="AV685" s="313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315"/>
      <c r="AO686" s="258"/>
      <c r="AP686" s="346"/>
      <c r="AQ686" s="300"/>
      <c r="AR686" s="300"/>
      <c r="AS686" s="345"/>
      <c r="AT686" s="345"/>
      <c r="AU686" s="300"/>
      <c r="AV686" s="313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315"/>
      <c r="AO687" s="258"/>
      <c r="AP687" s="346"/>
      <c r="AQ687" s="300"/>
      <c r="AR687" s="300"/>
      <c r="AS687" s="345"/>
      <c r="AT687" s="345"/>
      <c r="AU687" s="300"/>
      <c r="AV687" s="313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315"/>
      <c r="AO688" s="258"/>
      <c r="AP688" s="346"/>
      <c r="AQ688" s="300"/>
      <c r="AR688" s="300"/>
      <c r="AS688" s="345"/>
      <c r="AT688" s="345"/>
      <c r="AU688" s="300"/>
      <c r="AV688" s="313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315"/>
      <c r="AO689" s="258"/>
      <c r="AP689" s="346"/>
      <c r="AQ689" s="300"/>
      <c r="AR689" s="300"/>
      <c r="AS689" s="345"/>
      <c r="AT689" s="345"/>
      <c r="AU689" s="300"/>
      <c r="AV689" s="313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315"/>
      <c r="AO690" s="258"/>
      <c r="AP690" s="346"/>
      <c r="AQ690" s="300"/>
      <c r="AR690" s="300"/>
      <c r="AS690" s="345"/>
      <c r="AT690" s="345"/>
      <c r="AU690" s="300"/>
      <c r="AV690" s="313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315"/>
      <c r="AO691" s="258"/>
      <c r="AP691" s="346"/>
      <c r="AQ691" s="300"/>
      <c r="AR691" s="300"/>
      <c r="AS691" s="345"/>
      <c r="AT691" s="345"/>
      <c r="AU691" s="300"/>
      <c r="AV691" s="313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315"/>
      <c r="AO692" s="258"/>
      <c r="AP692" s="346"/>
      <c r="AQ692" s="300"/>
      <c r="AR692" s="300"/>
      <c r="AS692" s="345"/>
      <c r="AT692" s="345"/>
      <c r="AU692" s="300"/>
      <c r="AV692" s="313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315"/>
      <c r="AO693" s="258"/>
      <c r="AP693" s="346"/>
      <c r="AQ693" s="300"/>
      <c r="AR693" s="300"/>
      <c r="AS693" s="345"/>
      <c r="AT693" s="345"/>
      <c r="AU693" s="300"/>
      <c r="AV693" s="313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315"/>
      <c r="AO694" s="258"/>
      <c r="AP694" s="346"/>
      <c r="AQ694" s="300"/>
      <c r="AR694" s="300"/>
      <c r="AS694" s="345"/>
      <c r="AT694" s="345"/>
      <c r="AU694" s="300"/>
      <c r="AV694" s="313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315"/>
      <c r="AO695" s="258"/>
      <c r="AP695" s="346"/>
      <c r="AQ695" s="300"/>
      <c r="AR695" s="300"/>
      <c r="AS695" s="345"/>
      <c r="AT695" s="345"/>
      <c r="AU695" s="300"/>
      <c r="AV695" s="313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315"/>
      <c r="AO696" s="258"/>
      <c r="AP696" s="346"/>
      <c r="AQ696" s="300"/>
      <c r="AR696" s="300"/>
      <c r="AS696" s="345"/>
      <c r="AT696" s="345"/>
      <c r="AU696" s="300"/>
      <c r="AV696" s="313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315"/>
      <c r="AO697" s="258"/>
      <c r="AP697" s="346"/>
      <c r="AQ697" s="300"/>
      <c r="AR697" s="300"/>
      <c r="AS697" s="345"/>
      <c r="AT697" s="345"/>
      <c r="AU697" s="300"/>
      <c r="AV697" s="313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315"/>
      <c r="AO698" s="258"/>
      <c r="AP698" s="346"/>
      <c r="AQ698" s="300"/>
      <c r="AR698" s="300"/>
      <c r="AS698" s="345"/>
      <c r="AT698" s="345"/>
      <c r="AU698" s="300"/>
      <c r="AV698" s="313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315"/>
      <c r="AO699" s="258"/>
      <c r="AP699" s="346"/>
      <c r="AQ699" s="300"/>
      <c r="AR699" s="300"/>
      <c r="AS699" s="345"/>
      <c r="AT699" s="345"/>
      <c r="AU699" s="300"/>
      <c r="AV699" s="313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315"/>
      <c r="AO700" s="258"/>
      <c r="AP700" s="346"/>
      <c r="AQ700" s="300"/>
      <c r="AR700" s="300"/>
      <c r="AS700" s="345"/>
      <c r="AT700" s="345"/>
      <c r="AU700" s="300"/>
      <c r="AV700" s="313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315"/>
      <c r="AO701" s="258"/>
      <c r="AP701" s="346"/>
      <c r="AQ701" s="300"/>
      <c r="AR701" s="300"/>
      <c r="AS701" s="345"/>
      <c r="AT701" s="345"/>
      <c r="AU701" s="300"/>
      <c r="AV701" s="313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315"/>
      <c r="AO702" s="258"/>
      <c r="AP702" s="346"/>
      <c r="AQ702" s="300"/>
      <c r="AR702" s="300"/>
      <c r="AS702" s="345"/>
      <c r="AT702" s="345"/>
      <c r="AU702" s="300"/>
      <c r="AV702" s="313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315"/>
      <c r="AO703" s="258"/>
      <c r="AP703" s="346"/>
      <c r="AQ703" s="300"/>
      <c r="AR703" s="300"/>
      <c r="AS703" s="345"/>
      <c r="AT703" s="345"/>
      <c r="AU703" s="300"/>
      <c r="AV703" s="313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315"/>
      <c r="AO704" s="258"/>
      <c r="AP704" s="346"/>
      <c r="AQ704" s="300"/>
      <c r="AR704" s="300"/>
      <c r="AS704" s="345"/>
      <c r="AT704" s="345"/>
      <c r="AU704" s="300"/>
      <c r="AV704" s="313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315"/>
      <c r="AO705" s="258"/>
      <c r="AP705" s="346"/>
      <c r="AQ705" s="300"/>
      <c r="AR705" s="300"/>
      <c r="AS705" s="345"/>
      <c r="AT705" s="345"/>
      <c r="AU705" s="300"/>
      <c r="AV705" s="313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315"/>
      <c r="AO706" s="258"/>
      <c r="AP706" s="346"/>
      <c r="AQ706" s="300"/>
      <c r="AR706" s="300"/>
      <c r="AS706" s="345"/>
      <c r="AT706" s="345"/>
      <c r="AU706" s="300"/>
      <c r="AV706" s="313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315"/>
      <c r="AO707" s="258"/>
      <c r="AP707" s="346"/>
      <c r="AQ707" s="300"/>
      <c r="AR707" s="300"/>
      <c r="AS707" s="345"/>
      <c r="AT707" s="345"/>
      <c r="AU707" s="300"/>
      <c r="AV707" s="313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315"/>
      <c r="AO708" s="258"/>
      <c r="AP708" s="346"/>
      <c r="AQ708" s="300"/>
      <c r="AR708" s="300"/>
      <c r="AS708" s="345"/>
      <c r="AT708" s="345"/>
      <c r="AU708" s="300"/>
      <c r="AV708" s="313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315"/>
      <c r="AO709" s="258"/>
      <c r="AP709" s="346"/>
      <c r="AQ709" s="300"/>
      <c r="AR709" s="300"/>
      <c r="AS709" s="345"/>
      <c r="AT709" s="345"/>
      <c r="AU709" s="300"/>
      <c r="AV709" s="313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315"/>
      <c r="AO710" s="258"/>
      <c r="AP710" s="346"/>
      <c r="AQ710" s="300"/>
      <c r="AR710" s="300"/>
      <c r="AS710" s="345"/>
      <c r="AT710" s="345"/>
      <c r="AU710" s="300"/>
      <c r="AV710" s="313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315"/>
      <c r="AO711" s="258"/>
      <c r="AP711" s="346"/>
      <c r="AQ711" s="300"/>
      <c r="AR711" s="300"/>
      <c r="AS711" s="345"/>
      <c r="AT711" s="345"/>
      <c r="AU711" s="300"/>
      <c r="AV711" s="313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315"/>
      <c r="AO712" s="258"/>
      <c r="AP712" s="346"/>
      <c r="AQ712" s="300"/>
      <c r="AR712" s="300"/>
      <c r="AS712" s="345"/>
      <c r="AT712" s="345"/>
      <c r="AU712" s="300"/>
      <c r="AV712" s="313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315"/>
      <c r="AO713" s="258"/>
      <c r="AP713" s="346"/>
      <c r="AQ713" s="300"/>
      <c r="AR713" s="300"/>
      <c r="AS713" s="345"/>
      <c r="AT713" s="345"/>
      <c r="AU713" s="300"/>
      <c r="AV713" s="313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315"/>
      <c r="AO714" s="258"/>
      <c r="AP714" s="346"/>
      <c r="AQ714" s="300"/>
      <c r="AR714" s="300"/>
      <c r="AS714" s="345"/>
      <c r="AT714" s="345"/>
      <c r="AU714" s="300"/>
      <c r="AV714" s="313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315"/>
      <c r="AO715" s="258"/>
      <c r="AP715" s="346"/>
      <c r="AQ715" s="300"/>
      <c r="AR715" s="300"/>
      <c r="AS715" s="345"/>
      <c r="AT715" s="345"/>
      <c r="AU715" s="300"/>
      <c r="AV715" s="313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315"/>
      <c r="AO716" s="258"/>
      <c r="AP716" s="346"/>
      <c r="AQ716" s="300"/>
      <c r="AR716" s="300"/>
      <c r="AS716" s="345"/>
      <c r="AT716" s="345"/>
      <c r="AU716" s="300"/>
      <c r="AV716" s="313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315"/>
      <c r="AO717" s="258"/>
      <c r="AP717" s="346"/>
      <c r="AQ717" s="300"/>
      <c r="AR717" s="300"/>
      <c r="AS717" s="345"/>
      <c r="AT717" s="345"/>
      <c r="AU717" s="300"/>
      <c r="AV717" s="313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315"/>
      <c r="AO718" s="258"/>
      <c r="AP718" s="346"/>
      <c r="AQ718" s="300"/>
      <c r="AR718" s="300"/>
      <c r="AS718" s="345"/>
      <c r="AT718" s="345"/>
      <c r="AU718" s="300"/>
      <c r="AV718" s="313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315"/>
      <c r="AO719" s="258"/>
      <c r="AP719" s="346"/>
      <c r="AQ719" s="300"/>
      <c r="AR719" s="300"/>
      <c r="AS719" s="345"/>
      <c r="AT719" s="345"/>
      <c r="AU719" s="300"/>
      <c r="AV719" s="313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315"/>
      <c r="AO720" s="258"/>
      <c r="AP720" s="346"/>
      <c r="AQ720" s="300"/>
      <c r="AR720" s="300"/>
      <c r="AS720" s="345"/>
      <c r="AT720" s="345"/>
      <c r="AU720" s="300"/>
      <c r="AV720" s="313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315"/>
      <c r="AO721" s="258"/>
      <c r="AP721" s="346"/>
      <c r="AQ721" s="300"/>
      <c r="AR721" s="300"/>
      <c r="AS721" s="345"/>
      <c r="AT721" s="345"/>
      <c r="AU721" s="300"/>
      <c r="AV721" s="313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315"/>
      <c r="AO722" s="258"/>
      <c r="AP722" s="346"/>
      <c r="AQ722" s="300"/>
      <c r="AR722" s="300"/>
      <c r="AS722" s="345"/>
      <c r="AT722" s="345"/>
      <c r="AU722" s="300"/>
      <c r="AV722" s="313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315"/>
      <c r="AO723" s="258"/>
      <c r="AP723" s="346"/>
      <c r="AQ723" s="300"/>
      <c r="AR723" s="300"/>
      <c r="AS723" s="345"/>
      <c r="AT723" s="345"/>
      <c r="AU723" s="300"/>
      <c r="AV723" s="313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315"/>
      <c r="AO724" s="258"/>
      <c r="AP724" s="346"/>
      <c r="AQ724" s="300"/>
      <c r="AR724" s="300"/>
      <c r="AS724" s="345"/>
      <c r="AT724" s="345"/>
      <c r="AU724" s="300"/>
      <c r="AV724" s="313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315"/>
      <c r="AO725" s="258"/>
      <c r="AP725" s="346"/>
      <c r="AQ725" s="300"/>
      <c r="AR725" s="300"/>
      <c r="AS725" s="345"/>
      <c r="AT725" s="345"/>
      <c r="AU725" s="300"/>
      <c r="AV725" s="313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315"/>
      <c r="AO726" s="258"/>
      <c r="AP726" s="346"/>
      <c r="AQ726" s="300"/>
      <c r="AR726" s="300"/>
      <c r="AS726" s="345"/>
      <c r="AT726" s="345"/>
      <c r="AU726" s="300"/>
      <c r="AV726" s="313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315"/>
      <c r="AO727" s="258"/>
      <c r="AP727" s="346"/>
      <c r="AQ727" s="300"/>
      <c r="AR727" s="300"/>
      <c r="AS727" s="345"/>
      <c r="AT727" s="345"/>
      <c r="AU727" s="300"/>
      <c r="AV727" s="313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315"/>
      <c r="AO728" s="258"/>
      <c r="AP728" s="346"/>
      <c r="AQ728" s="300"/>
      <c r="AR728" s="300"/>
      <c r="AS728" s="345"/>
      <c r="AT728" s="345"/>
      <c r="AU728" s="300"/>
      <c r="AV728" s="313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315"/>
      <c r="AO729" s="258"/>
      <c r="AP729" s="346"/>
      <c r="AQ729" s="300"/>
      <c r="AR729" s="300"/>
      <c r="AS729" s="345"/>
      <c r="AT729" s="345"/>
      <c r="AU729" s="300"/>
      <c r="AV729" s="313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315"/>
      <c r="AO730" s="258"/>
      <c r="AP730" s="346"/>
      <c r="AQ730" s="300"/>
      <c r="AR730" s="300"/>
      <c r="AS730" s="345"/>
      <c r="AT730" s="345"/>
      <c r="AU730" s="300"/>
      <c r="AV730" s="313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315"/>
      <c r="AO731" s="258"/>
      <c r="AP731" s="346"/>
      <c r="AQ731" s="300"/>
      <c r="AR731" s="300"/>
      <c r="AS731" s="345"/>
      <c r="AT731" s="345"/>
      <c r="AU731" s="300"/>
      <c r="AV731" s="313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315"/>
      <c r="AO732" s="258"/>
      <c r="AP732" s="346"/>
      <c r="AQ732" s="300"/>
      <c r="AR732" s="300"/>
      <c r="AS732" s="345"/>
      <c r="AT732" s="345"/>
      <c r="AU732" s="300"/>
      <c r="AV732" s="313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315"/>
      <c r="AO733" s="258"/>
      <c r="AP733" s="346"/>
      <c r="AQ733" s="300"/>
      <c r="AR733" s="300"/>
      <c r="AS733" s="345"/>
      <c r="AT733" s="345"/>
      <c r="AU733" s="300"/>
      <c r="AV733" s="313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315"/>
      <c r="AO734" s="258"/>
      <c r="AP734" s="346"/>
      <c r="AQ734" s="300"/>
      <c r="AR734" s="300"/>
      <c r="AS734" s="345"/>
      <c r="AT734" s="345"/>
      <c r="AU734" s="300"/>
      <c r="AV734" s="313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315"/>
      <c r="AO735" s="258"/>
      <c r="AP735" s="346"/>
      <c r="AQ735" s="300"/>
      <c r="AR735" s="300"/>
      <c r="AS735" s="345"/>
      <c r="AT735" s="345"/>
      <c r="AU735" s="300"/>
      <c r="AV735" s="313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315"/>
      <c r="AO736" s="258"/>
      <c r="AP736" s="346"/>
      <c r="AQ736" s="300"/>
      <c r="AR736" s="300"/>
      <c r="AS736" s="345"/>
      <c r="AT736" s="345"/>
      <c r="AU736" s="300"/>
      <c r="AV736" s="313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315"/>
      <c r="AO737" s="258"/>
      <c r="AP737" s="346"/>
      <c r="AQ737" s="300"/>
      <c r="AR737" s="300"/>
      <c r="AS737" s="345"/>
      <c r="AT737" s="345"/>
      <c r="AU737" s="300"/>
      <c r="AV737" s="313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315"/>
      <c r="AO738" s="258"/>
      <c r="AP738" s="346"/>
      <c r="AQ738" s="300"/>
      <c r="AR738" s="300"/>
      <c r="AS738" s="345"/>
      <c r="AT738" s="345"/>
      <c r="AU738" s="300"/>
      <c r="AV738" s="313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315"/>
      <c r="AO739" s="258"/>
      <c r="AP739" s="346"/>
      <c r="AQ739" s="300"/>
      <c r="AR739" s="300"/>
      <c r="AS739" s="345"/>
      <c r="AT739" s="345"/>
      <c r="AU739" s="300"/>
      <c r="AV739" s="313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315"/>
      <c r="AO740" s="258"/>
      <c r="AP740" s="346"/>
      <c r="AQ740" s="300"/>
      <c r="AR740" s="300"/>
      <c r="AS740" s="345"/>
      <c r="AT740" s="345"/>
      <c r="AU740" s="300"/>
      <c r="AV740" s="313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315"/>
      <c r="AO741" s="258"/>
      <c r="AP741" s="346"/>
      <c r="AQ741" s="300"/>
      <c r="AR741" s="300"/>
      <c r="AS741" s="345"/>
      <c r="AT741" s="345"/>
      <c r="AU741" s="300"/>
      <c r="AV741" s="313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315"/>
      <c r="AO742" s="258"/>
      <c r="AP742" s="346"/>
      <c r="AQ742" s="300"/>
      <c r="AR742" s="300"/>
      <c r="AS742" s="345"/>
      <c r="AT742" s="345"/>
      <c r="AU742" s="300"/>
      <c r="AV742" s="313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315"/>
      <c r="AO743" s="258"/>
      <c r="AP743" s="346"/>
      <c r="AQ743" s="300"/>
      <c r="AR743" s="300"/>
      <c r="AS743" s="345"/>
      <c r="AT743" s="345"/>
      <c r="AU743" s="300"/>
      <c r="AV743" s="313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315"/>
      <c r="AO744" s="258"/>
      <c r="AP744" s="346"/>
      <c r="AQ744" s="300"/>
      <c r="AR744" s="300"/>
      <c r="AS744" s="345"/>
      <c r="AT744" s="345"/>
      <c r="AU744" s="300"/>
      <c r="AV744" s="313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315"/>
      <c r="AO745" s="258"/>
      <c r="AP745" s="346"/>
      <c r="AQ745" s="300"/>
      <c r="AR745" s="300"/>
      <c r="AS745" s="345"/>
      <c r="AT745" s="345"/>
      <c r="AU745" s="300"/>
      <c r="AV745" s="313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315"/>
      <c r="AO746" s="258"/>
      <c r="AP746" s="346"/>
      <c r="AQ746" s="300"/>
      <c r="AR746" s="300"/>
      <c r="AS746" s="345"/>
      <c r="AT746" s="345"/>
      <c r="AU746" s="300"/>
      <c r="AV746" s="313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315"/>
      <c r="AO747" s="258"/>
      <c r="AP747" s="346"/>
      <c r="AQ747" s="300"/>
      <c r="AR747" s="300"/>
      <c r="AS747" s="345"/>
      <c r="AT747" s="345"/>
      <c r="AU747" s="300"/>
      <c r="AV747" s="313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315"/>
      <c r="AO748" s="258"/>
      <c r="AP748" s="346"/>
      <c r="AQ748" s="300"/>
      <c r="AR748" s="300"/>
      <c r="AS748" s="345"/>
      <c r="AT748" s="345"/>
      <c r="AU748" s="300"/>
      <c r="AV748" s="313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315"/>
      <c r="AO749" s="258"/>
      <c r="AP749" s="346"/>
      <c r="AQ749" s="300"/>
      <c r="AR749" s="300"/>
      <c r="AS749" s="345"/>
      <c r="AT749" s="345"/>
      <c r="AU749" s="300"/>
      <c r="AV749" s="313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315"/>
      <c r="AO750" s="258"/>
      <c r="AP750" s="346"/>
      <c r="AQ750" s="300"/>
      <c r="AR750" s="300"/>
      <c r="AS750" s="345"/>
      <c r="AT750" s="345"/>
      <c r="AU750" s="300"/>
      <c r="AV750" s="313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315"/>
      <c r="AO751" s="258"/>
      <c r="AP751" s="346"/>
      <c r="AQ751" s="300"/>
      <c r="AR751" s="300"/>
      <c r="AS751" s="345"/>
      <c r="AT751" s="345"/>
      <c r="AU751" s="300"/>
      <c r="AV751" s="313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315"/>
      <c r="AO752" s="258"/>
      <c r="AP752" s="346"/>
      <c r="AQ752" s="300"/>
      <c r="AR752" s="300"/>
      <c r="AS752" s="345"/>
      <c r="AT752" s="345"/>
      <c r="AU752" s="300"/>
      <c r="AV752" s="313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315"/>
      <c r="AO753" s="258"/>
      <c r="AP753" s="346"/>
      <c r="AQ753" s="300"/>
      <c r="AR753" s="300"/>
      <c r="AS753" s="345"/>
      <c r="AT753" s="345"/>
      <c r="AU753" s="300"/>
      <c r="AV753" s="313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315"/>
      <c r="AO754" s="258"/>
      <c r="AP754" s="346"/>
      <c r="AQ754" s="300"/>
      <c r="AR754" s="300"/>
      <c r="AS754" s="345"/>
      <c r="AT754" s="345"/>
      <c r="AU754" s="300"/>
      <c r="AV754" s="313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315"/>
      <c r="AO755" s="258"/>
      <c r="AP755" s="346"/>
      <c r="AQ755" s="300"/>
      <c r="AR755" s="300"/>
      <c r="AS755" s="345"/>
      <c r="AT755" s="345"/>
      <c r="AU755" s="300"/>
      <c r="AV755" s="313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315"/>
      <c r="AO756" s="258"/>
      <c r="AP756" s="346"/>
      <c r="AQ756" s="300"/>
      <c r="AR756" s="300"/>
      <c r="AS756" s="345"/>
      <c r="AT756" s="345"/>
      <c r="AU756" s="300"/>
      <c r="AV756" s="313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315"/>
      <c r="AO757" s="258"/>
      <c r="AP757" s="346"/>
      <c r="AQ757" s="300"/>
      <c r="AR757" s="300"/>
      <c r="AS757" s="345"/>
      <c r="AT757" s="345"/>
      <c r="AU757" s="300"/>
      <c r="AV757" s="313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315"/>
      <c r="AO758" s="258"/>
      <c r="AP758" s="346"/>
      <c r="AQ758" s="300"/>
      <c r="AR758" s="300"/>
      <c r="AS758" s="345"/>
      <c r="AT758" s="345"/>
      <c r="AU758" s="300"/>
      <c r="AV758" s="313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315"/>
      <c r="AO759" s="258"/>
      <c r="AP759" s="346"/>
      <c r="AQ759" s="300"/>
      <c r="AR759" s="300"/>
      <c r="AS759" s="345"/>
      <c r="AT759" s="345"/>
      <c r="AU759" s="300"/>
      <c r="AV759" s="313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315"/>
      <c r="AO760" s="258"/>
      <c r="AP760" s="346"/>
      <c r="AQ760" s="300"/>
      <c r="AR760" s="300"/>
      <c r="AS760" s="345"/>
      <c r="AT760" s="345"/>
      <c r="AU760" s="300"/>
      <c r="AV760" s="313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315"/>
      <c r="AO761" s="258"/>
      <c r="AP761" s="346"/>
      <c r="AQ761" s="300"/>
      <c r="AR761" s="300"/>
      <c r="AS761" s="345"/>
      <c r="AT761" s="345"/>
      <c r="AU761" s="300"/>
      <c r="AV761" s="313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315"/>
      <c r="AO762" s="258"/>
      <c r="AP762" s="346"/>
      <c r="AQ762" s="300"/>
      <c r="AR762" s="300"/>
      <c r="AS762" s="345"/>
      <c r="AT762" s="345"/>
      <c r="AU762" s="300"/>
      <c r="AV762" s="313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315"/>
      <c r="AO763" s="258"/>
      <c r="AP763" s="346"/>
      <c r="AQ763" s="300"/>
      <c r="AR763" s="300"/>
      <c r="AS763" s="345"/>
      <c r="AT763" s="345"/>
      <c r="AU763" s="300"/>
      <c r="AV763" s="313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315"/>
      <c r="AO764" s="258"/>
      <c r="AP764" s="346"/>
      <c r="AQ764" s="300"/>
      <c r="AR764" s="300"/>
      <c r="AS764" s="345"/>
      <c r="AT764" s="345"/>
      <c r="AU764" s="300"/>
      <c r="AV764" s="313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315"/>
      <c r="AO765" s="258"/>
      <c r="AP765" s="346"/>
      <c r="AQ765" s="300"/>
      <c r="AR765" s="300"/>
      <c r="AS765" s="345"/>
      <c r="AT765" s="345"/>
      <c r="AU765" s="300"/>
      <c r="AV765" s="313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315"/>
      <c r="AO766" s="258"/>
      <c r="AP766" s="346"/>
      <c r="AQ766" s="300"/>
      <c r="AR766" s="300"/>
      <c r="AS766" s="345"/>
      <c r="AT766" s="345"/>
      <c r="AU766" s="300"/>
      <c r="AV766" s="313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315"/>
      <c r="AO767" s="258"/>
      <c r="AP767" s="346"/>
      <c r="AQ767" s="300"/>
      <c r="AR767" s="300"/>
      <c r="AS767" s="345"/>
      <c r="AT767" s="345"/>
      <c r="AU767" s="300"/>
      <c r="AV767" s="313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315"/>
      <c r="AO768" s="258"/>
      <c r="AP768" s="346"/>
      <c r="AQ768" s="300"/>
      <c r="AR768" s="300"/>
      <c r="AS768" s="345"/>
      <c r="AT768" s="345"/>
      <c r="AU768" s="300"/>
      <c r="AV768" s="313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315"/>
      <c r="AO769" s="258"/>
      <c r="AP769" s="346"/>
      <c r="AQ769" s="300"/>
      <c r="AR769" s="300"/>
      <c r="AS769" s="345"/>
      <c r="AT769" s="345"/>
      <c r="AU769" s="300"/>
      <c r="AV769" s="313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315"/>
      <c r="AO770" s="258"/>
      <c r="AP770" s="346"/>
      <c r="AQ770" s="300"/>
      <c r="AR770" s="300"/>
      <c r="AS770" s="345"/>
      <c r="AT770" s="345"/>
      <c r="AU770" s="300"/>
      <c r="AV770" s="313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315"/>
      <c r="AO771" s="258"/>
      <c r="AP771" s="346"/>
      <c r="AQ771" s="300"/>
      <c r="AR771" s="300"/>
      <c r="AS771" s="345"/>
      <c r="AT771" s="345"/>
      <c r="AU771" s="300"/>
      <c r="AV771" s="313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315"/>
      <c r="AO772" s="258"/>
      <c r="AP772" s="346"/>
      <c r="AQ772" s="300"/>
      <c r="AR772" s="300"/>
      <c r="AS772" s="345"/>
      <c r="AT772" s="345"/>
      <c r="AU772" s="300"/>
      <c r="AV772" s="313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315"/>
      <c r="AO773" s="258"/>
      <c r="AP773" s="346"/>
      <c r="AQ773" s="300"/>
      <c r="AR773" s="300"/>
      <c r="AS773" s="345"/>
      <c r="AT773" s="345"/>
      <c r="AU773" s="300"/>
      <c r="AV773" s="313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315"/>
      <c r="AO774" s="258"/>
      <c r="AP774" s="346"/>
      <c r="AQ774" s="300"/>
      <c r="AR774" s="300"/>
      <c r="AS774" s="345"/>
      <c r="AT774" s="345"/>
      <c r="AU774" s="300"/>
      <c r="AV774" s="313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315"/>
      <c r="AO775" s="258"/>
      <c r="AP775" s="346"/>
      <c r="AQ775" s="300"/>
      <c r="AR775" s="300"/>
      <c r="AS775" s="345"/>
      <c r="AT775" s="345"/>
      <c r="AU775" s="300"/>
      <c r="AV775" s="313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315"/>
      <c r="AO776" s="258"/>
      <c r="AP776" s="346"/>
      <c r="AQ776" s="300"/>
      <c r="AR776" s="300"/>
      <c r="AS776" s="345"/>
      <c r="AT776" s="345"/>
      <c r="AU776" s="300"/>
      <c r="AV776" s="313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315"/>
      <c r="AO777" s="258"/>
      <c r="AP777" s="346"/>
      <c r="AQ777" s="300"/>
      <c r="AR777" s="300"/>
      <c r="AS777" s="345"/>
      <c r="AT777" s="345"/>
      <c r="AU777" s="300"/>
      <c r="AV777" s="313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315"/>
      <c r="AO778" s="258"/>
      <c r="AP778" s="346"/>
      <c r="AQ778" s="300"/>
      <c r="AR778" s="300"/>
      <c r="AS778" s="345"/>
      <c r="AT778" s="345"/>
      <c r="AU778" s="300"/>
      <c r="AV778" s="313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315"/>
      <c r="AO779" s="258"/>
      <c r="AP779" s="346"/>
      <c r="AQ779" s="300"/>
      <c r="AR779" s="300"/>
      <c r="AS779" s="345"/>
      <c r="AT779" s="345"/>
      <c r="AU779" s="300"/>
      <c r="AV779" s="313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315"/>
      <c r="AO780" s="258"/>
      <c r="AP780" s="346"/>
      <c r="AQ780" s="300"/>
      <c r="AR780" s="300"/>
      <c r="AS780" s="345"/>
      <c r="AT780" s="345"/>
      <c r="AU780" s="300"/>
      <c r="AV780" s="313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315"/>
      <c r="AO781" s="258"/>
      <c r="AP781" s="346"/>
      <c r="AQ781" s="300"/>
      <c r="AR781" s="300"/>
      <c r="AS781" s="345"/>
      <c r="AT781" s="345"/>
      <c r="AU781" s="300"/>
      <c r="AV781" s="313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315"/>
      <c r="AO782" s="258"/>
      <c r="AP782" s="346"/>
      <c r="AQ782" s="300"/>
      <c r="AR782" s="300"/>
      <c r="AS782" s="345"/>
      <c r="AT782" s="345"/>
      <c r="AU782" s="300"/>
      <c r="AV782" s="313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315"/>
      <c r="AO783" s="258"/>
      <c r="AP783" s="346"/>
      <c r="AQ783" s="300"/>
      <c r="AR783" s="300"/>
      <c r="AS783" s="345"/>
      <c r="AT783" s="345"/>
      <c r="AU783" s="300"/>
      <c r="AV783" s="313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315"/>
      <c r="AO784" s="258"/>
      <c r="AP784" s="346"/>
      <c r="AQ784" s="300"/>
      <c r="AR784" s="300"/>
      <c r="AS784" s="345"/>
      <c r="AT784" s="345"/>
      <c r="AU784" s="300"/>
      <c r="AV784" s="313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315"/>
      <c r="AO785" s="258"/>
      <c r="AP785" s="346"/>
      <c r="AQ785" s="300"/>
      <c r="AR785" s="300"/>
      <c r="AS785" s="345"/>
      <c r="AT785" s="345"/>
      <c r="AU785" s="300"/>
      <c r="AV785" s="313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315"/>
      <c r="AO786" s="258"/>
      <c r="AP786" s="346"/>
      <c r="AQ786" s="300"/>
      <c r="AR786" s="300"/>
      <c r="AS786" s="345"/>
      <c r="AT786" s="345"/>
      <c r="AU786" s="300"/>
      <c r="AV786" s="313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315"/>
      <c r="AO787" s="258"/>
      <c r="AP787" s="346"/>
      <c r="AQ787" s="300"/>
      <c r="AR787" s="300"/>
      <c r="AS787" s="345"/>
      <c r="AT787" s="345"/>
      <c r="AU787" s="300"/>
      <c r="AV787" s="313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315"/>
      <c r="AO788" s="258"/>
      <c r="AP788" s="346"/>
      <c r="AQ788" s="300"/>
      <c r="AR788" s="300"/>
      <c r="AS788" s="345"/>
      <c r="AT788" s="345"/>
      <c r="AU788" s="300"/>
      <c r="AV788" s="313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315"/>
      <c r="AO789" s="258"/>
      <c r="AP789" s="346"/>
      <c r="AQ789" s="300"/>
      <c r="AR789" s="300"/>
      <c r="AS789" s="345"/>
      <c r="AT789" s="345"/>
      <c r="AU789" s="300"/>
      <c r="AV789" s="313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315"/>
      <c r="AO790" s="258"/>
      <c r="AP790" s="346"/>
      <c r="AQ790" s="300"/>
      <c r="AR790" s="300"/>
      <c r="AS790" s="345"/>
      <c r="AT790" s="345"/>
      <c r="AU790" s="300"/>
      <c r="AV790" s="313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315"/>
      <c r="AO791" s="258"/>
      <c r="AP791" s="346"/>
      <c r="AQ791" s="300"/>
      <c r="AR791" s="300"/>
      <c r="AS791" s="345"/>
      <c r="AT791" s="345"/>
      <c r="AU791" s="300"/>
      <c r="AV791" s="313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315"/>
      <c r="AO792" s="258"/>
      <c r="AP792" s="346"/>
      <c r="AQ792" s="300"/>
      <c r="AR792" s="300"/>
      <c r="AS792" s="345"/>
      <c r="AT792" s="345"/>
      <c r="AU792" s="300"/>
      <c r="AV792" s="313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315"/>
      <c r="AO793" s="258"/>
      <c r="AP793" s="346"/>
      <c r="AQ793" s="300"/>
      <c r="AR793" s="300"/>
      <c r="AS793" s="345"/>
      <c r="AT793" s="345"/>
      <c r="AU793" s="300"/>
      <c r="AV793" s="313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315"/>
      <c r="AO794" s="258"/>
      <c r="AP794" s="346"/>
      <c r="AQ794" s="300"/>
      <c r="AR794" s="300"/>
      <c r="AS794" s="345"/>
      <c r="AT794" s="345"/>
      <c r="AU794" s="300"/>
      <c r="AV794" s="313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315"/>
      <c r="AO795" s="258"/>
      <c r="AP795" s="346"/>
      <c r="AQ795" s="300"/>
      <c r="AR795" s="300"/>
      <c r="AS795" s="345"/>
      <c r="AT795" s="345"/>
      <c r="AU795" s="300"/>
      <c r="AV795" s="313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315"/>
      <c r="AO796" s="258"/>
      <c r="AP796" s="346"/>
      <c r="AQ796" s="300"/>
      <c r="AR796" s="300"/>
      <c r="AS796" s="345"/>
      <c r="AT796" s="345"/>
      <c r="AU796" s="300"/>
      <c r="AV796" s="313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315"/>
      <c r="AO797" s="258"/>
      <c r="AP797" s="346"/>
      <c r="AQ797" s="300"/>
      <c r="AR797" s="300"/>
      <c r="AS797" s="345"/>
      <c r="AT797" s="345"/>
      <c r="AU797" s="300"/>
      <c r="AV797" s="313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315"/>
      <c r="AO798" s="258"/>
      <c r="AP798" s="346"/>
      <c r="AQ798" s="300"/>
      <c r="AR798" s="300"/>
      <c r="AS798" s="345"/>
      <c r="AT798" s="345"/>
      <c r="AU798" s="300"/>
      <c r="AV798" s="313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315"/>
      <c r="AO799" s="258"/>
      <c r="AP799" s="346"/>
      <c r="AQ799" s="300"/>
      <c r="AR799" s="300"/>
      <c r="AS799" s="345"/>
      <c r="AT799" s="345"/>
      <c r="AU799" s="300"/>
      <c r="AV799" s="313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315"/>
      <c r="AO800" s="258"/>
      <c r="AP800" s="346"/>
      <c r="AQ800" s="300"/>
      <c r="AR800" s="300"/>
      <c r="AS800" s="345"/>
      <c r="AT800" s="345"/>
      <c r="AU800" s="300"/>
      <c r="AV800" s="313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315"/>
      <c r="AO801" s="258"/>
      <c r="AP801" s="346"/>
      <c r="AQ801" s="300"/>
      <c r="AR801" s="300"/>
      <c r="AS801" s="345"/>
      <c r="AT801" s="345"/>
      <c r="AU801" s="300"/>
      <c r="AV801" s="313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315"/>
      <c r="AO802" s="258"/>
      <c r="AP802" s="346"/>
      <c r="AQ802" s="300"/>
      <c r="AR802" s="300"/>
      <c r="AS802" s="345"/>
      <c r="AT802" s="345"/>
      <c r="AU802" s="300"/>
      <c r="AV802" s="313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315"/>
      <c r="AO803" s="258"/>
      <c r="AP803" s="346"/>
      <c r="AQ803" s="300"/>
      <c r="AR803" s="300"/>
      <c r="AS803" s="345"/>
      <c r="AT803" s="345"/>
      <c r="AU803" s="300"/>
      <c r="AV803" s="313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315"/>
      <c r="AO804" s="258"/>
      <c r="AP804" s="346"/>
      <c r="AQ804" s="300"/>
      <c r="AR804" s="300"/>
      <c r="AS804" s="345"/>
      <c r="AT804" s="345"/>
      <c r="AU804" s="300"/>
      <c r="AV804" s="313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315"/>
      <c r="AO805" s="258"/>
      <c r="AP805" s="346"/>
      <c r="AQ805" s="300"/>
      <c r="AR805" s="300"/>
      <c r="AS805" s="345"/>
      <c r="AT805" s="345"/>
      <c r="AU805" s="300"/>
      <c r="AV805" s="313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315"/>
      <c r="AO806" s="258"/>
      <c r="AP806" s="346"/>
      <c r="AQ806" s="300"/>
      <c r="AR806" s="300"/>
      <c r="AS806" s="345"/>
      <c r="AT806" s="345"/>
      <c r="AU806" s="300"/>
      <c r="AV806" s="313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315"/>
      <c r="AO807" s="258"/>
      <c r="AP807" s="346"/>
      <c r="AQ807" s="300"/>
      <c r="AR807" s="300"/>
      <c r="AS807" s="345"/>
      <c r="AT807" s="345"/>
      <c r="AU807" s="300"/>
      <c r="AV807" s="313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315"/>
      <c r="AO808" s="258"/>
      <c r="AP808" s="346"/>
      <c r="AQ808" s="300"/>
      <c r="AR808" s="300"/>
      <c r="AS808" s="345"/>
      <c r="AT808" s="345"/>
      <c r="AU808" s="300"/>
      <c r="AV808" s="313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315"/>
      <c r="AO809" s="258"/>
      <c r="AP809" s="346"/>
      <c r="AQ809" s="300"/>
      <c r="AR809" s="300"/>
      <c r="AS809" s="345"/>
      <c r="AT809" s="345"/>
      <c r="AU809" s="300"/>
      <c r="AV809" s="313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315"/>
      <c r="AO810" s="258"/>
      <c r="AP810" s="346"/>
      <c r="AQ810" s="300"/>
      <c r="AR810" s="300"/>
      <c r="AS810" s="345"/>
      <c r="AT810" s="345"/>
      <c r="AU810" s="300"/>
      <c r="AV810" s="313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315"/>
      <c r="AO811" s="258"/>
      <c r="AP811" s="346"/>
      <c r="AQ811" s="300"/>
      <c r="AR811" s="300"/>
      <c r="AS811" s="345"/>
      <c r="AT811" s="345"/>
      <c r="AU811" s="300"/>
      <c r="AV811" s="313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315"/>
      <c r="AO812" s="258"/>
      <c r="AP812" s="346"/>
      <c r="AQ812" s="300"/>
      <c r="AR812" s="300"/>
      <c r="AS812" s="345"/>
      <c r="AT812" s="345"/>
      <c r="AU812" s="300"/>
      <c r="AV812" s="313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315"/>
      <c r="AO813" s="258"/>
      <c r="AP813" s="346"/>
      <c r="AQ813" s="300"/>
      <c r="AR813" s="300"/>
      <c r="AS813" s="345"/>
      <c r="AT813" s="345"/>
      <c r="AU813" s="300"/>
      <c r="AV813" s="313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315"/>
      <c r="AO814" s="258"/>
      <c r="AP814" s="346"/>
      <c r="AQ814" s="300"/>
      <c r="AR814" s="300"/>
      <c r="AS814" s="345"/>
      <c r="AT814" s="345"/>
      <c r="AU814" s="300"/>
      <c r="AV814" s="313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315"/>
      <c r="AO815" s="258"/>
      <c r="AP815" s="346"/>
      <c r="AQ815" s="300"/>
      <c r="AR815" s="300"/>
      <c r="AS815" s="345"/>
      <c r="AT815" s="345"/>
      <c r="AU815" s="300"/>
      <c r="AV815" s="313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315"/>
      <c r="AO816" s="258"/>
      <c r="AP816" s="346"/>
      <c r="AQ816" s="300"/>
      <c r="AR816" s="300"/>
      <c r="AS816" s="345"/>
      <c r="AT816" s="345"/>
      <c r="AU816" s="300"/>
      <c r="AV816" s="313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315"/>
      <c r="AO817" s="258"/>
      <c r="AP817" s="346"/>
      <c r="AQ817" s="300"/>
      <c r="AR817" s="300"/>
      <c r="AS817" s="345"/>
      <c r="AT817" s="345"/>
      <c r="AU817" s="300"/>
      <c r="AV817" s="313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315"/>
      <c r="AO818" s="258"/>
      <c r="AP818" s="346"/>
      <c r="AQ818" s="300"/>
      <c r="AR818" s="300"/>
      <c r="AS818" s="345"/>
      <c r="AT818" s="345"/>
      <c r="AU818" s="300"/>
      <c r="AV818" s="313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315"/>
      <c r="AO819" s="258"/>
      <c r="AP819" s="346"/>
      <c r="AQ819" s="300"/>
      <c r="AR819" s="300"/>
      <c r="AS819" s="345"/>
      <c r="AT819" s="345"/>
      <c r="AU819" s="300"/>
      <c r="AV819" s="313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315"/>
      <c r="AO820" s="258"/>
      <c r="AP820" s="346"/>
      <c r="AQ820" s="300"/>
      <c r="AR820" s="300"/>
      <c r="AS820" s="345"/>
      <c r="AT820" s="345"/>
      <c r="AU820" s="300"/>
      <c r="AV820" s="313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315"/>
      <c r="AO821" s="258"/>
      <c r="AP821" s="346"/>
      <c r="AQ821" s="300"/>
      <c r="AR821" s="300"/>
      <c r="AS821" s="345"/>
      <c r="AT821" s="345"/>
      <c r="AU821" s="300"/>
      <c r="AV821" s="313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315"/>
      <c r="AO822" s="258"/>
      <c r="AP822" s="346"/>
      <c r="AQ822" s="300"/>
      <c r="AR822" s="300"/>
      <c r="AS822" s="345"/>
      <c r="AT822" s="345"/>
      <c r="AU822" s="300"/>
      <c r="AV822" s="313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315"/>
      <c r="AO823" s="258"/>
      <c r="AP823" s="346"/>
      <c r="AQ823" s="300"/>
      <c r="AR823" s="300"/>
      <c r="AS823" s="345"/>
      <c r="AT823" s="345"/>
      <c r="AU823" s="300"/>
      <c r="AV823" s="313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315"/>
      <c r="AO824" s="258"/>
      <c r="AP824" s="346"/>
      <c r="AQ824" s="300"/>
      <c r="AR824" s="300"/>
      <c r="AS824" s="345"/>
      <c r="AT824" s="345"/>
      <c r="AU824" s="300"/>
      <c r="AV824" s="313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315"/>
      <c r="AO825" s="258"/>
      <c r="AP825" s="346"/>
      <c r="AQ825" s="300"/>
      <c r="AR825" s="300"/>
      <c r="AS825" s="345"/>
      <c r="AT825" s="345"/>
      <c r="AU825" s="300"/>
      <c r="AV825" s="313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315"/>
      <c r="AO826" s="258"/>
      <c r="AP826" s="346"/>
      <c r="AQ826" s="300"/>
      <c r="AR826" s="300"/>
      <c r="AS826" s="345"/>
      <c r="AT826" s="345"/>
      <c r="AU826" s="300"/>
      <c r="AV826" s="313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315"/>
      <c r="AO827" s="258"/>
      <c r="AP827" s="346"/>
      <c r="AQ827" s="300"/>
      <c r="AR827" s="300"/>
      <c r="AS827" s="345"/>
      <c r="AT827" s="345"/>
      <c r="AU827" s="300"/>
      <c r="AV827" s="313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315"/>
      <c r="AO828" s="258"/>
      <c r="AP828" s="346"/>
      <c r="AQ828" s="300"/>
      <c r="AR828" s="300"/>
      <c r="AS828" s="345"/>
      <c r="AT828" s="345"/>
      <c r="AU828" s="300"/>
      <c r="AV828" s="313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315"/>
      <c r="AO829" s="258"/>
      <c r="AP829" s="346"/>
      <c r="AQ829" s="300"/>
      <c r="AR829" s="300"/>
      <c r="AS829" s="345"/>
      <c r="AT829" s="345"/>
      <c r="AU829" s="300"/>
      <c r="AV829" s="313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315"/>
      <c r="AO830" s="258"/>
      <c r="AP830" s="346"/>
      <c r="AQ830" s="300"/>
      <c r="AR830" s="300"/>
      <c r="AS830" s="345"/>
      <c r="AT830" s="345"/>
      <c r="AU830" s="300"/>
      <c r="AV830" s="313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315"/>
      <c r="AO831" s="258"/>
      <c r="AP831" s="346"/>
      <c r="AQ831" s="300"/>
      <c r="AR831" s="300"/>
      <c r="AS831" s="345"/>
      <c r="AT831" s="345"/>
      <c r="AU831" s="300"/>
      <c r="AV831" s="313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315"/>
      <c r="AO832" s="258"/>
      <c r="AP832" s="346"/>
      <c r="AQ832" s="300"/>
      <c r="AR832" s="300"/>
      <c r="AS832" s="345"/>
      <c r="AT832" s="345"/>
      <c r="AU832" s="300"/>
      <c r="AV832" s="313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315"/>
      <c r="AO833" s="258"/>
      <c r="AP833" s="346"/>
      <c r="AQ833" s="300"/>
      <c r="AR833" s="300"/>
      <c r="AS833" s="345"/>
      <c r="AT833" s="345"/>
      <c r="AU833" s="300"/>
      <c r="AV833" s="313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315"/>
      <c r="AO834" s="258"/>
      <c r="AP834" s="346"/>
      <c r="AQ834" s="300"/>
      <c r="AR834" s="300"/>
      <c r="AS834" s="345"/>
      <c r="AT834" s="345"/>
      <c r="AU834" s="300"/>
      <c r="AV834" s="313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315"/>
      <c r="AO835" s="258"/>
      <c r="AP835" s="346"/>
      <c r="AQ835" s="300"/>
      <c r="AR835" s="300"/>
      <c r="AS835" s="345"/>
      <c r="AT835" s="345"/>
      <c r="AU835" s="300"/>
      <c r="AV835" s="313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315"/>
      <c r="AO836" s="258"/>
      <c r="AP836" s="346"/>
      <c r="AQ836" s="300"/>
      <c r="AR836" s="300"/>
      <c r="AS836" s="345"/>
      <c r="AT836" s="345"/>
      <c r="AU836" s="300"/>
      <c r="AV836" s="313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315"/>
      <c r="AO837" s="258"/>
      <c r="AP837" s="346"/>
      <c r="AQ837" s="300"/>
      <c r="AR837" s="300"/>
      <c r="AS837" s="345"/>
      <c r="AT837" s="345"/>
      <c r="AU837" s="300"/>
      <c r="AV837" s="313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315"/>
      <c r="AO838" s="258"/>
      <c r="AP838" s="346"/>
      <c r="AQ838" s="300"/>
      <c r="AR838" s="300"/>
      <c r="AS838" s="345"/>
      <c r="AT838" s="345"/>
      <c r="AU838" s="300"/>
      <c r="AV838" s="313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315"/>
      <c r="AO839" s="258"/>
      <c r="AP839" s="346"/>
      <c r="AQ839" s="300"/>
      <c r="AR839" s="300"/>
      <c r="AS839" s="345"/>
      <c r="AT839" s="345"/>
      <c r="AU839" s="300"/>
      <c r="AV839" s="313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315"/>
      <c r="AO840" s="258"/>
      <c r="AP840" s="346"/>
      <c r="AQ840" s="300"/>
      <c r="AR840" s="300"/>
      <c r="AS840" s="345"/>
      <c r="AT840" s="345"/>
      <c r="AU840" s="300"/>
      <c r="AV840" s="313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315"/>
      <c r="AO841" s="258"/>
      <c r="AP841" s="346"/>
      <c r="AQ841" s="300"/>
      <c r="AR841" s="300"/>
      <c r="AS841" s="345"/>
      <c r="AT841" s="345"/>
      <c r="AU841" s="300"/>
      <c r="AV841" s="313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315"/>
      <c r="AO842" s="258"/>
      <c r="AP842" s="346"/>
      <c r="AQ842" s="300"/>
      <c r="AR842" s="300"/>
      <c r="AS842" s="345"/>
      <c r="AT842" s="345"/>
      <c r="AU842" s="300"/>
      <c r="AV842" s="313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315"/>
      <c r="AO843" s="258"/>
      <c r="AP843" s="346"/>
      <c r="AQ843" s="300"/>
      <c r="AR843" s="300"/>
      <c r="AS843" s="345"/>
      <c r="AT843" s="345"/>
      <c r="AU843" s="300"/>
      <c r="AV843" s="313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315"/>
      <c r="AO844" s="258"/>
      <c r="AP844" s="346"/>
      <c r="AQ844" s="300"/>
      <c r="AR844" s="300"/>
      <c r="AS844" s="345"/>
      <c r="AT844" s="345"/>
      <c r="AU844" s="300"/>
      <c r="AV844" s="313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315"/>
      <c r="AO845" s="258"/>
      <c r="AP845" s="346"/>
      <c r="AQ845" s="300"/>
      <c r="AR845" s="300"/>
      <c r="AS845" s="345"/>
      <c r="AT845" s="345"/>
      <c r="AU845" s="300"/>
      <c r="AV845" s="313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315"/>
      <c r="AO846" s="258"/>
      <c r="AP846" s="346"/>
      <c r="AQ846" s="300"/>
      <c r="AR846" s="300"/>
      <c r="AS846" s="345"/>
      <c r="AT846" s="345"/>
      <c r="AU846" s="300"/>
      <c r="AV846" s="313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315"/>
      <c r="AO847" s="258"/>
      <c r="AP847" s="346"/>
      <c r="AQ847" s="300"/>
      <c r="AR847" s="300"/>
      <c r="AS847" s="345"/>
      <c r="AT847" s="345"/>
      <c r="AU847" s="300"/>
      <c r="AV847" s="313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315"/>
      <c r="AO848" s="258"/>
      <c r="AP848" s="346"/>
      <c r="AQ848" s="300"/>
      <c r="AR848" s="300"/>
      <c r="AS848" s="345"/>
      <c r="AT848" s="345"/>
      <c r="AU848" s="300"/>
      <c r="AV848" s="313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315"/>
      <c r="AO849" s="258"/>
      <c r="AP849" s="346"/>
      <c r="AQ849" s="300"/>
      <c r="AR849" s="300"/>
      <c r="AS849" s="345"/>
      <c r="AT849" s="345"/>
      <c r="AU849" s="300"/>
      <c r="AV849" s="313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315"/>
      <c r="AO850" s="258"/>
      <c r="AP850" s="346"/>
      <c r="AQ850" s="300"/>
      <c r="AR850" s="300"/>
      <c r="AS850" s="345"/>
      <c r="AT850" s="345"/>
      <c r="AU850" s="300"/>
      <c r="AV850" s="313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315"/>
      <c r="AO851" s="258"/>
      <c r="AP851" s="346"/>
      <c r="AQ851" s="300"/>
      <c r="AR851" s="300"/>
      <c r="AS851" s="345"/>
      <c r="AT851" s="345"/>
      <c r="AU851" s="300"/>
      <c r="AV851" s="313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315"/>
      <c r="AO852" s="258"/>
      <c r="AP852" s="346"/>
      <c r="AQ852" s="300"/>
      <c r="AR852" s="300"/>
      <c r="AS852" s="345"/>
      <c r="AT852" s="345"/>
      <c r="AU852" s="300"/>
      <c r="AV852" s="313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315"/>
      <c r="AO853" s="258"/>
      <c r="AP853" s="346"/>
      <c r="AQ853" s="300"/>
      <c r="AR853" s="300"/>
      <c r="AS853" s="345"/>
      <c r="AT853" s="345"/>
      <c r="AU853" s="300"/>
      <c r="AV853" s="313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315"/>
      <c r="AO854" s="258"/>
      <c r="AP854" s="346"/>
      <c r="AQ854" s="300"/>
      <c r="AR854" s="300"/>
      <c r="AS854" s="345"/>
      <c r="AT854" s="345"/>
      <c r="AU854" s="300"/>
      <c r="AV854" s="313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315"/>
      <c r="AO855" s="258"/>
      <c r="AP855" s="346"/>
      <c r="AQ855" s="300"/>
      <c r="AR855" s="300"/>
      <c r="AS855" s="345"/>
      <c r="AT855" s="345"/>
      <c r="AU855" s="300"/>
      <c r="AV855" s="313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315"/>
      <c r="AO856" s="258"/>
      <c r="AP856" s="346"/>
      <c r="AQ856" s="300"/>
      <c r="AR856" s="300"/>
      <c r="AS856" s="345"/>
      <c r="AT856" s="345"/>
      <c r="AU856" s="300"/>
      <c r="AV856" s="313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315"/>
      <c r="AO857" s="258"/>
      <c r="AP857" s="346"/>
      <c r="AQ857" s="300"/>
      <c r="AR857" s="300"/>
      <c r="AS857" s="345"/>
      <c r="AT857" s="345"/>
      <c r="AU857" s="300"/>
      <c r="AV857" s="313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315"/>
      <c r="AO858" s="258"/>
      <c r="AP858" s="346"/>
      <c r="AQ858" s="300"/>
      <c r="AR858" s="300"/>
      <c r="AS858" s="345"/>
      <c r="AT858" s="345"/>
      <c r="AU858" s="300"/>
      <c r="AV858" s="313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315"/>
      <c r="AO859" s="258"/>
      <c r="AP859" s="346"/>
      <c r="AQ859" s="300"/>
      <c r="AR859" s="300"/>
      <c r="AS859" s="345"/>
      <c r="AT859" s="345"/>
      <c r="AU859" s="300"/>
      <c r="AV859" s="313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315"/>
      <c r="AO860" s="258"/>
      <c r="AP860" s="346"/>
      <c r="AQ860" s="300"/>
      <c r="AR860" s="300"/>
      <c r="AS860" s="345"/>
      <c r="AT860" s="345"/>
      <c r="AU860" s="300"/>
      <c r="AV860" s="313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315"/>
      <c r="AO861" s="258"/>
      <c r="AP861" s="346"/>
      <c r="AQ861" s="300"/>
      <c r="AR861" s="300"/>
      <c r="AS861" s="345"/>
      <c r="AT861" s="345"/>
      <c r="AU861" s="300"/>
      <c r="AV861" s="313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315"/>
      <c r="AO862" s="258"/>
      <c r="AP862" s="346"/>
      <c r="AQ862" s="300"/>
      <c r="AR862" s="300"/>
      <c r="AS862" s="345"/>
      <c r="AT862" s="345"/>
      <c r="AU862" s="300"/>
      <c r="AV862" s="313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315"/>
      <c r="AO863" s="258"/>
      <c r="AP863" s="346"/>
      <c r="AQ863" s="300"/>
      <c r="AR863" s="300"/>
      <c r="AS863" s="345"/>
      <c r="AT863" s="345"/>
      <c r="AU863" s="300"/>
      <c r="AV863" s="313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315"/>
      <c r="AO864" s="258"/>
      <c r="AP864" s="346"/>
      <c r="AQ864" s="300"/>
      <c r="AR864" s="300"/>
      <c r="AS864" s="345"/>
      <c r="AT864" s="345"/>
      <c r="AU864" s="300"/>
      <c r="AV864" s="313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315"/>
      <c r="AO865" s="258"/>
      <c r="AP865" s="346"/>
      <c r="AQ865" s="300"/>
      <c r="AR865" s="300"/>
      <c r="AS865" s="345"/>
      <c r="AT865" s="345"/>
      <c r="AU865" s="300"/>
      <c r="AV865" s="313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315"/>
      <c r="AO866" s="258"/>
      <c r="AP866" s="346"/>
      <c r="AQ866" s="300"/>
      <c r="AR866" s="300"/>
      <c r="AS866" s="345"/>
      <c r="AT866" s="345"/>
      <c r="AU866" s="300"/>
      <c r="AV866" s="313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315"/>
      <c r="AO867" s="258"/>
      <c r="AP867" s="346"/>
      <c r="AQ867" s="300"/>
      <c r="AR867" s="300"/>
      <c r="AS867" s="345"/>
      <c r="AT867" s="345"/>
      <c r="AU867" s="300"/>
      <c r="AV867" s="313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315"/>
      <c r="AO868" s="258"/>
      <c r="AP868" s="346"/>
      <c r="AQ868" s="300"/>
      <c r="AR868" s="300"/>
      <c r="AS868" s="345"/>
      <c r="AT868" s="345"/>
      <c r="AU868" s="300"/>
      <c r="AV868" s="313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315"/>
      <c r="AO869" s="258"/>
      <c r="AP869" s="346"/>
      <c r="AQ869" s="300"/>
      <c r="AR869" s="300"/>
      <c r="AS869" s="345"/>
      <c r="AT869" s="345"/>
      <c r="AU869" s="300"/>
      <c r="AV869" s="313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315"/>
      <c r="AO870" s="258"/>
      <c r="AP870" s="346"/>
      <c r="AQ870" s="300"/>
      <c r="AR870" s="300"/>
      <c r="AS870" s="345"/>
      <c r="AT870" s="345"/>
      <c r="AU870" s="300"/>
      <c r="AV870" s="313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315"/>
      <c r="AO871" s="258"/>
      <c r="AP871" s="346"/>
      <c r="AQ871" s="300"/>
      <c r="AR871" s="300"/>
      <c r="AS871" s="345"/>
      <c r="AT871" s="345"/>
      <c r="AU871" s="300"/>
      <c r="AV871" s="313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315"/>
      <c r="AO872" s="258"/>
      <c r="AP872" s="346"/>
      <c r="AQ872" s="300"/>
      <c r="AR872" s="300"/>
      <c r="AS872" s="345"/>
      <c r="AT872" s="345"/>
      <c r="AU872" s="300"/>
      <c r="AV872" s="313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315"/>
      <c r="AO873" s="258"/>
      <c r="AP873" s="346"/>
      <c r="AQ873" s="300"/>
      <c r="AR873" s="300"/>
      <c r="AS873" s="345"/>
      <c r="AT873" s="345"/>
      <c r="AU873" s="300"/>
      <c r="AV873" s="313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315"/>
      <c r="AO874" s="258"/>
      <c r="AP874" s="346"/>
      <c r="AQ874" s="300"/>
      <c r="AR874" s="300"/>
      <c r="AS874" s="345"/>
      <c r="AT874" s="345"/>
      <c r="AU874" s="300"/>
      <c r="AV874" s="313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315"/>
      <c r="AO875" s="258"/>
      <c r="AP875" s="346"/>
      <c r="AQ875" s="300"/>
      <c r="AR875" s="300"/>
      <c r="AS875" s="345"/>
      <c r="AT875" s="345"/>
      <c r="AU875" s="300"/>
      <c r="AV875" s="313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315"/>
      <c r="AO876" s="258"/>
      <c r="AP876" s="346"/>
      <c r="AQ876" s="300"/>
      <c r="AR876" s="300"/>
      <c r="AS876" s="345"/>
      <c r="AT876" s="345"/>
      <c r="AU876" s="300"/>
      <c r="AV876" s="313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315"/>
      <c r="AO877" s="258"/>
      <c r="AP877" s="346"/>
      <c r="AQ877" s="300"/>
      <c r="AR877" s="300"/>
      <c r="AS877" s="345"/>
      <c r="AT877" s="345"/>
      <c r="AU877" s="300"/>
      <c r="AV877" s="313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315"/>
      <c r="AO878" s="258"/>
      <c r="AP878" s="346"/>
      <c r="AQ878" s="300"/>
      <c r="AR878" s="300"/>
      <c r="AS878" s="345"/>
      <c r="AT878" s="345"/>
      <c r="AU878" s="300"/>
      <c r="AV878" s="313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315"/>
      <c r="AO879" s="258"/>
      <c r="AP879" s="346"/>
      <c r="AQ879" s="300"/>
      <c r="AR879" s="300"/>
      <c r="AS879" s="345"/>
      <c r="AT879" s="345"/>
      <c r="AU879" s="300"/>
      <c r="AV879" s="313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315"/>
      <c r="AO880" s="258"/>
      <c r="AP880" s="346"/>
      <c r="AQ880" s="300"/>
      <c r="AR880" s="300"/>
      <c r="AS880" s="345"/>
      <c r="AT880" s="345"/>
      <c r="AU880" s="300"/>
      <c r="AV880" s="313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315"/>
      <c r="AO881" s="258"/>
      <c r="AP881" s="346"/>
      <c r="AQ881" s="300"/>
      <c r="AR881" s="300"/>
      <c r="AS881" s="345"/>
      <c r="AT881" s="345"/>
      <c r="AU881" s="300"/>
      <c r="AV881" s="313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315"/>
      <c r="AO882" s="258"/>
      <c r="AP882" s="346"/>
      <c r="AQ882" s="300"/>
      <c r="AR882" s="300"/>
      <c r="AS882" s="345"/>
      <c r="AT882" s="345"/>
      <c r="AU882" s="300"/>
      <c r="AV882" s="313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315"/>
      <c r="AO883" s="258"/>
      <c r="AP883" s="346"/>
      <c r="AQ883" s="300"/>
      <c r="AR883" s="300"/>
      <c r="AS883" s="345"/>
      <c r="AT883" s="345"/>
      <c r="AU883" s="300"/>
      <c r="AV883" s="313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315"/>
      <c r="AO884" s="258"/>
      <c r="AP884" s="346"/>
      <c r="AQ884" s="300"/>
      <c r="AR884" s="300"/>
      <c r="AS884" s="345"/>
      <c r="AT884" s="345"/>
      <c r="AU884" s="300"/>
      <c r="AV884" s="313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315"/>
      <c r="AO885" s="258"/>
      <c r="AP885" s="346"/>
      <c r="AQ885" s="300"/>
      <c r="AR885" s="300"/>
      <c r="AS885" s="345"/>
      <c r="AT885" s="345"/>
      <c r="AU885" s="300"/>
      <c r="AV885" s="313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315"/>
      <c r="AO886" s="258"/>
      <c r="AP886" s="346"/>
      <c r="AQ886" s="300"/>
      <c r="AR886" s="300"/>
      <c r="AS886" s="345"/>
      <c r="AT886" s="345"/>
      <c r="AU886" s="300"/>
      <c r="AV886" s="313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315"/>
      <c r="AO887" s="258"/>
      <c r="AP887" s="346"/>
      <c r="AQ887" s="300"/>
      <c r="AR887" s="300"/>
      <c r="AS887" s="345"/>
      <c r="AT887" s="345"/>
      <c r="AU887" s="300"/>
      <c r="AV887" s="313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315"/>
      <c r="AO888" s="258"/>
      <c r="AP888" s="346"/>
      <c r="AQ888" s="300"/>
      <c r="AR888" s="300"/>
      <c r="AS888" s="345"/>
      <c r="AT888" s="345"/>
      <c r="AU888" s="300"/>
      <c r="AV888" s="313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315"/>
      <c r="AO889" s="258"/>
      <c r="AP889" s="346"/>
      <c r="AQ889" s="300"/>
      <c r="AR889" s="300"/>
      <c r="AS889" s="345"/>
      <c r="AT889" s="345"/>
      <c r="AU889" s="300"/>
      <c r="AV889" s="313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315"/>
      <c r="AO890" s="258"/>
      <c r="AP890" s="346"/>
      <c r="AQ890" s="300"/>
      <c r="AR890" s="300"/>
      <c r="AS890" s="345"/>
      <c r="AT890" s="345"/>
      <c r="AU890" s="300"/>
      <c r="AV890" s="313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315"/>
      <c r="AO891" s="258"/>
      <c r="AP891" s="346"/>
      <c r="AQ891" s="300"/>
      <c r="AR891" s="300"/>
      <c r="AS891" s="345"/>
      <c r="AT891" s="345"/>
      <c r="AU891" s="300"/>
      <c r="AV891" s="313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315"/>
      <c r="AO892" s="258"/>
      <c r="AP892" s="346"/>
      <c r="AQ892" s="300"/>
      <c r="AR892" s="300"/>
      <c r="AS892" s="345"/>
      <c r="AT892" s="345"/>
      <c r="AU892" s="300"/>
      <c r="AV892" s="313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315"/>
      <c r="AO893" s="258"/>
      <c r="AP893" s="346"/>
      <c r="AQ893" s="300"/>
      <c r="AR893" s="300"/>
      <c r="AS893" s="345"/>
      <c r="AT893" s="345"/>
      <c r="AU893" s="300"/>
      <c r="AV893" s="313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315"/>
      <c r="AO894" s="258"/>
      <c r="AP894" s="346"/>
      <c r="AQ894" s="300"/>
      <c r="AR894" s="300"/>
      <c r="AS894" s="345"/>
      <c r="AT894" s="345"/>
      <c r="AU894" s="300"/>
      <c r="AV894" s="313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315"/>
      <c r="AO895" s="258"/>
      <c r="AP895" s="346"/>
      <c r="AQ895" s="300"/>
      <c r="AR895" s="300"/>
      <c r="AS895" s="345"/>
      <c r="AT895" s="345"/>
      <c r="AU895" s="300"/>
      <c r="AV895" s="313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315"/>
      <c r="AO896" s="258"/>
      <c r="AP896" s="346"/>
      <c r="AQ896" s="300"/>
      <c r="AR896" s="300"/>
      <c r="AS896" s="345"/>
      <c r="AT896" s="345"/>
      <c r="AU896" s="300"/>
      <c r="AV896" s="313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315"/>
      <c r="AO897" s="258"/>
      <c r="AP897" s="346"/>
      <c r="AQ897" s="300"/>
      <c r="AR897" s="300"/>
      <c r="AS897" s="345"/>
      <c r="AT897" s="345"/>
      <c r="AU897" s="300"/>
      <c r="AV897" s="313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315"/>
      <c r="AO898" s="258"/>
      <c r="AP898" s="346"/>
      <c r="AQ898" s="300"/>
      <c r="AR898" s="300"/>
      <c r="AS898" s="345"/>
      <c r="AT898" s="345"/>
      <c r="AU898" s="300"/>
      <c r="AV898" s="313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315"/>
      <c r="AO899" s="258"/>
      <c r="AP899" s="346"/>
      <c r="AQ899" s="300"/>
      <c r="AR899" s="300"/>
      <c r="AS899" s="345"/>
      <c r="AT899" s="345"/>
      <c r="AU899" s="300"/>
      <c r="AV899" s="313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315"/>
      <c r="AO900" s="258"/>
      <c r="AP900" s="346"/>
      <c r="AQ900" s="300"/>
      <c r="AR900" s="300"/>
      <c r="AS900" s="345"/>
      <c r="AT900" s="345"/>
      <c r="AU900" s="300"/>
      <c r="AV900" s="313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315"/>
      <c r="AO901" s="258"/>
      <c r="AP901" s="346"/>
      <c r="AQ901" s="300"/>
      <c r="AR901" s="300"/>
      <c r="AS901" s="345"/>
      <c r="AT901" s="345"/>
      <c r="AU901" s="300"/>
      <c r="AV901" s="313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315"/>
      <c r="AO902" s="258"/>
      <c r="AP902" s="346"/>
      <c r="AQ902" s="300"/>
      <c r="AR902" s="300"/>
      <c r="AS902" s="345"/>
      <c r="AT902" s="345"/>
      <c r="AU902" s="300"/>
      <c r="AV902" s="313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315"/>
      <c r="AO903" s="258"/>
      <c r="AP903" s="346"/>
      <c r="AQ903" s="300"/>
      <c r="AR903" s="300"/>
      <c r="AS903" s="345"/>
      <c r="AT903" s="345"/>
      <c r="AU903" s="300"/>
      <c r="AV903" s="313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315"/>
      <c r="AO904" s="258"/>
      <c r="AP904" s="346"/>
      <c r="AQ904" s="300"/>
      <c r="AR904" s="300"/>
      <c r="AS904" s="345"/>
      <c r="AT904" s="345"/>
      <c r="AU904" s="300"/>
      <c r="AV904" s="313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315"/>
      <c r="AO905" s="258"/>
      <c r="AP905" s="346"/>
      <c r="AQ905" s="300"/>
      <c r="AR905" s="300"/>
      <c r="AS905" s="345"/>
      <c r="AT905" s="345"/>
      <c r="AU905" s="300"/>
      <c r="AV905" s="313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315"/>
      <c r="AO906" s="258"/>
      <c r="AP906" s="346"/>
      <c r="AQ906" s="300"/>
      <c r="AR906" s="300"/>
      <c r="AS906" s="345"/>
      <c r="AT906" s="345"/>
      <c r="AU906" s="300"/>
      <c r="AV906" s="313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315"/>
      <c r="AO907" s="258"/>
      <c r="AP907" s="346"/>
      <c r="AQ907" s="300"/>
      <c r="AR907" s="300"/>
      <c r="AS907" s="345"/>
      <c r="AT907" s="345"/>
      <c r="AU907" s="300"/>
      <c r="AV907" s="313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315"/>
      <c r="AO908" s="258"/>
      <c r="AP908" s="346"/>
      <c r="AQ908" s="300"/>
      <c r="AR908" s="300"/>
      <c r="AS908" s="345"/>
      <c r="AT908" s="345"/>
      <c r="AU908" s="300"/>
      <c r="AV908" s="313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315"/>
      <c r="AO909" s="258"/>
      <c r="AP909" s="346"/>
      <c r="AQ909" s="300"/>
      <c r="AR909" s="300"/>
      <c r="AS909" s="345"/>
      <c r="AT909" s="345"/>
      <c r="AU909" s="300"/>
      <c r="AV909" s="313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315"/>
      <c r="AO910" s="258"/>
      <c r="AP910" s="346"/>
      <c r="AQ910" s="300"/>
      <c r="AR910" s="300"/>
      <c r="AS910" s="345"/>
      <c r="AT910" s="345"/>
      <c r="AU910" s="300"/>
      <c r="AV910" s="313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315"/>
      <c r="AO911" s="258"/>
      <c r="AP911" s="346"/>
      <c r="AQ911" s="300"/>
      <c r="AR911" s="300"/>
      <c r="AS911" s="345"/>
      <c r="AT911" s="345"/>
      <c r="AU911" s="300"/>
      <c r="AV911" s="313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315"/>
      <c r="AO912" s="258"/>
      <c r="AP912" s="346"/>
      <c r="AQ912" s="300"/>
      <c r="AR912" s="300"/>
      <c r="AS912" s="345"/>
      <c r="AT912" s="345"/>
      <c r="AU912" s="300"/>
      <c r="AV912" s="313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315"/>
      <c r="AO913" s="258"/>
      <c r="AP913" s="346"/>
      <c r="AQ913" s="300"/>
      <c r="AR913" s="300"/>
      <c r="AS913" s="345"/>
      <c r="AT913" s="345"/>
      <c r="AU913" s="300"/>
      <c r="AV913" s="313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315"/>
      <c r="AO914" s="258"/>
      <c r="AP914" s="346"/>
      <c r="AQ914" s="300"/>
      <c r="AR914" s="300"/>
      <c r="AS914" s="345"/>
      <c r="AT914" s="345"/>
      <c r="AU914" s="300"/>
      <c r="AV914" s="313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315"/>
      <c r="AO915" s="258"/>
      <c r="AP915" s="346"/>
      <c r="AQ915" s="300"/>
      <c r="AR915" s="300"/>
      <c r="AS915" s="345"/>
      <c r="AT915" s="345"/>
      <c r="AU915" s="300"/>
      <c r="AV915" s="313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315"/>
      <c r="AO916" s="258"/>
      <c r="AP916" s="346"/>
      <c r="AQ916" s="300"/>
      <c r="AR916" s="300"/>
      <c r="AS916" s="345"/>
      <c r="AT916" s="345"/>
      <c r="AU916" s="300"/>
      <c r="AV916" s="313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315"/>
      <c r="AO917" s="258"/>
      <c r="AP917" s="346"/>
      <c r="AQ917" s="300"/>
      <c r="AR917" s="300"/>
      <c r="AS917" s="345"/>
      <c r="AT917" s="345"/>
      <c r="AU917" s="300"/>
      <c r="AV917" s="313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315"/>
      <c r="AO918" s="258"/>
      <c r="AP918" s="346"/>
      <c r="AQ918" s="300"/>
      <c r="AR918" s="300"/>
      <c r="AS918" s="345"/>
      <c r="AT918" s="345"/>
      <c r="AU918" s="300"/>
      <c r="AV918" s="313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315"/>
      <c r="AO919" s="258"/>
      <c r="AP919" s="346"/>
      <c r="AQ919" s="300"/>
      <c r="AR919" s="300"/>
      <c r="AS919" s="345"/>
      <c r="AT919" s="345"/>
      <c r="AU919" s="300"/>
      <c r="AV919" s="313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315"/>
      <c r="AO920" s="258"/>
      <c r="AP920" s="346"/>
      <c r="AQ920" s="300"/>
      <c r="AR920" s="300"/>
      <c r="AS920" s="345"/>
      <c r="AT920" s="345"/>
      <c r="AU920" s="300"/>
      <c r="AV920" s="313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315"/>
      <c r="AO921" s="258"/>
      <c r="AP921" s="346"/>
      <c r="AQ921" s="300"/>
      <c r="AR921" s="300"/>
      <c r="AS921" s="345"/>
      <c r="AT921" s="345"/>
      <c r="AU921" s="300"/>
      <c r="AV921" s="313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315"/>
      <c r="AO922" s="258"/>
      <c r="AP922" s="346"/>
      <c r="AQ922" s="300"/>
      <c r="AR922" s="300"/>
      <c r="AS922" s="345"/>
      <c r="AT922" s="345"/>
      <c r="AU922" s="300"/>
      <c r="AV922" s="313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315"/>
      <c r="AO923" s="258"/>
      <c r="AP923" s="346"/>
      <c r="AQ923" s="300"/>
      <c r="AR923" s="300"/>
      <c r="AS923" s="345"/>
      <c r="AT923" s="345"/>
      <c r="AU923" s="300"/>
      <c r="AV923" s="313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315"/>
      <c r="AO924" s="258"/>
      <c r="AP924" s="346"/>
      <c r="AQ924" s="300"/>
      <c r="AR924" s="300"/>
      <c r="AS924" s="345"/>
      <c r="AT924" s="345"/>
      <c r="AU924" s="300"/>
      <c r="AV924" s="313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315"/>
      <c r="AO925" s="258"/>
      <c r="AP925" s="346"/>
      <c r="AQ925" s="300"/>
      <c r="AR925" s="300"/>
      <c r="AS925" s="345"/>
      <c r="AT925" s="345"/>
      <c r="AU925" s="300"/>
      <c r="AV925" s="313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315"/>
      <c r="AO926" s="258"/>
      <c r="AP926" s="346"/>
      <c r="AQ926" s="300"/>
      <c r="AR926" s="300"/>
      <c r="AS926" s="345"/>
      <c r="AT926" s="345"/>
      <c r="AU926" s="300"/>
      <c r="AV926" s="313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315"/>
      <c r="AO927" s="258"/>
      <c r="AP927" s="346"/>
      <c r="AQ927" s="300"/>
      <c r="AR927" s="300"/>
      <c r="AS927" s="345"/>
      <c r="AT927" s="345"/>
      <c r="AU927" s="300"/>
      <c r="AV927" s="313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315"/>
      <c r="AO928" s="258"/>
      <c r="AP928" s="346"/>
      <c r="AQ928" s="300"/>
      <c r="AR928" s="300"/>
      <c r="AS928" s="345"/>
      <c r="AT928" s="345"/>
      <c r="AU928" s="300"/>
      <c r="AV928" s="313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315"/>
      <c r="AO929" s="258"/>
      <c r="AP929" s="346"/>
      <c r="AQ929" s="300"/>
      <c r="AR929" s="300"/>
      <c r="AS929" s="345"/>
      <c r="AT929" s="345"/>
      <c r="AU929" s="300"/>
      <c r="AV929" s="313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315"/>
      <c r="AO930" s="258"/>
      <c r="AP930" s="346"/>
      <c r="AQ930" s="300"/>
      <c r="AR930" s="300"/>
      <c r="AS930" s="345"/>
      <c r="AT930" s="345"/>
      <c r="AU930" s="300"/>
      <c r="AV930" s="313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315"/>
      <c r="AO931" s="258"/>
      <c r="AP931" s="346"/>
      <c r="AQ931" s="300"/>
      <c r="AR931" s="300"/>
      <c r="AS931" s="345"/>
      <c r="AT931" s="345"/>
      <c r="AU931" s="300"/>
      <c r="AV931" s="313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315"/>
      <c r="AO932" s="258"/>
      <c r="AP932" s="346"/>
      <c r="AQ932" s="300"/>
      <c r="AR932" s="300"/>
      <c r="AS932" s="345"/>
      <c r="AT932" s="345"/>
      <c r="AU932" s="300"/>
      <c r="AV932" s="313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315"/>
      <c r="AO933" s="258"/>
      <c r="AP933" s="346"/>
      <c r="AQ933" s="300"/>
      <c r="AR933" s="300"/>
      <c r="AS933" s="345"/>
      <c r="AT933" s="345"/>
      <c r="AU933" s="300"/>
      <c r="AV933" s="313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315"/>
      <c r="AO934" s="258"/>
      <c r="AP934" s="346"/>
      <c r="AQ934" s="300"/>
      <c r="AR934" s="300"/>
      <c r="AS934" s="345"/>
      <c r="AT934" s="345"/>
      <c r="AU934" s="300"/>
      <c r="AV934" s="313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315"/>
      <c r="AO935" s="258"/>
      <c r="AP935" s="346"/>
      <c r="AQ935" s="300"/>
      <c r="AR935" s="300"/>
      <c r="AS935" s="345"/>
      <c r="AT935" s="345"/>
      <c r="AU935" s="300"/>
      <c r="AV935" s="313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315"/>
      <c r="AO936" s="258"/>
      <c r="AP936" s="346"/>
      <c r="AQ936" s="300"/>
      <c r="AR936" s="300"/>
      <c r="AS936" s="345"/>
      <c r="AT936" s="345"/>
      <c r="AU936" s="300"/>
      <c r="AV936" s="313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315"/>
      <c r="AO937" s="258"/>
      <c r="AP937" s="346"/>
      <c r="AQ937" s="300"/>
      <c r="AR937" s="300"/>
      <c r="AS937" s="345"/>
      <c r="AT937" s="345"/>
      <c r="AU937" s="300"/>
      <c r="AV937" s="313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315"/>
      <c r="AO938" s="258"/>
      <c r="AP938" s="346"/>
      <c r="AQ938" s="300"/>
      <c r="AR938" s="300"/>
      <c r="AS938" s="345"/>
      <c r="AT938" s="345"/>
      <c r="AU938" s="300"/>
      <c r="AV938" s="313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315"/>
      <c r="AO939" s="258"/>
      <c r="AP939" s="346"/>
      <c r="AQ939" s="300"/>
      <c r="AR939" s="300"/>
      <c r="AS939" s="345"/>
      <c r="AT939" s="345"/>
      <c r="AU939" s="300"/>
      <c r="AV939" s="313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315"/>
      <c r="AO940" s="258"/>
      <c r="AP940" s="346"/>
      <c r="AQ940" s="300"/>
      <c r="AR940" s="300"/>
      <c r="AS940" s="345"/>
      <c r="AT940" s="345"/>
      <c r="AU940" s="300"/>
      <c r="AV940" s="313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315"/>
      <c r="AO941" s="258"/>
      <c r="AP941" s="346"/>
      <c r="AQ941" s="300"/>
      <c r="AR941" s="300"/>
      <c r="AS941" s="345"/>
      <c r="AT941" s="345"/>
      <c r="AU941" s="300"/>
      <c r="AV941" s="313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315"/>
      <c r="AO942" s="258"/>
      <c r="AP942" s="346"/>
      <c r="AQ942" s="300"/>
      <c r="AR942" s="300"/>
      <c r="AS942" s="345"/>
      <c r="AT942" s="345"/>
      <c r="AU942" s="300"/>
      <c r="AV942" s="313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315"/>
      <c r="AO943" s="258"/>
      <c r="AP943" s="346"/>
      <c r="AQ943" s="300"/>
      <c r="AR943" s="300"/>
      <c r="AS943" s="345"/>
      <c r="AT943" s="345"/>
      <c r="AU943" s="300"/>
      <c r="AV943" s="313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315"/>
      <c r="AO944" s="258"/>
      <c r="AP944" s="346"/>
      <c r="AQ944" s="300"/>
      <c r="AR944" s="300"/>
      <c r="AS944" s="345"/>
      <c r="AT944" s="345"/>
      <c r="AU944" s="300"/>
      <c r="AV944" s="313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315"/>
      <c r="AO945" s="258"/>
      <c r="AP945" s="346"/>
      <c r="AQ945" s="300"/>
      <c r="AR945" s="300"/>
      <c r="AS945" s="345"/>
      <c r="AT945" s="345"/>
      <c r="AU945" s="300"/>
      <c r="AV945" s="313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315"/>
      <c r="AO946" s="258"/>
      <c r="AP946" s="346"/>
      <c r="AQ946" s="300"/>
      <c r="AR946" s="300"/>
      <c r="AS946" s="345"/>
      <c r="AT946" s="345"/>
      <c r="AU946" s="300"/>
      <c r="AV946" s="313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315"/>
      <c r="AO947" s="258"/>
      <c r="AP947" s="346"/>
      <c r="AQ947" s="300"/>
      <c r="AR947" s="300"/>
      <c r="AS947" s="345"/>
      <c r="AT947" s="345"/>
      <c r="AU947" s="300"/>
      <c r="AV947" s="313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315"/>
      <c r="AO948" s="258"/>
      <c r="AP948" s="346"/>
      <c r="AQ948" s="300"/>
      <c r="AR948" s="300"/>
      <c r="AS948" s="345"/>
      <c r="AT948" s="345"/>
      <c r="AU948" s="300"/>
      <c r="AV948" s="313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315"/>
      <c r="AO949" s="258"/>
      <c r="AP949" s="346"/>
      <c r="AQ949" s="300"/>
      <c r="AR949" s="300"/>
      <c r="AS949" s="345"/>
      <c r="AT949" s="345"/>
      <c r="AU949" s="300"/>
      <c r="AV949" s="313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315"/>
      <c r="AO950" s="258"/>
      <c r="AP950" s="346"/>
      <c r="AQ950" s="300"/>
      <c r="AR950" s="300"/>
      <c r="AS950" s="345"/>
      <c r="AT950" s="345"/>
      <c r="AU950" s="300"/>
      <c r="AV950" s="313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315"/>
      <c r="AO951" s="258"/>
      <c r="AP951" s="346"/>
      <c r="AQ951" s="300"/>
      <c r="AR951" s="300"/>
      <c r="AS951" s="345"/>
      <c r="AT951" s="345"/>
      <c r="AU951" s="300"/>
      <c r="AV951" s="313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315"/>
      <c r="AO952" s="258"/>
      <c r="AP952" s="346"/>
      <c r="AQ952" s="300"/>
      <c r="AR952" s="300"/>
      <c r="AS952" s="345"/>
      <c r="AT952" s="345"/>
      <c r="AU952" s="300"/>
      <c r="AV952" s="313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315"/>
      <c r="AO953" s="258"/>
      <c r="AP953" s="346"/>
      <c r="AQ953" s="300"/>
      <c r="AR953" s="300"/>
      <c r="AS953" s="345"/>
      <c r="AT953" s="345"/>
      <c r="AU953" s="300"/>
      <c r="AV953" s="313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315"/>
      <c r="AO954" s="258"/>
      <c r="AP954" s="346"/>
      <c r="AQ954" s="300"/>
      <c r="AR954" s="300"/>
      <c r="AS954" s="345"/>
      <c r="AT954" s="345"/>
      <c r="AU954" s="300"/>
      <c r="AV954" s="313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315"/>
      <c r="AO955" s="258"/>
      <c r="AP955" s="346"/>
      <c r="AQ955" s="300"/>
      <c r="AR955" s="300"/>
      <c r="AS955" s="345"/>
      <c r="AT955" s="345"/>
      <c r="AU955" s="300"/>
      <c r="AV955" s="313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315"/>
      <c r="AO956" s="258"/>
      <c r="AP956" s="346"/>
      <c r="AQ956" s="300"/>
      <c r="AR956" s="300"/>
      <c r="AS956" s="345"/>
      <c r="AT956" s="345"/>
      <c r="AU956" s="300"/>
      <c r="AV956" s="313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315"/>
      <c r="AO957" s="258"/>
      <c r="AP957" s="346"/>
      <c r="AQ957" s="300"/>
      <c r="AR957" s="300"/>
      <c r="AS957" s="345"/>
      <c r="AT957" s="345"/>
      <c r="AU957" s="300"/>
      <c r="AV957" s="313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315"/>
      <c r="AO958" s="258"/>
      <c r="AP958" s="346"/>
      <c r="AQ958" s="300"/>
      <c r="AR958" s="300"/>
      <c r="AS958" s="345"/>
      <c r="AT958" s="345"/>
      <c r="AU958" s="300"/>
      <c r="AV958" s="313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315"/>
      <c r="AO959" s="258"/>
      <c r="AP959" s="346"/>
      <c r="AQ959" s="300"/>
      <c r="AR959" s="300"/>
      <c r="AS959" s="345"/>
      <c r="AT959" s="345"/>
      <c r="AU959" s="300"/>
      <c r="AV959" s="313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315"/>
      <c r="AO960" s="258"/>
      <c r="AP960" s="346"/>
      <c r="AQ960" s="300"/>
      <c r="AR960" s="300"/>
      <c r="AS960" s="345"/>
      <c r="AT960" s="345"/>
      <c r="AU960" s="300"/>
      <c r="AV960" s="313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315"/>
      <c r="AO961" s="258"/>
      <c r="AP961" s="346"/>
      <c r="AQ961" s="300"/>
      <c r="AR961" s="300"/>
      <c r="AS961" s="345"/>
      <c r="AT961" s="345"/>
      <c r="AU961" s="300"/>
      <c r="AV961" s="313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315"/>
      <c r="AO962" s="258"/>
      <c r="AP962" s="346"/>
      <c r="AQ962" s="300"/>
      <c r="AR962" s="300"/>
      <c r="AS962" s="345"/>
      <c r="AT962" s="345"/>
      <c r="AU962" s="300"/>
      <c r="AV962" s="313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315"/>
      <c r="AO963" s="258"/>
      <c r="AP963" s="346"/>
      <c r="AQ963" s="300"/>
      <c r="AR963" s="300"/>
      <c r="AS963" s="345"/>
      <c r="AT963" s="345"/>
      <c r="AU963" s="300"/>
      <c r="AV963" s="313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315"/>
      <c r="AO964" s="258"/>
      <c r="AP964" s="346"/>
      <c r="AQ964" s="300"/>
      <c r="AR964" s="300"/>
      <c r="AS964" s="345"/>
      <c r="AT964" s="345"/>
      <c r="AU964" s="300"/>
      <c r="AV964" s="313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315"/>
      <c r="AO965" s="258"/>
      <c r="AP965" s="346"/>
      <c r="AQ965" s="300"/>
      <c r="AR965" s="300"/>
      <c r="AS965" s="345"/>
      <c r="AT965" s="345"/>
      <c r="AU965" s="300"/>
      <c r="AV965" s="313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315"/>
      <c r="AO966" s="258"/>
      <c r="AP966" s="346"/>
      <c r="AQ966" s="300"/>
      <c r="AR966" s="300"/>
      <c r="AS966" s="345"/>
      <c r="AT966" s="345"/>
      <c r="AU966" s="300"/>
      <c r="AV966" s="313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315"/>
      <c r="AO967" s="258"/>
      <c r="AP967" s="346"/>
      <c r="AQ967" s="300"/>
      <c r="AR967" s="300"/>
      <c r="AS967" s="345"/>
      <c r="AT967" s="345"/>
      <c r="AU967" s="300"/>
      <c r="AV967" s="313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315"/>
      <c r="AO968" s="258"/>
      <c r="AP968" s="346"/>
      <c r="AQ968" s="300"/>
      <c r="AR968" s="300"/>
      <c r="AS968" s="345"/>
      <c r="AT968" s="345"/>
      <c r="AU968" s="300"/>
      <c r="AV968" s="313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315"/>
      <c r="AO969" s="258"/>
      <c r="AP969" s="346"/>
      <c r="AQ969" s="300"/>
      <c r="AR969" s="300"/>
      <c r="AS969" s="345"/>
      <c r="AT969" s="345"/>
      <c r="AU969" s="300"/>
      <c r="AV969" s="313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315"/>
      <c r="AO970" s="258"/>
      <c r="AP970" s="346"/>
      <c r="AQ970" s="300"/>
      <c r="AR970" s="300"/>
      <c r="AS970" s="345"/>
      <c r="AT970" s="345"/>
      <c r="AU970" s="300"/>
      <c r="AV970" s="313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315"/>
      <c r="AO971" s="258"/>
      <c r="AP971" s="346"/>
      <c r="AQ971" s="300"/>
      <c r="AR971" s="300"/>
      <c r="AS971" s="345"/>
      <c r="AT971" s="345"/>
      <c r="AU971" s="300"/>
      <c r="AV971" s="313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315"/>
      <c r="AO972" s="258"/>
      <c r="AP972" s="346"/>
      <c r="AQ972" s="300"/>
      <c r="AR972" s="300"/>
      <c r="AS972" s="345"/>
      <c r="AT972" s="345"/>
      <c r="AU972" s="300"/>
      <c r="AV972" s="313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315"/>
      <c r="AO973" s="258"/>
      <c r="AP973" s="346"/>
      <c r="AQ973" s="300"/>
      <c r="AR973" s="300"/>
      <c r="AS973" s="345"/>
      <c r="AT973" s="345"/>
      <c r="AU973" s="300"/>
      <c r="AV973" s="313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315"/>
      <c r="AO974" s="258"/>
      <c r="AP974" s="346"/>
      <c r="AQ974" s="300"/>
      <c r="AR974" s="300"/>
      <c r="AS974" s="345"/>
      <c r="AT974" s="345"/>
      <c r="AU974" s="300"/>
      <c r="AV974" s="313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315"/>
      <c r="AO975" s="258"/>
      <c r="AP975" s="346"/>
      <c r="AQ975" s="300"/>
      <c r="AR975" s="300"/>
      <c r="AS975" s="345"/>
      <c r="AT975" s="345"/>
      <c r="AU975" s="300"/>
      <c r="AV975" s="313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315"/>
      <c r="AO976" s="258"/>
      <c r="AP976" s="346"/>
      <c r="AQ976" s="300"/>
      <c r="AR976" s="300"/>
      <c r="AS976" s="345"/>
      <c r="AT976" s="345"/>
      <c r="AU976" s="300"/>
      <c r="AV976" s="313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315"/>
      <c r="AO977" s="258"/>
      <c r="AP977" s="346"/>
      <c r="AQ977" s="300"/>
      <c r="AR977" s="300"/>
      <c r="AS977" s="345"/>
      <c r="AT977" s="345"/>
      <c r="AU977" s="300"/>
      <c r="AV977" s="313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315"/>
      <c r="AO978" s="258"/>
      <c r="AP978" s="346"/>
      <c r="AQ978" s="300"/>
      <c r="AR978" s="300"/>
      <c r="AS978" s="345"/>
      <c r="AT978" s="345"/>
      <c r="AU978" s="300"/>
      <c r="AV978" s="313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315"/>
      <c r="AO979" s="258"/>
      <c r="AP979" s="346"/>
      <c r="AQ979" s="300"/>
      <c r="AR979" s="300"/>
      <c r="AS979" s="345"/>
      <c r="AT979" s="345"/>
      <c r="AU979" s="300"/>
      <c r="AV979" s="313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315"/>
      <c r="AO980" s="258"/>
      <c r="AP980" s="346"/>
      <c r="AQ980" s="300"/>
      <c r="AR980" s="300"/>
      <c r="AS980" s="345"/>
      <c r="AT980" s="345"/>
      <c r="AU980" s="300"/>
      <c r="AV980" s="313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315"/>
      <c r="AO981" s="258"/>
      <c r="AP981" s="346"/>
      <c r="AQ981" s="300"/>
      <c r="AR981" s="300"/>
      <c r="AS981" s="345"/>
      <c r="AT981" s="345"/>
      <c r="AU981" s="300"/>
      <c r="AV981" s="313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315"/>
      <c r="AO982" s="258"/>
      <c r="AP982" s="346"/>
      <c r="AQ982" s="300"/>
      <c r="AR982" s="300"/>
      <c r="AS982" s="345"/>
      <c r="AT982" s="345"/>
      <c r="AU982" s="300"/>
      <c r="AV982" s="313"/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315"/>
      <c r="AO983" s="258"/>
      <c r="AP983" s="346"/>
      <c r="AQ983" s="300"/>
      <c r="AR983" s="300"/>
      <c r="AS983" s="345"/>
      <c r="AT983" s="345"/>
      <c r="AU983" s="300"/>
      <c r="AV983" s="313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315"/>
      <c r="AO984" s="258"/>
      <c r="AP984" s="346"/>
      <c r="AQ984" s="300"/>
      <c r="AR984" s="300"/>
      <c r="AS984" s="345"/>
      <c r="AT984" s="345"/>
      <c r="AU984" s="300"/>
      <c r="AV984" s="313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315"/>
      <c r="AO985" s="258"/>
      <c r="AP985" s="346"/>
      <c r="AQ985" s="300"/>
      <c r="AR985" s="300"/>
      <c r="AS985" s="345"/>
      <c r="AT985" s="345"/>
      <c r="AU985" s="300"/>
      <c r="AV985" s="313"/>
      <c r="AW985" s="258"/>
      <c r="AX985" s="351"/>
      <c r="AY985" s="351"/>
      <c r="AZ985" s="351"/>
      <c r="BA985" s="351"/>
      <c r="BB985" s="351"/>
      <c r="BC985" s="351"/>
      <c r="BD985" s="351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315"/>
      <c r="AO986" s="258"/>
      <c r="AP986" s="346"/>
      <c r="AQ986" s="300"/>
      <c r="AR986" s="300"/>
      <c r="AS986" s="345"/>
      <c r="AT986" s="345"/>
      <c r="AU986" s="300"/>
      <c r="AV986" s="313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315"/>
      <c r="AO987" s="258"/>
      <c r="AP987" s="346"/>
      <c r="AQ987" s="300"/>
      <c r="AR987" s="300"/>
      <c r="AS987" s="345"/>
      <c r="AT987" s="345"/>
      <c r="AU987" s="300"/>
      <c r="AV987" s="313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315"/>
      <c r="AO988" s="258"/>
      <c r="AP988" s="346"/>
      <c r="AQ988" s="300"/>
      <c r="AR988" s="300"/>
      <c r="AS988" s="345"/>
      <c r="AT988" s="345"/>
      <c r="AU988" s="300"/>
      <c r="AV988" s="313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315"/>
      <c r="AO989" s="258"/>
      <c r="AP989" s="346"/>
      <c r="AQ989" s="300"/>
      <c r="AR989" s="300"/>
      <c r="AS989" s="345"/>
      <c r="AT989" s="345"/>
      <c r="AU989" s="300"/>
      <c r="AV989" s="313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315"/>
      <c r="AO990" s="258"/>
      <c r="AP990" s="346"/>
      <c r="AQ990" s="300"/>
      <c r="AR990" s="300"/>
      <c r="AS990" s="345"/>
      <c r="AT990" s="345"/>
      <c r="AU990" s="300"/>
      <c r="AV990" s="313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315"/>
      <c r="AO991" s="258"/>
      <c r="AP991" s="346"/>
      <c r="AQ991" s="300"/>
      <c r="AR991" s="300"/>
      <c r="AS991" s="345"/>
      <c r="AT991" s="345"/>
      <c r="AU991" s="300"/>
      <c r="AV991" s="313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315"/>
      <c r="AO992" s="258"/>
      <c r="AP992" s="346"/>
      <c r="AQ992" s="300"/>
      <c r="AR992" s="300"/>
      <c r="AS992" s="345"/>
      <c r="AT992" s="345"/>
      <c r="AU992" s="300"/>
      <c r="AV992" s="313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315"/>
      <c r="AO993" s="258"/>
      <c r="AP993" s="346"/>
      <c r="AQ993" s="300"/>
      <c r="AR993" s="300"/>
      <c r="AS993" s="345"/>
      <c r="AT993" s="345"/>
      <c r="AU993" s="300"/>
      <c r="AV993" s="313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315"/>
      <c r="AO994" s="258"/>
      <c r="AP994" s="346"/>
      <c r="AQ994" s="300"/>
      <c r="AR994" s="300"/>
      <c r="AS994" s="345"/>
      <c r="AT994" s="345"/>
      <c r="AU994" s="300"/>
      <c r="AV994" s="313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315"/>
      <c r="AO995" s="258"/>
      <c r="AP995" s="346"/>
      <c r="AQ995" s="300"/>
      <c r="AR995" s="300"/>
      <c r="AS995" s="345"/>
      <c r="AT995" s="345"/>
      <c r="AU995" s="300"/>
      <c r="AV995" s="313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315"/>
      <c r="AO996" s="258"/>
      <c r="AP996" s="346"/>
      <c r="AQ996" s="300"/>
      <c r="AR996" s="300"/>
      <c r="AS996" s="345"/>
      <c r="AT996" s="345"/>
      <c r="AU996" s="300"/>
      <c r="AV996" s="313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315"/>
      <c r="AO997" s="258"/>
      <c r="AP997" s="346"/>
      <c r="AQ997" s="300"/>
      <c r="AR997" s="300"/>
      <c r="AS997" s="345"/>
      <c r="AT997" s="345"/>
      <c r="AU997" s="300"/>
      <c r="AV997" s="313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315"/>
      <c r="AO998" s="258"/>
      <c r="AP998" s="346"/>
      <c r="AQ998" s="300"/>
      <c r="AR998" s="300"/>
      <c r="AS998" s="345"/>
      <c r="AT998" s="345"/>
      <c r="AU998" s="300"/>
      <c r="AV998" s="313"/>
      <c r="AW998" s="258"/>
      <c r="BE998" s="258"/>
      <c r="BF998" s="346"/>
      <c r="BG998" s="300"/>
      <c r="BH998" s="300"/>
      <c r="BI998" s="345"/>
      <c r="BJ998" s="345"/>
      <c r="BK998" s="300"/>
      <c r="BL998" s="286" t="b">
        <v>0</v>
      </c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353"/>
      <c r="S999" s="213"/>
      <c r="T999" s="213"/>
      <c r="U999" s="354"/>
      <c r="V999" s="354"/>
      <c r="W999" s="213"/>
      <c r="X999" s="355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315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315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P1002" s="352"/>
      <c r="AQ1002" s="352"/>
      <c r="AR1002" s="352"/>
      <c r="AS1002" s="352"/>
      <c r="AT1002" s="352"/>
      <c r="AU1002" s="352"/>
      <c r="AV1002" s="352"/>
      <c r="AW1002" s="258"/>
      <c r="BE1002" s="258"/>
      <c r="BF1002" s="352"/>
      <c r="BG1002" s="352"/>
      <c r="BH1002" s="352"/>
      <c r="BI1002" s="352"/>
      <c r="BJ1002" s="352"/>
      <c r="BK1002" s="352"/>
      <c r="BL1002" s="352"/>
    </row>
    <row r="1003" ht="22.5" customHeight="1">
      <c r="A1003" s="368"/>
      <c r="B1003" s="444"/>
      <c r="C1003" s="195"/>
      <c r="D1003" s="195"/>
      <c r="E1003" s="199"/>
      <c r="F1003" s="199"/>
      <c r="G1003" s="195"/>
      <c r="H1003" s="371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H1003" s="351"/>
      <c r="AI1003" s="351"/>
      <c r="AJ1003" s="351"/>
      <c r="AK1003" s="351"/>
      <c r="AL1003" s="351"/>
      <c r="AM1003" s="351"/>
      <c r="AN1003" s="351"/>
      <c r="AO1003" s="258"/>
      <c r="AW1003" s="258"/>
      <c r="BE1003" s="258"/>
    </row>
    <row r="1004" ht="22.5" customHeight="1">
      <c r="A1004" s="368"/>
      <c r="B1004" s="447"/>
      <c r="C1004" s="447"/>
      <c r="D1004" s="447"/>
      <c r="E1004" s="447"/>
      <c r="F1004" s="447"/>
      <c r="G1004" s="447"/>
      <c r="H1004" s="447"/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</sheetData>
  <conditionalFormatting sqref="T8">
    <cfRule type="expression" dxfId="12" priority="1">
      <formula>COUNTIF(#REF!, T8)&gt;1</formula>
    </cfRule>
  </conditionalFormatting>
  <conditionalFormatting sqref="T8">
    <cfRule type="expression" dxfId="12" priority="2">
      <formula>COUNTIF(#REF!, T8)&gt;1</formula>
    </cfRule>
  </conditionalFormatting>
  <conditionalFormatting sqref="K109:K110">
    <cfRule type="expression" dxfId="12" priority="3">
      <formula>COUNTIF(C:C, K109)&gt;1</formula>
    </cfRule>
  </conditionalFormatting>
  <conditionalFormatting sqref="L109:L110">
    <cfRule type="expression" dxfId="12" priority="4">
      <formula>COUNTIF(D:D, L109)&gt;1</formula>
    </cfRule>
  </conditionalFormatting>
  <conditionalFormatting sqref="K55">
    <cfRule type="expression" dxfId="12" priority="5">
      <formula>COUNTIF(#REF!, K55)&gt;1</formula>
    </cfRule>
  </conditionalFormatting>
  <conditionalFormatting sqref="L55">
    <cfRule type="expression" dxfId="12" priority="6">
      <formula>COUNTIF(#REF!, L55)&gt;1</formula>
    </cfRule>
  </conditionalFormatting>
  <conditionalFormatting sqref="D24:D84">
    <cfRule type="expression" dxfId="12" priority="7">
      <formula>COUNTIF(#REF!, D24)&gt;1</formula>
    </cfRule>
  </conditionalFormatting>
  <conditionalFormatting sqref="D24:D84">
    <cfRule type="expression" dxfId="12" priority="8">
      <formula>COUNTIF(#REF!, D24)&gt;1</formula>
    </cfRule>
  </conditionalFormatting>
  <conditionalFormatting sqref="D2:D23">
    <cfRule type="expression" dxfId="12" priority="9">
      <formula>COUNTIF(#REF!, D2)&gt;1</formula>
    </cfRule>
  </conditionalFormatting>
  <conditionalFormatting sqref="D2:D23">
    <cfRule type="expression" dxfId="12" priority="10">
      <formula>COUNTIF(#REF!, D2)&gt;1</formula>
    </cfRule>
  </conditionalFormatting>
  <conditionalFormatting sqref="AI128">
    <cfRule type="expression" dxfId="12" priority="11">
      <formula>COUNTIF(AY:AY, AI128)&gt;1</formula>
    </cfRule>
  </conditionalFormatting>
  <conditionalFormatting sqref="C91">
    <cfRule type="expression" dxfId="12" priority="12">
      <formula>COUNTIF(S:S, C91)&gt;1</formula>
    </cfRule>
  </conditionalFormatting>
  <conditionalFormatting sqref="D91">
    <cfRule type="expression" dxfId="12" priority="13">
      <formula>COUNTIF(T:T, D91)&gt;1</formula>
    </cfRule>
  </conditionalFormatting>
  <conditionalFormatting sqref="K1:K54 K56:K108 K111:K1010">
    <cfRule type="expression" dxfId="12" priority="14">
      <formula>COUNTIF(K:K, K1)&gt;1</formula>
    </cfRule>
  </conditionalFormatting>
  <conditionalFormatting sqref="L1:L54 L56:L108 L111:L1010">
    <cfRule type="expression" dxfId="12" priority="15">
      <formula>COUNTIF(L:L, L1)&gt;1</formula>
    </cfRule>
  </conditionalFormatting>
  <conditionalFormatting sqref="S1 S9:S1010 AY15 AI16">
    <cfRule type="expression" dxfId="12" priority="16">
      <formula>COUNTIF(S:S, S1)&gt;1</formula>
    </cfRule>
  </conditionalFormatting>
  <conditionalFormatting sqref="T1 AJ1:AJ1010 AZ1:AZ1010 T9:T1010 AS12">
    <cfRule type="expression" dxfId="12" priority="17">
      <formula>COUNTIF(T:T, T1)&gt;1</formula>
    </cfRule>
  </conditionalFormatting>
  <conditionalFormatting sqref="AA1:AA1010 AQ1:AQ1010 BG1:BG1010 BH2 AY11 AR12">
    <cfRule type="expression" dxfId="12" priority="18">
      <formula>COUNTIF(AA:AA, AA1)&gt;1</formula>
    </cfRule>
  </conditionalFormatting>
  <conditionalFormatting sqref="AB1:AB1010 AR1:AR1010 BH1:BH1010 AZ11 AS12 AA33">
    <cfRule type="expression" dxfId="12" priority="19">
      <formula>COUNTIF(AB:AB, AB1)&gt;1</formula>
    </cfRule>
  </conditionalFormatting>
  <conditionalFormatting sqref="C1 S2:S7 AI2:AI4 AY2:AY4 C85:C90 C92:C125 C127:C1010">
    <cfRule type="expression" dxfId="12" priority="20">
      <formula>COUNTIF(C:C, C1)&gt;1</formula>
    </cfRule>
  </conditionalFormatting>
  <conditionalFormatting sqref="D1 T2:T7 AJ2:AJ363 AZ2:AZ369 AS12 D85:D90 D92:D125 D127:D1010">
    <cfRule type="expression" dxfId="12" priority="21">
      <formula>COUNTIF(D:D, D1)&gt;1</formula>
    </cfRule>
  </conditionalFormatting>
  <dataValidations>
    <dataValidation type="list" allowBlank="1" sqref="N2:N1010">
      <formula1>"Luis,Jesus,Clara,Noel,Daniela,Mariadelaida,Eduardo,Edvaldo,Alexis,Diana,Enrique,Rafael,Francisco"</formula1>
    </dataValidation>
    <dataValidation type="list" allowBlank="1" sqref="F2:F1003">
      <formula1>"Luis,Jesus,Clara,Noel,Daniela,Mariadelaida,Eduardo,Alexis,Diana,Enrique,Rafael,Francisco"</formula1>
    </dataValidation>
    <dataValidation type="list" allowBlank="1" sqref="AD2:AD1000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BJ2:BJ998 AT2:AT998">
      <formula1>"Luis,Jesus,Clara,Noel,Daniela,Mariadelaida,Eduardo,Edvaldo,Alexis,Francisco,Enrique,Rafael,Aegis"</formula1>
    </dataValidation>
    <dataValidation allowBlank="1" showDropDown="1" sqref="AY2:AZ982 BC2:BC982 BG2:BH998 BK2:BK998 AQ2:AR998 AU2:AU998 S2:T999 W2:W999 AA2:AB1000 AE2:AE1000 AI2:AJ1000 AM2:AM1000 C2:D1003 G2:G1003 K2:L1010 O2:O1010"/>
    <dataValidation type="list" allowBlank="1" sqref="BI2:BI998 AS2:AS998 AC2:AC1000 M2:M1010">
      <formula1>"Argentina,Colombia,Ecuador,Chile,Paraguay,Uruguay,Peru,Bolivia"</formula1>
    </dataValidation>
    <dataValidation type="list" allowBlank="1" sqref="V2:V999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9">
      <formula1>"Mexico,Costa Rica,Panama,Belize,Dominican Republic,Nicaragua,El Salvador,Guatemala,Honduras,Aegis"</formula1>
    </dataValidation>
    <dataValidation type="list" allowBlank="1" sqref="AL2:AL1000">
      <formula1>"Luis,Jesus,Clara,Noel,Daniela,Mariadelaida,Eduardo,Alexis,Diana,Francisco,Enrique,Rafael,Aegis,Maria Celeste"</formula1>
    </dataValidation>
    <dataValidation type="list" allowBlank="1" sqref="BA2:BA982 AK2:AK1000 E2:E1003">
      <formula1>"Mexico,Costa Rica,Panama,Belize,Dominican Republic,Nicaragua,El Salvador,Guatemala,Honduras"</formula1>
    </dataValidation>
    <dataValidation type="custom" allowBlank="1" showDropDown="1" sqref="AX2:AX982 BF2:BF998 AP2:AP998 R2:R999 Z2:Z1000 AH2:AH1000 B2:B1003 J2:J1010">
      <formula1>OR(NOT(ISERROR(DATEVALUE(B2))), AND(ISNUMBER(B2), LEFT(CELL("format", B2))="D"))</formula1>
    </dataValidation>
    <dataValidation type="list" allowBlank="1" sqref="BB2:BB982">
      <formula1>"Luis,Jesus,Clara,Noel,Daniela,Mariadelaida,Eduardo,Alexis,Diana,Francisco,Enrique,Rafael,Aegis"</formula1>
    </dataValidation>
  </dataValidations>
  <drawing r:id="rId2"/>
  <legacyDrawing r:id="rId3"/>
  <tableParts count="8">
    <tablePart r:id="rId12"/>
    <tablePart r:id="rId13"/>
    <tablePart r:id="rId14"/>
    <tablePart r:id="rId15"/>
    <tablePart r:id="rId16"/>
    <tablePart r:id="rId17"/>
    <tablePart r:id="rId18"/>
    <tablePart r:id="rId19"/>
  </tableParts>
</worksheet>
</file>