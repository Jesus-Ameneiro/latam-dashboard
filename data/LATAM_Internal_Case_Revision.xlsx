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tc={1a17379a-734b-4afc-923c-130012cb534a}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a17379a-734b-4afc-923c-130012cb534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<sst xmlns="http://schemas.openxmlformats.org/spreadsheetml/2006/main" count="11436" uniqueCount="5230">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</sst>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bb34379-fc2a-41fa-a671-317ec44c5bd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bb34379-fc2a-41fa-a671-317ec44c5bd4}" id="{1a17379a-734b-4afc-923c-130012cb534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44</v>
      </c>
      <c r="F127" s="246">
        <f t="shared" ref="F127:F129" si="7">C127-E127</f>
        <v>-4</v>
      </c>
      <c r="G127" s="10"/>
      <c r="H127" s="23" t="s">
        <v>11</v>
      </c>
      <c r="I127" s="36">
        <v>25.0</v>
      </c>
      <c r="J127" s="10"/>
      <c r="K127" s="33">
        <f>SUM(SUMIF($K$112:$K$125, "Argentina",$L$112:$L$125))</f>
        <v>13</v>
      </c>
      <c r="L127" s="33">
        <f t="shared" ref="L127:L131" si="8">I127-K127</f>
        <v>12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22</v>
      </c>
      <c r="F129" s="246">
        <f t="shared" si="7"/>
        <v>18</v>
      </c>
      <c r="G129" s="10"/>
      <c r="H129" s="23" t="s">
        <v>954</v>
      </c>
      <c r="I129" s="36">
        <v>35.0</v>
      </c>
      <c r="J129" s="10"/>
      <c r="K129" s="33">
        <f>SUM(SUMIF($K$112:$K$125, "Ecuador",$L$112:$L$125), SUMIF($K$112:$K$125, "Colombia",$L$112:$L$125))</f>
        <v>13</v>
      </c>
      <c r="L129" s="33">
        <f t="shared" si="8"/>
        <v>22</v>
      </c>
    </row>
    <row r="130" outlineLevel="1">
      <c r="D130" s="10"/>
      <c r="E130" s="37" t="s">
        <v>40</v>
      </c>
      <c r="F130" s="38">
        <f>sum(C127:C129)</f>
        <v>120</v>
      </c>
      <c r="G130" s="10"/>
      <c r="H130" s="22" t="s">
        <v>23</v>
      </c>
      <c r="I130" s="36">
        <v>15.0</v>
      </c>
      <c r="J130" s="10"/>
      <c r="K130" s="33">
        <f>SUM(SUMIF($K$112:$K$125, "Peru",$L$112:$L$125))</f>
        <v>23</v>
      </c>
      <c r="L130" s="33">
        <f t="shared" si="8"/>
        <v>-8</v>
      </c>
    </row>
    <row r="131" outlineLevel="1">
      <c r="D131" s="10"/>
      <c r="E131" s="37" t="s">
        <v>41</v>
      </c>
      <c r="F131" s="38">
        <f>SUM(F127:F129)</f>
        <v>35</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57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98"/>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98"/>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98"/>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270"/>
      <c r="BG67" s="109"/>
      <c r="BH67" s="109"/>
      <c r="BI67" s="344"/>
      <c r="BJ67" s="344"/>
      <c r="BK67" s="61"/>
      <c r="BL67" s="298"/>
    </row>
    <row r="68" ht="22.5" customHeight="1">
      <c r="A68" s="368"/>
      <c r="B68" s="270">
        <v>46181.0</v>
      </c>
      <c r="C68" s="109" t="s">
        <v>4763</v>
      </c>
      <c r="D68" s="373" t="s">
        <v>4764</v>
      </c>
      <c r="E68" s="58" t="s">
        <v>16</v>
      </c>
      <c r="F68" s="58" t="s">
        <v>2347</v>
      </c>
      <c r="G68" s="109" t="s">
        <v>4765</v>
      </c>
      <c r="H68" s="269" t="b">
        <v>1</v>
      </c>
      <c r="J68" s="270">
        <v>46177.0</v>
      </c>
      <c r="K68" s="109" t="s">
        <v>4766</v>
      </c>
      <c r="L68" s="109" t="s">
        <v>4767</v>
      </c>
      <c r="M68" s="58" t="s">
        <v>23</v>
      </c>
      <c r="N68" s="58" t="s">
        <v>20</v>
      </c>
      <c r="O68" s="61"/>
      <c r="P68" s="269" t="b">
        <v>1</v>
      </c>
      <c r="R68" s="403">
        <v>46185.0</v>
      </c>
      <c r="S68" s="273" t="s">
        <v>4768</v>
      </c>
      <c r="T68" s="273" t="s">
        <v>4769</v>
      </c>
      <c r="U68" s="274" t="s">
        <v>32</v>
      </c>
      <c r="V68" s="274" t="s">
        <v>2344</v>
      </c>
      <c r="W68" s="109"/>
      <c r="X68" s="269" t="b">
        <v>1</v>
      </c>
      <c r="Z68" s="403">
        <v>46183.0</v>
      </c>
      <c r="AA68" s="294" t="s">
        <v>4770</v>
      </c>
      <c r="AB68" s="294" t="s">
        <v>4771</v>
      </c>
      <c r="AC68" s="391" t="s">
        <v>30</v>
      </c>
      <c r="AD68" s="391" t="s">
        <v>2337</v>
      </c>
      <c r="AE68" s="61"/>
      <c r="AF68" s="269" t="b">
        <v>1</v>
      </c>
      <c r="AH68" s="270">
        <v>46190.0</v>
      </c>
      <c r="AI68" s="273" t="s">
        <v>4772</v>
      </c>
      <c r="AJ68" s="273" t="s">
        <v>4773</v>
      </c>
      <c r="AK68" s="274" t="s">
        <v>24</v>
      </c>
      <c r="AL68" s="58" t="s">
        <v>12</v>
      </c>
      <c r="AM68" s="61"/>
      <c r="AN68" s="269" t="b">
        <v>1</v>
      </c>
      <c r="AP68" s="382">
        <v>46190.0</v>
      </c>
      <c r="AQ68" s="109" t="s">
        <v>4774</v>
      </c>
      <c r="AR68" s="109" t="s">
        <v>4775</v>
      </c>
      <c r="AS68" s="58" t="s">
        <v>11</v>
      </c>
      <c r="AT68" s="58" t="s">
        <v>14</v>
      </c>
      <c r="AU68" s="61"/>
      <c r="AV68" s="269" t="b">
        <v>1</v>
      </c>
      <c r="AX68" s="270">
        <v>46198.0</v>
      </c>
      <c r="AY68" s="109" t="s">
        <v>4776</v>
      </c>
      <c r="AZ68" s="373" t="s">
        <v>4777</v>
      </c>
      <c r="BA68" s="58" t="s">
        <v>22</v>
      </c>
      <c r="BB68" s="58" t="s">
        <v>9</v>
      </c>
      <c r="BC68" s="109" t="s">
        <v>4778</v>
      </c>
      <c r="BD68" s="298"/>
      <c r="BF68" s="270"/>
      <c r="BG68" s="109"/>
      <c r="BH68" s="109"/>
      <c r="BI68" s="344"/>
      <c r="BJ68" s="344"/>
      <c r="BK68" s="61"/>
      <c r="BL68" s="298"/>
    </row>
    <row r="69" ht="22.5" customHeight="1">
      <c r="A69" s="368"/>
      <c r="B69" s="270">
        <v>46181.0</v>
      </c>
      <c r="C69" s="109" t="s">
        <v>4779</v>
      </c>
      <c r="D69" s="373" t="s">
        <v>4780</v>
      </c>
      <c r="E69" s="58" t="s">
        <v>10</v>
      </c>
      <c r="F69" s="58" t="s">
        <v>9</v>
      </c>
      <c r="G69" s="61"/>
      <c r="H69" s="269" t="b">
        <v>1</v>
      </c>
      <c r="J69" s="401">
        <v>46177.0</v>
      </c>
      <c r="K69" s="273" t="s">
        <v>4781</v>
      </c>
      <c r="L69" s="273" t="s">
        <v>4782</v>
      </c>
      <c r="M69" s="402" t="s">
        <v>11</v>
      </c>
      <c r="N69" s="402" t="s">
        <v>2337</v>
      </c>
      <c r="O69" s="109" t="s">
        <v>3824</v>
      </c>
      <c r="P69" s="269" t="b">
        <v>1</v>
      </c>
      <c r="R69" s="403">
        <v>46185.0</v>
      </c>
      <c r="S69" s="294" t="s">
        <v>4783</v>
      </c>
      <c r="T69" s="294" t="s">
        <v>4784</v>
      </c>
      <c r="U69" s="295" t="s">
        <v>22</v>
      </c>
      <c r="V69" s="295" t="s">
        <v>2344</v>
      </c>
      <c r="W69" s="61"/>
      <c r="X69" s="269" t="b">
        <v>1</v>
      </c>
      <c r="Z69" s="403">
        <v>46183.0</v>
      </c>
      <c r="AA69" s="109" t="s">
        <v>4785</v>
      </c>
      <c r="AB69" s="109" t="s">
        <v>4786</v>
      </c>
      <c r="AC69" s="58" t="s">
        <v>27</v>
      </c>
      <c r="AD69" s="58" t="s">
        <v>14</v>
      </c>
      <c r="AE69" s="61"/>
      <c r="AF69" s="269" t="b">
        <v>1</v>
      </c>
      <c r="AH69" s="270">
        <v>46190.0</v>
      </c>
      <c r="AI69" s="294" t="s">
        <v>4787</v>
      </c>
      <c r="AJ69" s="294" t="s">
        <v>4788</v>
      </c>
      <c r="AK69" s="295" t="s">
        <v>22</v>
      </c>
      <c r="AL69" s="58" t="s">
        <v>12</v>
      </c>
      <c r="AM69" s="61"/>
      <c r="AN69" s="269" t="b">
        <v>1</v>
      </c>
      <c r="AP69" s="382">
        <v>46190.0</v>
      </c>
      <c r="AQ69" s="273" t="s">
        <v>4789</v>
      </c>
      <c r="AR69" s="273" t="s">
        <v>4790</v>
      </c>
      <c r="AS69" s="274" t="s">
        <v>18</v>
      </c>
      <c r="AT69" s="274" t="s">
        <v>2338</v>
      </c>
      <c r="AU69" s="61"/>
      <c r="AV69" s="269" t="b">
        <v>1</v>
      </c>
      <c r="AX69" s="270">
        <v>46198.0</v>
      </c>
      <c r="AY69" s="109" t="s">
        <v>4791</v>
      </c>
      <c r="AZ69" s="373" t="s">
        <v>4792</v>
      </c>
      <c r="BA69" s="58" t="s">
        <v>32</v>
      </c>
      <c r="BB69" s="58" t="s">
        <v>9</v>
      </c>
      <c r="BC69" s="513" t="s">
        <v>4793</v>
      </c>
      <c r="BD69" s="269" t="b">
        <v>1</v>
      </c>
      <c r="BF69" s="270"/>
      <c r="BG69" s="109"/>
      <c r="BH69" s="109"/>
      <c r="BI69" s="344"/>
      <c r="BJ69" s="344"/>
      <c r="BK69" s="61"/>
      <c r="BL69" s="298"/>
    </row>
    <row r="70" ht="22.5" customHeight="1">
      <c r="A70" s="368"/>
      <c r="B70" s="270">
        <v>46181.0</v>
      </c>
      <c r="C70" s="109" t="s">
        <v>4794</v>
      </c>
      <c r="D70" s="373" t="s">
        <v>4795</v>
      </c>
      <c r="E70" s="58" t="s">
        <v>16</v>
      </c>
      <c r="F70" s="58" t="s">
        <v>2347</v>
      </c>
      <c r="G70" s="61"/>
      <c r="H70" s="269" t="b">
        <v>1</v>
      </c>
      <c r="J70" s="403">
        <v>46177.0</v>
      </c>
      <c r="K70" s="294" t="s">
        <v>4796</v>
      </c>
      <c r="L70" s="294" t="s">
        <v>4797</v>
      </c>
      <c r="M70" s="391" t="s">
        <v>11</v>
      </c>
      <c r="N70" s="391" t="s">
        <v>2337</v>
      </c>
      <c r="O70" s="61"/>
      <c r="P70" s="269" t="b">
        <v>1</v>
      </c>
      <c r="R70" s="403">
        <v>46185.0</v>
      </c>
      <c r="S70" s="273" t="s">
        <v>4798</v>
      </c>
      <c r="T70" s="273" t="s">
        <v>4799</v>
      </c>
      <c r="U70" s="274" t="s">
        <v>13</v>
      </c>
      <c r="V70" s="274" t="s">
        <v>2344</v>
      </c>
      <c r="W70" s="61"/>
      <c r="X70" s="269" t="b">
        <v>1</v>
      </c>
      <c r="Z70" s="499">
        <v>46184.0</v>
      </c>
      <c r="AA70" s="456" t="s">
        <v>4800</v>
      </c>
      <c r="AB70" s="456" t="s">
        <v>4801</v>
      </c>
      <c r="AC70" s="466" t="s">
        <v>21</v>
      </c>
      <c r="AD70" s="466" t="s">
        <v>20</v>
      </c>
      <c r="AE70" s="61"/>
      <c r="AF70" s="269" t="b">
        <v>1</v>
      </c>
      <c r="AH70" s="270">
        <v>46190.0</v>
      </c>
      <c r="AI70" s="273" t="s">
        <v>4802</v>
      </c>
      <c r="AJ70" s="273" t="s">
        <v>4803</v>
      </c>
      <c r="AK70" s="274" t="s">
        <v>10</v>
      </c>
      <c r="AL70" s="58" t="s">
        <v>12</v>
      </c>
      <c r="AM70" s="61"/>
      <c r="AN70" s="269" t="b">
        <v>1</v>
      </c>
      <c r="AP70" s="380">
        <v>46190.0</v>
      </c>
      <c r="AQ70" s="405" t="s">
        <v>4804</v>
      </c>
      <c r="AR70" s="405" t="s">
        <v>4805</v>
      </c>
      <c r="AS70" s="406" t="s">
        <v>27</v>
      </c>
      <c r="AT70" s="406" t="s">
        <v>2338</v>
      </c>
      <c r="AU70" s="61"/>
      <c r="AV70" s="269" t="b">
        <v>1</v>
      </c>
      <c r="AX70" s="270">
        <v>46198.0</v>
      </c>
      <c r="AY70" s="294" t="s">
        <v>4806</v>
      </c>
      <c r="AZ70" s="294" t="s">
        <v>4807</v>
      </c>
      <c r="BA70" s="295" t="s">
        <v>13</v>
      </c>
      <c r="BB70" s="58" t="s">
        <v>12</v>
      </c>
      <c r="BC70" s="61"/>
      <c r="BD70" s="298"/>
      <c r="BF70" s="270"/>
      <c r="BG70" s="109"/>
      <c r="BH70" s="109"/>
      <c r="BI70" s="344"/>
      <c r="BJ70" s="344"/>
      <c r="BK70" s="61"/>
      <c r="BL70" s="298"/>
    </row>
    <row r="71" ht="22.5" customHeight="1">
      <c r="A71" s="368"/>
      <c r="B71" s="270">
        <v>46181.0</v>
      </c>
      <c r="C71" s="294" t="s">
        <v>4808</v>
      </c>
      <c r="D71" s="294" t="s">
        <v>4809</v>
      </c>
      <c r="E71" s="391" t="s">
        <v>24</v>
      </c>
      <c r="F71" s="58" t="s">
        <v>12</v>
      </c>
      <c r="G71" s="61"/>
      <c r="H71" s="269" t="b">
        <v>1</v>
      </c>
      <c r="J71" s="401">
        <v>46177.0</v>
      </c>
      <c r="K71" s="273" t="s">
        <v>4810</v>
      </c>
      <c r="L71" s="273" t="s">
        <v>4811</v>
      </c>
      <c r="M71" s="402" t="s">
        <v>11</v>
      </c>
      <c r="N71" s="402" t="s">
        <v>2337</v>
      </c>
      <c r="O71" s="61"/>
      <c r="P71" s="269" t="b">
        <v>1</v>
      </c>
      <c r="R71" s="382">
        <v>46185.0</v>
      </c>
      <c r="S71" s="273" t="s">
        <v>4812</v>
      </c>
      <c r="T71" s="273" t="s">
        <v>4813</v>
      </c>
      <c r="U71" s="383" t="s">
        <v>10</v>
      </c>
      <c r="V71" s="410" t="s">
        <v>2338</v>
      </c>
      <c r="W71" s="109"/>
      <c r="X71" s="269" t="b">
        <v>1</v>
      </c>
      <c r="Z71" s="514">
        <v>46184.0</v>
      </c>
      <c r="AA71" s="453" t="s">
        <v>130</v>
      </c>
      <c r="AB71" s="453" t="s">
        <v>131</v>
      </c>
      <c r="AC71" s="462" t="s">
        <v>11</v>
      </c>
      <c r="AD71" s="462" t="s">
        <v>20</v>
      </c>
      <c r="AE71" s="61"/>
      <c r="AF71" s="269" t="b">
        <v>1</v>
      </c>
      <c r="AH71" s="270">
        <v>46191.0</v>
      </c>
      <c r="AI71" s="109" t="s">
        <v>4814</v>
      </c>
      <c r="AJ71" s="373" t="s">
        <v>4815</v>
      </c>
      <c r="AK71" s="58" t="s">
        <v>22</v>
      </c>
      <c r="AL71" s="58" t="s">
        <v>28</v>
      </c>
      <c r="AM71" s="61"/>
      <c r="AN71" s="269" t="b">
        <v>1</v>
      </c>
      <c r="AP71" s="382">
        <v>46190.0</v>
      </c>
      <c r="AQ71" s="430" t="s">
        <v>4816</v>
      </c>
      <c r="AR71" s="430" t="s">
        <v>4817</v>
      </c>
      <c r="AS71" s="410" t="s">
        <v>21</v>
      </c>
      <c r="AT71" s="410" t="s">
        <v>2338</v>
      </c>
      <c r="AU71" s="61"/>
      <c r="AV71" s="269" t="b">
        <v>1</v>
      </c>
      <c r="AX71" s="270">
        <v>46198.0</v>
      </c>
      <c r="AY71" s="273" t="s">
        <v>4818</v>
      </c>
      <c r="AZ71" s="273" t="s">
        <v>4819</v>
      </c>
      <c r="BA71" s="274" t="s">
        <v>10</v>
      </c>
      <c r="BB71" s="58" t="s">
        <v>12</v>
      </c>
      <c r="BC71" s="61"/>
      <c r="BD71" s="298"/>
      <c r="BF71" s="270"/>
      <c r="BG71" s="109"/>
      <c r="BH71" s="109"/>
      <c r="BI71" s="344"/>
      <c r="BJ71" s="344"/>
      <c r="BK71" s="61"/>
      <c r="BL71" s="298"/>
    </row>
    <row r="72" ht="22.5" customHeight="1">
      <c r="A72" s="368"/>
      <c r="B72" s="270">
        <v>46181.0</v>
      </c>
      <c r="C72" s="273" t="s">
        <v>4820</v>
      </c>
      <c r="D72" s="273" t="s">
        <v>4821</v>
      </c>
      <c r="E72" s="402" t="s">
        <v>44</v>
      </c>
      <c r="F72" s="58" t="s">
        <v>12</v>
      </c>
      <c r="G72" s="61"/>
      <c r="H72" s="269" t="b">
        <v>1</v>
      </c>
      <c r="J72" s="403">
        <v>46177.0</v>
      </c>
      <c r="K72" s="294" t="s">
        <v>4822</v>
      </c>
      <c r="L72" s="294" t="s">
        <v>4823</v>
      </c>
      <c r="M72" s="391" t="s">
        <v>11</v>
      </c>
      <c r="N72" s="391" t="s">
        <v>2337</v>
      </c>
      <c r="O72" s="61"/>
      <c r="P72" s="269" t="b">
        <v>1</v>
      </c>
      <c r="R72" s="380">
        <v>46185.0</v>
      </c>
      <c r="S72" s="294" t="s">
        <v>4824</v>
      </c>
      <c r="T72" s="294" t="s">
        <v>4825</v>
      </c>
      <c r="U72" s="441" t="s">
        <v>10</v>
      </c>
      <c r="V72" s="295" t="s">
        <v>2338</v>
      </c>
      <c r="W72" s="61"/>
      <c r="X72" s="269" t="b">
        <v>1</v>
      </c>
      <c r="Z72" s="499">
        <v>46184.0</v>
      </c>
      <c r="AA72" s="456" t="s">
        <v>4826</v>
      </c>
      <c r="AB72" s="456" t="s">
        <v>4827</v>
      </c>
      <c r="AC72" s="466" t="s">
        <v>11</v>
      </c>
      <c r="AD72" s="466" t="s">
        <v>20</v>
      </c>
      <c r="AE72" s="61"/>
      <c r="AF72" s="269" t="b">
        <v>1</v>
      </c>
      <c r="AH72" s="270">
        <v>46191.0</v>
      </c>
      <c r="AI72" s="294" t="s">
        <v>4828</v>
      </c>
      <c r="AJ72" s="411" t="s">
        <v>4829</v>
      </c>
      <c r="AK72" s="295" t="s">
        <v>22</v>
      </c>
      <c r="AL72" s="58" t="s">
        <v>12</v>
      </c>
      <c r="AM72" s="61"/>
      <c r="AN72" s="269" t="b">
        <v>1</v>
      </c>
      <c r="AP72" s="380">
        <v>46190.0</v>
      </c>
      <c r="AQ72" s="294" t="s">
        <v>4830</v>
      </c>
      <c r="AR72" s="294" t="s">
        <v>4831</v>
      </c>
      <c r="AS72" s="381" t="s">
        <v>30</v>
      </c>
      <c r="AT72" s="295" t="s">
        <v>2338</v>
      </c>
      <c r="AU72" s="61"/>
      <c r="AV72" s="269" t="b">
        <v>1</v>
      </c>
      <c r="AX72" s="270">
        <v>46198.0</v>
      </c>
      <c r="AY72" s="405" t="s">
        <v>4832</v>
      </c>
      <c r="AZ72" s="405" t="s">
        <v>4833</v>
      </c>
      <c r="BA72" s="406" t="s">
        <v>24</v>
      </c>
      <c r="BB72" s="58" t="s">
        <v>12</v>
      </c>
      <c r="BC72" s="61"/>
      <c r="BD72" s="298"/>
      <c r="BF72" s="270"/>
      <c r="BG72" s="109"/>
      <c r="BH72" s="109"/>
      <c r="BI72" s="344"/>
      <c r="BJ72" s="344"/>
      <c r="BK72" s="61"/>
      <c r="BL72" s="298"/>
    </row>
    <row r="73" ht="22.5" customHeight="1">
      <c r="A73" s="368"/>
      <c r="B73" s="270">
        <v>46181.0</v>
      </c>
      <c r="C73" s="294" t="s">
        <v>4834</v>
      </c>
      <c r="D73" s="294" t="s">
        <v>4835</v>
      </c>
      <c r="E73" s="391" t="s">
        <v>24</v>
      </c>
      <c r="F73" s="58" t="s">
        <v>12</v>
      </c>
      <c r="G73" s="61"/>
      <c r="H73" s="269" t="b">
        <v>1</v>
      </c>
      <c r="J73" s="401">
        <v>46177.0</v>
      </c>
      <c r="K73" s="273" t="s">
        <v>4836</v>
      </c>
      <c r="L73" s="273" t="s">
        <v>4837</v>
      </c>
      <c r="M73" s="402" t="s">
        <v>11</v>
      </c>
      <c r="N73" s="402" t="s">
        <v>2337</v>
      </c>
      <c r="O73" s="61"/>
      <c r="P73" s="269" t="b">
        <v>1</v>
      </c>
      <c r="R73" s="270">
        <v>46185.0</v>
      </c>
      <c r="S73" s="312" t="s">
        <v>4838</v>
      </c>
      <c r="T73" s="109" t="s">
        <v>4839</v>
      </c>
      <c r="U73" s="58"/>
      <c r="V73" s="58" t="s">
        <v>2347</v>
      </c>
      <c r="W73" s="427" t="s">
        <v>2432</v>
      </c>
      <c r="X73" s="298"/>
      <c r="Z73" s="514">
        <v>46184.0</v>
      </c>
      <c r="AA73" s="453" t="s">
        <v>4840</v>
      </c>
      <c r="AB73" s="453" t="s">
        <v>4841</v>
      </c>
      <c r="AC73" s="462" t="s">
        <v>11</v>
      </c>
      <c r="AD73" s="462" t="s">
        <v>20</v>
      </c>
      <c r="AE73" s="61"/>
      <c r="AF73" s="269" t="b">
        <v>1</v>
      </c>
      <c r="AH73" s="270">
        <v>46191.0</v>
      </c>
      <c r="AI73" s="273" t="s">
        <v>4842</v>
      </c>
      <c r="AJ73" s="413" t="s">
        <v>4843</v>
      </c>
      <c r="AK73" s="274" t="s">
        <v>22</v>
      </c>
      <c r="AL73" s="58" t="s">
        <v>12</v>
      </c>
      <c r="AM73" s="61"/>
      <c r="AN73" s="269" t="b">
        <v>1</v>
      </c>
      <c r="AP73" s="403">
        <v>46191.0</v>
      </c>
      <c r="AQ73" s="294" t="s">
        <v>4844</v>
      </c>
      <c r="AR73" s="294" t="s">
        <v>4845</v>
      </c>
      <c r="AS73" s="295" t="s">
        <v>11</v>
      </c>
      <c r="AT73" s="295" t="s">
        <v>2337</v>
      </c>
      <c r="AU73" s="61"/>
      <c r="AV73" s="269" t="b">
        <v>1</v>
      </c>
      <c r="AX73" s="270">
        <v>46198.0</v>
      </c>
      <c r="AY73" s="273" t="s">
        <v>4846</v>
      </c>
      <c r="AZ73" s="273" t="s">
        <v>4847</v>
      </c>
      <c r="BA73" s="274" t="s">
        <v>16</v>
      </c>
      <c r="BB73" s="58" t="s">
        <v>12</v>
      </c>
      <c r="BC73" s="61"/>
      <c r="BD73" s="298"/>
      <c r="BF73" s="270"/>
      <c r="BG73" s="109"/>
      <c r="BH73" s="109"/>
      <c r="BI73" s="344"/>
      <c r="BJ73" s="344"/>
      <c r="BK73" s="61"/>
      <c r="BL73" s="298"/>
    </row>
    <row r="74" ht="22.5" customHeight="1">
      <c r="A74" s="368"/>
      <c r="B74" s="270">
        <v>46181.0</v>
      </c>
      <c r="C74" s="273" t="s">
        <v>4848</v>
      </c>
      <c r="D74" s="273" t="s">
        <v>4849</v>
      </c>
      <c r="E74" s="402" t="s">
        <v>10</v>
      </c>
      <c r="F74" s="58" t="s">
        <v>12</v>
      </c>
      <c r="G74" s="61"/>
      <c r="H74" s="269" t="b">
        <v>1</v>
      </c>
      <c r="J74" s="403">
        <v>46177.0</v>
      </c>
      <c r="K74" s="294" t="s">
        <v>4850</v>
      </c>
      <c r="L74" s="294" t="s">
        <v>4851</v>
      </c>
      <c r="M74" s="391" t="s">
        <v>11</v>
      </c>
      <c r="N74" s="391" t="s">
        <v>2337</v>
      </c>
      <c r="O74" s="61"/>
      <c r="P74" s="269" t="b">
        <v>1</v>
      </c>
      <c r="R74" s="270">
        <v>46185.0</v>
      </c>
      <c r="S74" s="384" t="s">
        <v>4852</v>
      </c>
      <c r="T74" s="109" t="s">
        <v>4853</v>
      </c>
      <c r="U74" s="58" t="s">
        <v>22</v>
      </c>
      <c r="V74" s="58" t="s">
        <v>2347</v>
      </c>
      <c r="W74" s="61"/>
      <c r="X74" s="269" t="b">
        <v>1</v>
      </c>
      <c r="Z74" s="499">
        <v>46184.0</v>
      </c>
      <c r="AA74" s="456" t="s">
        <v>4854</v>
      </c>
      <c r="AB74" s="456" t="s">
        <v>4855</v>
      </c>
      <c r="AC74" s="466" t="s">
        <v>11</v>
      </c>
      <c r="AD74" s="466" t="s">
        <v>20</v>
      </c>
      <c r="AE74" s="61"/>
      <c r="AF74" s="269" t="b">
        <v>1</v>
      </c>
      <c r="AG74" s="428"/>
      <c r="AH74" s="270">
        <v>46191.0</v>
      </c>
      <c r="AI74" s="294" t="s">
        <v>4856</v>
      </c>
      <c r="AJ74" s="411" t="s">
        <v>4857</v>
      </c>
      <c r="AK74" s="295" t="s">
        <v>22</v>
      </c>
      <c r="AL74" s="58" t="s">
        <v>12</v>
      </c>
      <c r="AM74" s="61"/>
      <c r="AN74" s="269" t="b">
        <v>1</v>
      </c>
      <c r="AP74" s="401">
        <v>46191.0</v>
      </c>
      <c r="AQ74" s="273" t="s">
        <v>4858</v>
      </c>
      <c r="AR74" s="273" t="s">
        <v>4859</v>
      </c>
      <c r="AS74" s="274" t="s">
        <v>25</v>
      </c>
      <c r="AT74" s="274" t="s">
        <v>2337</v>
      </c>
      <c r="AU74" s="61"/>
      <c r="AV74" s="269" t="b">
        <v>1</v>
      </c>
      <c r="AX74" s="270">
        <v>46198.0</v>
      </c>
      <c r="AY74" s="405" t="s">
        <v>4860</v>
      </c>
      <c r="AZ74" s="405" t="s">
        <v>4861</v>
      </c>
      <c r="BA74" s="406" t="s">
        <v>13</v>
      </c>
      <c r="BB74" s="58" t="s">
        <v>12</v>
      </c>
      <c r="BC74" s="61"/>
      <c r="BD74" s="298"/>
      <c r="BF74" s="270"/>
      <c r="BG74" s="109"/>
      <c r="BH74" s="109"/>
      <c r="BI74" s="344"/>
      <c r="BJ74" s="344"/>
      <c r="BK74" s="61"/>
      <c r="BL74" s="298"/>
    </row>
    <row r="75" ht="22.5" customHeight="1">
      <c r="A75" s="368"/>
      <c r="B75" s="270">
        <v>46181.0</v>
      </c>
      <c r="C75" s="294" t="s">
        <v>4862</v>
      </c>
      <c r="D75" s="294" t="s">
        <v>4863</v>
      </c>
      <c r="E75" s="391" t="s">
        <v>10</v>
      </c>
      <c r="F75" s="58" t="s">
        <v>12</v>
      </c>
      <c r="G75" s="61"/>
      <c r="H75" s="269"/>
      <c r="J75" s="401">
        <v>46177.0</v>
      </c>
      <c r="K75" s="273" t="s">
        <v>4864</v>
      </c>
      <c r="L75" s="273" t="s">
        <v>4865</v>
      </c>
      <c r="M75" s="402" t="s">
        <v>11</v>
      </c>
      <c r="N75" s="402" t="s">
        <v>2337</v>
      </c>
      <c r="O75" s="61"/>
      <c r="P75" s="269" t="b">
        <v>1</v>
      </c>
      <c r="R75" s="270">
        <v>46186.0</v>
      </c>
      <c r="S75" s="384" t="s">
        <v>4866</v>
      </c>
      <c r="T75" s="109" t="s">
        <v>4867</v>
      </c>
      <c r="U75" s="58" t="s">
        <v>22</v>
      </c>
      <c r="V75" s="58" t="s">
        <v>2347</v>
      </c>
      <c r="W75" s="109"/>
      <c r="X75" s="269" t="b">
        <v>1</v>
      </c>
      <c r="Z75" s="468">
        <v>46184.0</v>
      </c>
      <c r="AA75" s="456" t="s">
        <v>4868</v>
      </c>
      <c r="AB75" s="453" t="s">
        <v>4869</v>
      </c>
      <c r="AC75" s="462" t="s">
        <v>11</v>
      </c>
      <c r="AD75" s="462" t="s">
        <v>20</v>
      </c>
      <c r="AE75" s="61"/>
      <c r="AF75" s="269" t="b">
        <v>1</v>
      </c>
      <c r="AH75" s="270">
        <v>46191.0</v>
      </c>
      <c r="AI75" s="273" t="s">
        <v>4870</v>
      </c>
      <c r="AJ75" s="413" t="s">
        <v>4871</v>
      </c>
      <c r="AK75" s="274" t="s">
        <v>22</v>
      </c>
      <c r="AL75" s="58" t="s">
        <v>12</v>
      </c>
      <c r="AM75" s="61"/>
      <c r="AN75" s="269" t="b">
        <v>1</v>
      </c>
      <c r="AP75" s="403">
        <v>46191.0</v>
      </c>
      <c r="AQ75" s="294" t="s">
        <v>4872</v>
      </c>
      <c r="AR75" s="294" t="s">
        <v>4873</v>
      </c>
      <c r="AS75" s="295" t="s">
        <v>23</v>
      </c>
      <c r="AT75" s="295" t="s">
        <v>2337</v>
      </c>
      <c r="AU75" s="61"/>
      <c r="AV75" s="269" t="b">
        <v>1</v>
      </c>
      <c r="AX75" s="270">
        <v>46198.0</v>
      </c>
      <c r="AY75" s="430" t="s">
        <v>4874</v>
      </c>
      <c r="AZ75" s="430" t="s">
        <v>4875</v>
      </c>
      <c r="BA75" s="410" t="s">
        <v>13</v>
      </c>
      <c r="BB75" s="58" t="s">
        <v>12</v>
      </c>
      <c r="BC75" s="61"/>
      <c r="BD75" s="298"/>
      <c r="BF75" s="270"/>
      <c r="BG75" s="109"/>
      <c r="BH75" s="109"/>
      <c r="BI75" s="344"/>
      <c r="BJ75" s="344"/>
      <c r="BK75" s="61"/>
      <c r="BL75" s="298"/>
    </row>
    <row r="76" ht="22.5" customHeight="1">
      <c r="A76" s="368"/>
      <c r="B76" s="270">
        <v>46181.0</v>
      </c>
      <c r="C76" s="312" t="s">
        <v>4876</v>
      </c>
      <c r="D76" s="373" t="s">
        <v>4877</v>
      </c>
      <c r="E76" s="58" t="s">
        <v>16</v>
      </c>
      <c r="F76" s="58" t="s">
        <v>14</v>
      </c>
      <c r="G76" s="61"/>
      <c r="H76" s="269"/>
      <c r="J76" s="270">
        <v>46178.0</v>
      </c>
      <c r="K76" s="109" t="s">
        <v>4878</v>
      </c>
      <c r="L76" s="109" t="s">
        <v>4879</v>
      </c>
      <c r="M76" s="58" t="s">
        <v>21</v>
      </c>
      <c r="N76" s="58" t="s">
        <v>20</v>
      </c>
      <c r="O76" s="61"/>
      <c r="P76" s="269" t="b">
        <v>1</v>
      </c>
      <c r="R76" s="270">
        <v>46186.0</v>
      </c>
      <c r="S76" s="294" t="s">
        <v>4880</v>
      </c>
      <c r="T76" s="294" t="s">
        <v>4881</v>
      </c>
      <c r="U76" s="295" t="s">
        <v>13</v>
      </c>
      <c r="V76" s="58" t="s">
        <v>12</v>
      </c>
      <c r="W76" s="61"/>
      <c r="X76" s="269" t="b">
        <v>1</v>
      </c>
      <c r="Z76" s="468">
        <v>46184.0</v>
      </c>
      <c r="AA76" s="453" t="s">
        <v>81</v>
      </c>
      <c r="AB76" s="453" t="s">
        <v>82</v>
      </c>
      <c r="AC76" s="454" t="s">
        <v>11</v>
      </c>
      <c r="AD76" s="454" t="s">
        <v>20</v>
      </c>
      <c r="AE76" s="61"/>
      <c r="AF76" s="269" t="b">
        <v>1</v>
      </c>
      <c r="AH76" s="270">
        <v>46191.0</v>
      </c>
      <c r="AI76" s="294" t="s">
        <v>4882</v>
      </c>
      <c r="AJ76" s="411" t="s">
        <v>4883</v>
      </c>
      <c r="AK76" s="295" t="s">
        <v>22</v>
      </c>
      <c r="AL76" s="58" t="s">
        <v>12</v>
      </c>
      <c r="AM76" s="61"/>
      <c r="AN76" s="269" t="b">
        <v>1</v>
      </c>
      <c r="AP76" s="270">
        <v>46191.0</v>
      </c>
      <c r="AQ76" s="109" t="s">
        <v>4884</v>
      </c>
      <c r="AR76" s="109" t="s">
        <v>4885</v>
      </c>
      <c r="AS76" s="58" t="s">
        <v>11</v>
      </c>
      <c r="AT76" s="58" t="s">
        <v>20</v>
      </c>
      <c r="AU76" s="61"/>
      <c r="AV76" s="269" t="b">
        <v>1</v>
      </c>
      <c r="AX76" s="270">
        <v>46198.0</v>
      </c>
      <c r="AY76" s="294" t="s">
        <v>4886</v>
      </c>
      <c r="AZ76" s="294" t="s">
        <v>4887</v>
      </c>
      <c r="BA76" s="295" t="s">
        <v>22</v>
      </c>
      <c r="BB76" s="58" t="s">
        <v>12</v>
      </c>
      <c r="BC76" s="61"/>
      <c r="BD76" s="298"/>
      <c r="BF76" s="270"/>
      <c r="BG76" s="109"/>
      <c r="BH76" s="109"/>
      <c r="BI76" s="344"/>
      <c r="BJ76" s="344"/>
      <c r="BK76" s="61"/>
      <c r="BL76" s="298"/>
    </row>
    <row r="77" ht="22.5" customHeight="1">
      <c r="A77" s="368"/>
      <c r="B77" s="270">
        <v>46181.0</v>
      </c>
      <c r="C77" s="109" t="s">
        <v>4888</v>
      </c>
      <c r="D77" s="373" t="s">
        <v>4889</v>
      </c>
      <c r="E77" s="58" t="s">
        <v>13</v>
      </c>
      <c r="F77" s="58" t="s">
        <v>14</v>
      </c>
      <c r="G77" s="61"/>
      <c r="H77" s="269"/>
      <c r="J77" s="270">
        <v>46178.0</v>
      </c>
      <c r="K77" s="109" t="s">
        <v>4890</v>
      </c>
      <c r="L77" s="109" t="s">
        <v>4891</v>
      </c>
      <c r="M77" s="58" t="s">
        <v>11</v>
      </c>
      <c r="N77" s="58" t="s">
        <v>20</v>
      </c>
      <c r="O77" s="61"/>
      <c r="P77" s="269" t="b">
        <v>1</v>
      </c>
      <c r="R77" s="270">
        <v>46186.0</v>
      </c>
      <c r="S77" s="273" t="s">
        <v>4892</v>
      </c>
      <c r="T77" s="273" t="s">
        <v>4893</v>
      </c>
      <c r="U77" s="274" t="s">
        <v>10</v>
      </c>
      <c r="V77" s="58" t="s">
        <v>12</v>
      </c>
      <c r="W77" s="61"/>
      <c r="X77" s="269" t="b">
        <v>1</v>
      </c>
      <c r="Z77" s="468">
        <v>46184.0</v>
      </c>
      <c r="AA77" s="456" t="s">
        <v>4894</v>
      </c>
      <c r="AB77" s="456" t="s">
        <v>4895</v>
      </c>
      <c r="AC77" s="457" t="s">
        <v>11</v>
      </c>
      <c r="AD77" s="457" t="s">
        <v>20</v>
      </c>
      <c r="AE77" s="61"/>
      <c r="AF77" s="269" t="b">
        <v>1</v>
      </c>
      <c r="AH77" s="270">
        <v>46191.0</v>
      </c>
      <c r="AI77" s="273" t="s">
        <v>4896</v>
      </c>
      <c r="AJ77" s="413" t="s">
        <v>4897</v>
      </c>
      <c r="AK77" s="274" t="s">
        <v>22</v>
      </c>
      <c r="AL77" s="58" t="s">
        <v>12</v>
      </c>
      <c r="AM77" s="61"/>
      <c r="AN77" s="269" t="b">
        <v>1</v>
      </c>
      <c r="AP77" s="270">
        <v>46191.0</v>
      </c>
      <c r="AQ77" s="109" t="s">
        <v>4898</v>
      </c>
      <c r="AR77" s="109" t="s">
        <v>4899</v>
      </c>
      <c r="AS77" s="58" t="s">
        <v>11</v>
      </c>
      <c r="AT77" s="58" t="s">
        <v>20</v>
      </c>
      <c r="AU77" s="109" t="s">
        <v>4900</v>
      </c>
      <c r="AV77" s="269" t="b">
        <v>1</v>
      </c>
      <c r="AX77" s="270">
        <v>46198.0</v>
      </c>
      <c r="AY77" s="430" t="s">
        <v>4901</v>
      </c>
      <c r="AZ77" s="430" t="s">
        <v>4902</v>
      </c>
      <c r="BA77" s="410" t="s">
        <v>10</v>
      </c>
      <c r="BB77" s="58" t="s">
        <v>12</v>
      </c>
      <c r="BC77" s="61"/>
      <c r="BD77" s="298"/>
      <c r="BF77" s="270"/>
      <c r="BG77" s="109"/>
      <c r="BH77" s="109"/>
      <c r="BI77" s="344"/>
      <c r="BJ77" s="344"/>
      <c r="BK77" s="61"/>
      <c r="BL77" s="298"/>
    </row>
    <row r="78" ht="22.5" customHeight="1">
      <c r="A78" s="368"/>
      <c r="B78" s="270">
        <v>46181.0</v>
      </c>
      <c r="C78" s="109" t="s">
        <v>4903</v>
      </c>
      <c r="D78" s="373" t="s">
        <v>4904</v>
      </c>
      <c r="E78" s="58" t="s">
        <v>16</v>
      </c>
      <c r="F78" s="58" t="s">
        <v>14</v>
      </c>
      <c r="G78" s="61"/>
      <c r="H78" s="269"/>
      <c r="J78" s="270">
        <v>46178.0</v>
      </c>
      <c r="K78" s="109" t="s">
        <v>4905</v>
      </c>
      <c r="L78" s="109" t="s">
        <v>4906</v>
      </c>
      <c r="M78" s="58" t="s">
        <v>11</v>
      </c>
      <c r="N78" s="58" t="s">
        <v>20</v>
      </c>
      <c r="O78" s="61"/>
      <c r="P78" s="269" t="b">
        <v>1</v>
      </c>
      <c r="R78" s="270">
        <v>46186.0</v>
      </c>
      <c r="S78" s="294" t="s">
        <v>4907</v>
      </c>
      <c r="T78" s="411" t="s">
        <v>4908</v>
      </c>
      <c r="U78" s="295" t="s">
        <v>22</v>
      </c>
      <c r="V78" s="58" t="s">
        <v>12</v>
      </c>
      <c r="W78" s="61"/>
      <c r="X78" s="269" t="b">
        <v>1</v>
      </c>
      <c r="Z78" s="401">
        <v>46184.0</v>
      </c>
      <c r="AA78" s="273" t="s">
        <v>4909</v>
      </c>
      <c r="AB78" s="273" t="s">
        <v>4910</v>
      </c>
      <c r="AC78" s="402" t="s">
        <v>21</v>
      </c>
      <c r="AD78" s="402" t="s">
        <v>2337</v>
      </c>
      <c r="AE78" s="61"/>
      <c r="AF78" s="269" t="b">
        <v>1</v>
      </c>
      <c r="AH78" s="270">
        <v>46191.0</v>
      </c>
      <c r="AI78" s="294" t="s">
        <v>4911</v>
      </c>
      <c r="AJ78" s="411" t="s">
        <v>4912</v>
      </c>
      <c r="AK78" s="295" t="s">
        <v>22</v>
      </c>
      <c r="AL78" s="58" t="s">
        <v>12</v>
      </c>
      <c r="AM78" s="61"/>
      <c r="AN78" s="269" t="b">
        <v>1</v>
      </c>
      <c r="AP78" s="270">
        <v>46191.0</v>
      </c>
      <c r="AQ78" s="109" t="s">
        <v>4913</v>
      </c>
      <c r="AR78" s="109" t="s">
        <v>4914</v>
      </c>
      <c r="AS78" s="58" t="s">
        <v>11</v>
      </c>
      <c r="AT78" s="58" t="s">
        <v>20</v>
      </c>
      <c r="AU78" s="61"/>
      <c r="AV78" s="269" t="b">
        <v>1</v>
      </c>
      <c r="AX78" s="270">
        <v>46198.0</v>
      </c>
      <c r="AY78" s="109" t="s">
        <v>4915</v>
      </c>
      <c r="AZ78" s="373" t="s">
        <v>4916</v>
      </c>
      <c r="BA78" s="58" t="s">
        <v>16</v>
      </c>
      <c r="BB78" s="58" t="s">
        <v>9</v>
      </c>
      <c r="BC78" s="61"/>
      <c r="BD78" s="298"/>
      <c r="BF78" s="270"/>
      <c r="BG78" s="109"/>
      <c r="BH78" s="109"/>
      <c r="BI78" s="344"/>
      <c r="BJ78" s="344"/>
      <c r="BK78" s="61"/>
      <c r="BL78" s="298"/>
    </row>
    <row r="79" ht="22.5" customHeight="1">
      <c r="A79" s="368"/>
      <c r="B79" s="270">
        <v>46181.0</v>
      </c>
      <c r="C79" s="294" t="s">
        <v>4917</v>
      </c>
      <c r="D79" s="294" t="s">
        <v>4918</v>
      </c>
      <c r="E79" s="391" t="s">
        <v>44</v>
      </c>
      <c r="F79" s="370" t="s">
        <v>12</v>
      </c>
      <c r="G79" s="195"/>
      <c r="H79" s="371"/>
      <c r="J79" s="270">
        <v>46178.0</v>
      </c>
      <c r="K79" s="109" t="s">
        <v>4919</v>
      </c>
      <c r="L79" s="109" t="s">
        <v>4920</v>
      </c>
      <c r="M79" s="58" t="s">
        <v>11</v>
      </c>
      <c r="N79" s="58" t="s">
        <v>20</v>
      </c>
      <c r="O79" s="61"/>
      <c r="P79" s="269" t="b">
        <v>1</v>
      </c>
      <c r="R79" s="270">
        <v>46186.0</v>
      </c>
      <c r="S79" s="273" t="s">
        <v>4921</v>
      </c>
      <c r="T79" s="413" t="s">
        <v>4922</v>
      </c>
      <c r="U79" s="274" t="s">
        <v>22</v>
      </c>
      <c r="V79" s="58" t="s">
        <v>12</v>
      </c>
      <c r="W79" s="61"/>
      <c r="X79" s="269" t="b">
        <v>1</v>
      </c>
      <c r="Z79" s="403">
        <v>46184.0</v>
      </c>
      <c r="AA79" s="294" t="s">
        <v>4923</v>
      </c>
      <c r="AB79" s="294" t="s">
        <v>4924</v>
      </c>
      <c r="AC79" s="391" t="s">
        <v>27</v>
      </c>
      <c r="AD79" s="391" t="s">
        <v>2337</v>
      </c>
      <c r="AE79" s="109"/>
      <c r="AF79" s="269" t="b">
        <v>1</v>
      </c>
      <c r="AH79" s="270">
        <v>46191.0</v>
      </c>
      <c r="AI79" s="273" t="s">
        <v>4925</v>
      </c>
      <c r="AJ79" s="413" t="s">
        <v>4926</v>
      </c>
      <c r="AK79" s="274" t="s">
        <v>22</v>
      </c>
      <c r="AL79" s="58" t="s">
        <v>12</v>
      </c>
      <c r="AM79" s="61"/>
      <c r="AN79" s="269" t="b">
        <v>1</v>
      </c>
      <c r="AP79" s="270">
        <v>46191.0</v>
      </c>
      <c r="AQ79" s="109" t="s">
        <v>4927</v>
      </c>
      <c r="AR79" s="109" t="s">
        <v>4928</v>
      </c>
      <c r="AS79" s="58" t="s">
        <v>11</v>
      </c>
      <c r="AT79" s="58" t="s">
        <v>20</v>
      </c>
      <c r="AU79" s="61"/>
      <c r="AV79" s="269" t="b">
        <v>1</v>
      </c>
      <c r="AX79" s="270">
        <v>46198.0</v>
      </c>
      <c r="AY79" s="109" t="s">
        <v>4929</v>
      </c>
      <c r="AZ79" s="373" t="s">
        <v>4930</v>
      </c>
      <c r="BA79" s="58" t="s">
        <v>19</v>
      </c>
      <c r="BB79" s="58" t="s">
        <v>9</v>
      </c>
      <c r="BC79" s="61"/>
      <c r="BD79" s="298"/>
      <c r="BF79" s="270"/>
      <c r="BG79" s="109"/>
      <c r="BH79" s="109"/>
      <c r="BI79" s="344"/>
      <c r="BJ79" s="344"/>
      <c r="BK79" s="61"/>
      <c r="BL79" s="298"/>
    </row>
    <row r="80" ht="22.5" customHeight="1">
      <c r="A80" s="368"/>
      <c r="B80" s="270">
        <v>46181.0</v>
      </c>
      <c r="C80" s="326" t="s">
        <v>4931</v>
      </c>
      <c r="D80" s="326" t="s">
        <v>4932</v>
      </c>
      <c r="E80" s="370" t="s">
        <v>24</v>
      </c>
      <c r="F80" s="370" t="s">
        <v>14</v>
      </c>
      <c r="G80" s="195"/>
      <c r="H80" s="371"/>
      <c r="J80" s="270">
        <v>46178.0</v>
      </c>
      <c r="K80" s="109" t="s">
        <v>4933</v>
      </c>
      <c r="L80" s="109" t="s">
        <v>4934</v>
      </c>
      <c r="M80" s="58" t="s">
        <v>11</v>
      </c>
      <c r="N80" s="58" t="s">
        <v>20</v>
      </c>
      <c r="O80" s="109"/>
      <c r="P80" s="269" t="b">
        <v>1</v>
      </c>
      <c r="R80" s="270">
        <v>46186.0</v>
      </c>
      <c r="S80" s="294" t="s">
        <v>4935</v>
      </c>
      <c r="T80" s="411" t="s">
        <v>4936</v>
      </c>
      <c r="U80" s="295" t="s">
        <v>22</v>
      </c>
      <c r="V80" s="58" t="s">
        <v>12</v>
      </c>
      <c r="W80" s="61"/>
      <c r="X80" s="269" t="b">
        <v>1</v>
      </c>
      <c r="Z80" s="401">
        <v>46184.0</v>
      </c>
      <c r="AA80" s="273" t="s">
        <v>4937</v>
      </c>
      <c r="AB80" s="273" t="s">
        <v>4938</v>
      </c>
      <c r="AC80" s="402" t="s">
        <v>11</v>
      </c>
      <c r="AD80" s="402" t="s">
        <v>2337</v>
      </c>
      <c r="AE80" s="61"/>
      <c r="AF80" s="269" t="b">
        <v>1</v>
      </c>
      <c r="AH80" s="270">
        <v>46191.0</v>
      </c>
      <c r="AI80" s="109" t="s">
        <v>4939</v>
      </c>
      <c r="AJ80" s="373" t="s">
        <v>4940</v>
      </c>
      <c r="AK80" s="58" t="s">
        <v>22</v>
      </c>
      <c r="AL80" s="58" t="s">
        <v>9</v>
      </c>
      <c r="AM80" s="61"/>
      <c r="AN80" s="269" t="b">
        <v>1</v>
      </c>
      <c r="AP80" s="270">
        <v>46191.0</v>
      </c>
      <c r="AQ80" s="109" t="s">
        <v>4941</v>
      </c>
      <c r="AR80" s="109" t="s">
        <v>4942</v>
      </c>
      <c r="AS80" s="58" t="s">
        <v>11</v>
      </c>
      <c r="AT80" s="58" t="s">
        <v>20</v>
      </c>
      <c r="AU80" s="61"/>
      <c r="AV80" s="269" t="b">
        <v>1</v>
      </c>
      <c r="AX80" s="270">
        <v>46198.0</v>
      </c>
      <c r="AY80" s="109" t="s">
        <v>4943</v>
      </c>
      <c r="AZ80" s="373" t="s">
        <v>4944</v>
      </c>
      <c r="BA80" s="58" t="s">
        <v>19</v>
      </c>
      <c r="BB80" s="58" t="s">
        <v>9</v>
      </c>
      <c r="BC80" s="61"/>
      <c r="BD80" s="298"/>
      <c r="BF80" s="270"/>
      <c r="BG80" s="109"/>
      <c r="BH80" s="109"/>
      <c r="BI80" s="344"/>
      <c r="BJ80" s="344"/>
      <c r="BK80" s="61"/>
      <c r="BL80" s="298"/>
    </row>
    <row r="81" ht="22.5" customHeight="1">
      <c r="A81" s="368"/>
      <c r="B81" s="270">
        <v>46181.0</v>
      </c>
      <c r="C81" s="273" t="s">
        <v>4945</v>
      </c>
      <c r="D81" s="273" t="s">
        <v>4946</v>
      </c>
      <c r="E81" s="402" t="s">
        <v>10</v>
      </c>
      <c r="F81" s="274" t="s">
        <v>2344</v>
      </c>
      <c r="G81" s="326"/>
      <c r="H81" s="371"/>
      <c r="J81" s="270">
        <v>46178.0</v>
      </c>
      <c r="K81" s="109" t="s">
        <v>4947</v>
      </c>
      <c r="L81" s="109" t="s">
        <v>4948</v>
      </c>
      <c r="M81" s="58" t="s">
        <v>11</v>
      </c>
      <c r="N81" s="58" t="s">
        <v>20</v>
      </c>
      <c r="O81" s="109"/>
      <c r="P81" s="269" t="b">
        <v>1</v>
      </c>
      <c r="R81" s="270">
        <v>46186.0</v>
      </c>
      <c r="S81" s="273" t="s">
        <v>4949</v>
      </c>
      <c r="T81" s="413" t="s">
        <v>4950</v>
      </c>
      <c r="U81" s="274" t="s">
        <v>22</v>
      </c>
      <c r="V81" s="58" t="s">
        <v>12</v>
      </c>
      <c r="W81" s="61"/>
      <c r="X81" s="269" t="b">
        <v>1</v>
      </c>
      <c r="Z81" s="403">
        <v>46184.0</v>
      </c>
      <c r="AA81" s="294" t="s">
        <v>4951</v>
      </c>
      <c r="AB81" s="294" t="s">
        <v>4952</v>
      </c>
      <c r="AC81" s="391" t="s">
        <v>21</v>
      </c>
      <c r="AD81" s="391" t="s">
        <v>2337</v>
      </c>
      <c r="AE81" s="61"/>
      <c r="AF81" s="269" t="b">
        <v>1</v>
      </c>
      <c r="AH81" s="270">
        <v>46191.0</v>
      </c>
      <c r="AI81" s="109" t="s">
        <v>4953</v>
      </c>
      <c r="AJ81" s="373" t="s">
        <v>4954</v>
      </c>
      <c r="AK81" s="58" t="s">
        <v>13</v>
      </c>
      <c r="AL81" s="58" t="s">
        <v>9</v>
      </c>
      <c r="AM81" s="61"/>
      <c r="AN81" s="269" t="b">
        <v>1</v>
      </c>
      <c r="AP81" s="270">
        <v>46191.0</v>
      </c>
      <c r="AQ81" s="109" t="s">
        <v>4955</v>
      </c>
      <c r="AR81" s="109" t="s">
        <v>4956</v>
      </c>
      <c r="AS81" s="58" t="s">
        <v>23</v>
      </c>
      <c r="AT81" s="58" t="s">
        <v>20</v>
      </c>
      <c r="AU81" s="61"/>
      <c r="AV81" s="269" t="b">
        <v>1</v>
      </c>
      <c r="AX81" s="270">
        <v>46198.0</v>
      </c>
      <c r="AY81" s="109" t="s">
        <v>4957</v>
      </c>
      <c r="AZ81" s="373" t="s">
        <v>4958</v>
      </c>
      <c r="BA81" s="58" t="s">
        <v>22</v>
      </c>
      <c r="BB81" s="58" t="s">
        <v>9</v>
      </c>
      <c r="BC81" s="61"/>
      <c r="BD81" s="298"/>
      <c r="BF81" s="270"/>
      <c r="BG81" s="109"/>
      <c r="BH81" s="109"/>
      <c r="BI81" s="344"/>
      <c r="BJ81" s="344"/>
      <c r="BK81" s="61"/>
      <c r="BL81" s="298"/>
    </row>
    <row r="82" ht="22.5" customHeight="1">
      <c r="A82" s="368"/>
      <c r="B82" s="270">
        <v>46181.0</v>
      </c>
      <c r="C82" s="294" t="s">
        <v>4959</v>
      </c>
      <c r="D82" s="294" t="s">
        <v>4960</v>
      </c>
      <c r="E82" s="391" t="s">
        <v>16</v>
      </c>
      <c r="F82" s="295" t="s">
        <v>2344</v>
      </c>
      <c r="G82" s="195"/>
      <c r="H82" s="371"/>
      <c r="J82" s="380">
        <v>46178.0</v>
      </c>
      <c r="K82" s="430" t="s">
        <v>4961</v>
      </c>
      <c r="L82" s="430" t="s">
        <v>4962</v>
      </c>
      <c r="M82" s="431" t="s">
        <v>11</v>
      </c>
      <c r="N82" s="58" t="s">
        <v>2338</v>
      </c>
      <c r="O82" s="61"/>
      <c r="P82" s="269" t="b">
        <v>1</v>
      </c>
      <c r="R82" s="270">
        <v>46186.0</v>
      </c>
      <c r="S82" s="294" t="s">
        <v>4963</v>
      </c>
      <c r="T82" s="294" t="s">
        <v>4964</v>
      </c>
      <c r="U82" s="295" t="s">
        <v>32</v>
      </c>
      <c r="V82" s="58" t="s">
        <v>12</v>
      </c>
      <c r="W82" s="61"/>
      <c r="X82" s="269" t="b">
        <v>1</v>
      </c>
      <c r="Z82" s="403">
        <v>46184.0</v>
      </c>
      <c r="AA82" s="109" t="s">
        <v>4965</v>
      </c>
      <c r="AB82" s="109" t="s">
        <v>4966</v>
      </c>
      <c r="AC82" s="58" t="s">
        <v>27</v>
      </c>
      <c r="AD82" s="58" t="s">
        <v>14</v>
      </c>
      <c r="AE82" s="61"/>
      <c r="AF82" s="269" t="b">
        <v>1</v>
      </c>
      <c r="AH82" s="270">
        <v>46191.0</v>
      </c>
      <c r="AI82" s="109" t="s">
        <v>4967</v>
      </c>
      <c r="AJ82" s="373" t="s">
        <v>4968</v>
      </c>
      <c r="AK82" s="58" t="s">
        <v>44</v>
      </c>
      <c r="AL82" s="58" t="s">
        <v>9</v>
      </c>
      <c r="AM82" s="61"/>
      <c r="AN82" s="269" t="b">
        <v>1</v>
      </c>
      <c r="AP82" s="270">
        <v>46191.0</v>
      </c>
      <c r="AQ82" s="109" t="s">
        <v>4969</v>
      </c>
      <c r="AR82" s="109" t="s">
        <v>4970</v>
      </c>
      <c r="AS82" s="58" t="s">
        <v>21</v>
      </c>
      <c r="AT82" s="58" t="s">
        <v>20</v>
      </c>
      <c r="AU82" s="61"/>
      <c r="AV82" s="269" t="b">
        <v>1</v>
      </c>
      <c r="AX82" s="270">
        <v>46198.0</v>
      </c>
      <c r="AY82" s="312" t="s">
        <v>4971</v>
      </c>
      <c r="AZ82" s="515" t="s">
        <v>4972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4973</v>
      </c>
      <c r="L83" s="405" t="s">
        <v>4974</v>
      </c>
      <c r="M83" s="493" t="s">
        <v>11</v>
      </c>
      <c r="N83" s="58" t="s">
        <v>2338</v>
      </c>
      <c r="O83" s="61"/>
      <c r="P83" s="269" t="b">
        <v>1</v>
      </c>
      <c r="R83" s="270">
        <v>46186.0</v>
      </c>
      <c r="S83" s="273" t="s">
        <v>4975</v>
      </c>
      <c r="T83" s="273" t="s">
        <v>4976</v>
      </c>
      <c r="U83" s="274" t="s">
        <v>19</v>
      </c>
      <c r="V83" s="58" t="s">
        <v>12</v>
      </c>
      <c r="W83" s="61"/>
      <c r="X83" s="269" t="b">
        <v>1</v>
      </c>
      <c r="Z83" s="401">
        <v>46184.0</v>
      </c>
      <c r="AA83" s="273" t="s">
        <v>4977</v>
      </c>
      <c r="AB83" s="273" t="s">
        <v>4978</v>
      </c>
      <c r="AC83" s="402" t="s">
        <v>23</v>
      </c>
      <c r="AD83" s="402" t="s">
        <v>2337</v>
      </c>
      <c r="AE83" s="61"/>
      <c r="AF83" s="269" t="b">
        <v>1</v>
      </c>
      <c r="AH83" s="270">
        <v>46191.0</v>
      </c>
      <c r="AI83" s="109" t="s">
        <v>4979</v>
      </c>
      <c r="AJ83" s="373" t="s">
        <v>4980</v>
      </c>
      <c r="AK83" s="58" t="s">
        <v>22</v>
      </c>
      <c r="AL83" s="58" t="s">
        <v>9</v>
      </c>
      <c r="AM83" s="109" t="s">
        <v>4981</v>
      </c>
      <c r="AN83" s="269" t="b">
        <v>1</v>
      </c>
      <c r="AP83" s="270">
        <v>46191.0</v>
      </c>
      <c r="AQ83" s="109" t="s">
        <v>4982</v>
      </c>
      <c r="AR83" s="109" t="s">
        <v>4983</v>
      </c>
      <c r="AS83" s="58" t="s">
        <v>18</v>
      </c>
      <c r="AT83" s="58" t="s">
        <v>20</v>
      </c>
      <c r="AU83" s="61"/>
      <c r="AV83" s="269" t="b">
        <v>1</v>
      </c>
      <c r="AX83" s="270">
        <v>46198.0</v>
      </c>
      <c r="AY83" s="312" t="s">
        <v>4984</v>
      </c>
      <c r="AZ83" s="516" t="s">
        <v>4985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4986</v>
      </c>
      <c r="L84" s="273" t="s">
        <v>4987</v>
      </c>
      <c r="M84" s="402" t="s">
        <v>11</v>
      </c>
      <c r="N84" s="58" t="s">
        <v>2338</v>
      </c>
      <c r="O84" s="61"/>
      <c r="P84" s="269" t="b">
        <v>1</v>
      </c>
      <c r="R84" s="270">
        <v>46186.0</v>
      </c>
      <c r="S84" s="109" t="s">
        <v>4988</v>
      </c>
      <c r="T84" s="109" t="s">
        <v>4989</v>
      </c>
      <c r="U84" s="58" t="s">
        <v>22</v>
      </c>
      <c r="V84" s="58" t="s">
        <v>2347</v>
      </c>
      <c r="W84" s="109" t="s">
        <v>4990</v>
      </c>
      <c r="X84" s="298"/>
      <c r="Z84" s="401">
        <v>46184.0</v>
      </c>
      <c r="AA84" s="453" t="s">
        <v>4991</v>
      </c>
      <c r="AB84" s="453" t="s">
        <v>4992</v>
      </c>
      <c r="AC84" s="462" t="s">
        <v>27</v>
      </c>
      <c r="AD84" s="462" t="s">
        <v>14</v>
      </c>
      <c r="AE84" s="488"/>
      <c r="AF84" s="269" t="b">
        <v>1</v>
      </c>
      <c r="AH84" s="270">
        <v>46191.0</v>
      </c>
      <c r="AI84" s="109" t="s">
        <v>4993</v>
      </c>
      <c r="AJ84" s="373" t="s">
        <v>4994</v>
      </c>
      <c r="AK84" s="58" t="s">
        <v>13</v>
      </c>
      <c r="AL84" s="58" t="s">
        <v>2347</v>
      </c>
      <c r="AM84" s="61"/>
      <c r="AN84" s="269" t="b">
        <v>1</v>
      </c>
      <c r="AP84" s="401">
        <v>46191.0</v>
      </c>
      <c r="AQ84" s="273" t="s">
        <v>4995</v>
      </c>
      <c r="AR84" s="273" t="s">
        <v>4996</v>
      </c>
      <c r="AS84" s="274" t="s">
        <v>18</v>
      </c>
      <c r="AT84" s="274" t="s">
        <v>2337</v>
      </c>
      <c r="AU84" s="61"/>
      <c r="AV84" s="269" t="b">
        <v>1</v>
      </c>
      <c r="AX84" s="270">
        <v>46198.0</v>
      </c>
      <c r="AY84" s="109" t="s">
        <v>4997</v>
      </c>
      <c r="AZ84" s="373" t="s">
        <v>4998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4999</v>
      </c>
      <c r="L85" s="294" t="s">
        <v>5000</v>
      </c>
      <c r="M85" s="396" t="s">
        <v>23</v>
      </c>
      <c r="N85" s="58" t="s">
        <v>2338</v>
      </c>
      <c r="O85" s="61"/>
      <c r="P85" s="269" t="b">
        <v>1</v>
      </c>
      <c r="R85" s="270">
        <v>46187.0</v>
      </c>
      <c r="S85" s="384" t="s">
        <v>5001</v>
      </c>
      <c r="T85" s="109" t="s">
        <v>5002</v>
      </c>
      <c r="U85" s="58" t="s">
        <v>22</v>
      </c>
      <c r="V85" s="58" t="s">
        <v>2347</v>
      </c>
      <c r="W85" s="61"/>
      <c r="X85" s="269" t="b">
        <v>1</v>
      </c>
      <c r="Z85" s="499">
        <v>46185.0</v>
      </c>
      <c r="AA85" s="456" t="s">
        <v>5003</v>
      </c>
      <c r="AB85" s="456" t="s">
        <v>5004</v>
      </c>
      <c r="AC85" s="466" t="s">
        <v>11</v>
      </c>
      <c r="AD85" s="466" t="s">
        <v>20</v>
      </c>
      <c r="AE85" s="486"/>
      <c r="AF85" s="269" t="b">
        <v>1</v>
      </c>
      <c r="AH85" s="270">
        <v>46191.0</v>
      </c>
      <c r="AI85" s="294" t="s">
        <v>5005</v>
      </c>
      <c r="AJ85" s="294" t="s">
        <v>5006</v>
      </c>
      <c r="AK85" s="295" t="s">
        <v>13</v>
      </c>
      <c r="AL85" s="295" t="s">
        <v>2344</v>
      </c>
      <c r="AM85" s="61"/>
      <c r="AN85" s="269" t="b">
        <v>1</v>
      </c>
      <c r="AP85" s="401">
        <v>46191.0</v>
      </c>
      <c r="AQ85" s="109" t="s">
        <v>5007</v>
      </c>
      <c r="AR85" s="109" t="s">
        <v>5008</v>
      </c>
      <c r="AS85" s="58" t="s">
        <v>21</v>
      </c>
      <c r="AT85" s="58" t="s">
        <v>14</v>
      </c>
      <c r="AU85" s="109"/>
      <c r="AV85" s="298"/>
      <c r="AX85" s="270">
        <v>46198.0</v>
      </c>
      <c r="AY85" s="109" t="s">
        <v>5009</v>
      </c>
      <c r="AZ85" s="373" t="s">
        <v>5010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5011</v>
      </c>
      <c r="L86" s="294" t="s">
        <v>5012</v>
      </c>
      <c r="M86" s="396" t="s">
        <v>11</v>
      </c>
      <c r="N86" s="391" t="s">
        <v>2338</v>
      </c>
      <c r="O86" s="61"/>
      <c r="P86" s="269" t="b">
        <v>1</v>
      </c>
      <c r="R86" s="270">
        <v>46187.0</v>
      </c>
      <c r="S86" s="294" t="s">
        <v>5013</v>
      </c>
      <c r="T86" s="411" t="s">
        <v>5014</v>
      </c>
      <c r="U86" s="295" t="s">
        <v>22</v>
      </c>
      <c r="V86" s="58" t="s">
        <v>12</v>
      </c>
      <c r="W86" s="61"/>
      <c r="X86" s="269" t="b">
        <v>1</v>
      </c>
      <c r="Z86" s="514">
        <v>46185.0</v>
      </c>
      <c r="AA86" s="453" t="s">
        <v>5015</v>
      </c>
      <c r="AB86" s="453" t="s">
        <v>5016</v>
      </c>
      <c r="AC86" s="462" t="s">
        <v>11</v>
      </c>
      <c r="AD86" s="462" t="s">
        <v>20</v>
      </c>
      <c r="AE86" s="498"/>
      <c r="AF86" s="269" t="b">
        <v>1</v>
      </c>
      <c r="AH86" s="270">
        <v>46191.0</v>
      </c>
      <c r="AI86" s="273" t="s">
        <v>5017</v>
      </c>
      <c r="AJ86" s="273" t="s">
        <v>5018</v>
      </c>
      <c r="AK86" s="274" t="s">
        <v>19</v>
      </c>
      <c r="AL86" s="274" t="s">
        <v>2344</v>
      </c>
      <c r="AM86" s="61"/>
      <c r="AN86" s="269" t="b">
        <v>1</v>
      </c>
      <c r="AP86" s="401">
        <v>46191.0</v>
      </c>
      <c r="AQ86" s="109" t="s">
        <v>5019</v>
      </c>
      <c r="AR86" s="109" t="s">
        <v>5020</v>
      </c>
      <c r="AS86" s="58" t="s">
        <v>23</v>
      </c>
      <c r="AT86" s="58" t="s">
        <v>14</v>
      </c>
      <c r="AU86" s="109" t="s">
        <v>4778</v>
      </c>
      <c r="AV86" s="269" t="b">
        <v>1</v>
      </c>
      <c r="AX86" s="270">
        <v>46198.0</v>
      </c>
      <c r="AY86" s="109" t="s">
        <v>5021</v>
      </c>
      <c r="AZ86" s="373" t="s">
        <v>5022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5023</v>
      </c>
      <c r="L87" s="273" t="s">
        <v>5024</v>
      </c>
      <c r="M87" s="517" t="s">
        <v>11</v>
      </c>
      <c r="N87" s="402" t="s">
        <v>2338</v>
      </c>
      <c r="O87" s="109" t="s">
        <v>5025</v>
      </c>
      <c r="P87" s="269"/>
      <c r="R87" s="270">
        <v>46187.0</v>
      </c>
      <c r="S87" s="273" t="s">
        <v>5026</v>
      </c>
      <c r="T87" s="413" t="s">
        <v>5027</v>
      </c>
      <c r="U87" s="274" t="s">
        <v>22</v>
      </c>
      <c r="V87" s="58" t="s">
        <v>12</v>
      </c>
      <c r="W87" s="61"/>
      <c r="X87" s="269" t="b">
        <v>1</v>
      </c>
      <c r="Z87" s="499">
        <v>46185.0</v>
      </c>
      <c r="AA87" s="456" t="s">
        <v>5028</v>
      </c>
      <c r="AB87" s="456" t="s">
        <v>5029</v>
      </c>
      <c r="AC87" s="466" t="s">
        <v>11</v>
      </c>
      <c r="AD87" s="466" t="s">
        <v>20</v>
      </c>
      <c r="AE87" s="486"/>
      <c r="AF87" s="269" t="b">
        <v>1</v>
      </c>
      <c r="AH87" s="270">
        <v>46191.0</v>
      </c>
      <c r="AI87" s="294" t="s">
        <v>5030</v>
      </c>
      <c r="AJ87" s="294" t="s">
        <v>5031</v>
      </c>
      <c r="AK87" s="295" t="s">
        <v>13</v>
      </c>
      <c r="AL87" s="295" t="s">
        <v>2344</v>
      </c>
      <c r="AM87" s="61"/>
      <c r="AN87" s="269" t="b">
        <v>1</v>
      </c>
      <c r="AP87" s="401">
        <v>46191.0</v>
      </c>
      <c r="AQ87" s="109" t="s">
        <v>5032</v>
      </c>
      <c r="AR87" s="109" t="s">
        <v>5033</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5034</v>
      </c>
      <c r="L88" s="430" t="s">
        <v>5035</v>
      </c>
      <c r="M88" s="518" t="s">
        <v>11</v>
      </c>
      <c r="N88" s="431" t="s">
        <v>2338</v>
      </c>
      <c r="O88" s="109" t="s">
        <v>5036</v>
      </c>
      <c r="P88" s="269" t="b">
        <v>1</v>
      </c>
      <c r="R88" s="270">
        <v>46187.0</v>
      </c>
      <c r="S88" s="294" t="s">
        <v>5037</v>
      </c>
      <c r="T88" s="411" t="s">
        <v>5038</v>
      </c>
      <c r="U88" s="295" t="s">
        <v>22</v>
      </c>
      <c r="V88" s="58" t="s">
        <v>12</v>
      </c>
      <c r="W88" s="61"/>
      <c r="X88" s="269" t="b">
        <v>1</v>
      </c>
      <c r="Z88" s="514">
        <v>46185.0</v>
      </c>
      <c r="AA88" s="453" t="s">
        <v>5039</v>
      </c>
      <c r="AB88" s="453" t="s">
        <v>5040</v>
      </c>
      <c r="AC88" s="462" t="s">
        <v>11</v>
      </c>
      <c r="AD88" s="462" t="s">
        <v>20</v>
      </c>
      <c r="AE88" s="498"/>
      <c r="AF88" s="269" t="b">
        <v>1</v>
      </c>
      <c r="AH88" s="270">
        <v>46191.0</v>
      </c>
      <c r="AI88" s="273" t="s">
        <v>5041</v>
      </c>
      <c r="AJ88" s="273" t="s">
        <v>5042</v>
      </c>
      <c r="AK88" s="274" t="s">
        <v>44</v>
      </c>
      <c r="AL88" s="274" t="s">
        <v>2344</v>
      </c>
      <c r="AM88" s="61"/>
      <c r="AN88" s="269" t="b">
        <v>1</v>
      </c>
      <c r="AP88" s="401">
        <v>46191.0</v>
      </c>
      <c r="AQ88" s="109" t="s">
        <v>5043</v>
      </c>
      <c r="AR88" s="109" t="s">
        <v>5044</v>
      </c>
      <c r="AS88" s="58" t="s">
        <v>11</v>
      </c>
      <c r="AT88" s="58" t="s">
        <v>14</v>
      </c>
      <c r="AU88" s="109" t="s">
        <v>5045</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5046</v>
      </c>
      <c r="L89" s="513" t="s">
        <v>5047</v>
      </c>
      <c r="M89" s="520" t="s">
        <v>11</v>
      </c>
      <c r="N89" s="521" t="s">
        <v>28</v>
      </c>
      <c r="O89" s="513" t="s">
        <v>4276</v>
      </c>
      <c r="P89" s="522"/>
      <c r="R89" s="270">
        <v>46187.0</v>
      </c>
      <c r="S89" s="273" t="s">
        <v>5048</v>
      </c>
      <c r="T89" s="413" t="s">
        <v>5049</v>
      </c>
      <c r="U89" s="274" t="s">
        <v>22</v>
      </c>
      <c r="V89" s="58" t="s">
        <v>12</v>
      </c>
      <c r="W89" s="61"/>
      <c r="X89" s="269" t="b">
        <v>1</v>
      </c>
      <c r="Z89" s="270">
        <v>46185.0</v>
      </c>
      <c r="AA89" s="109" t="s">
        <v>5050</v>
      </c>
      <c r="AB89" s="109" t="s">
        <v>5051</v>
      </c>
      <c r="AC89" s="271" t="s">
        <v>11</v>
      </c>
      <c r="AD89" s="58" t="s">
        <v>20</v>
      </c>
      <c r="AE89" s="109"/>
      <c r="AF89" s="269" t="b">
        <v>1</v>
      </c>
      <c r="AH89" s="270">
        <v>46191.0</v>
      </c>
      <c r="AI89" s="312" t="s">
        <v>5052</v>
      </c>
      <c r="AJ89" s="373" t="s">
        <v>5053</v>
      </c>
      <c r="AK89" s="58" t="s">
        <v>10</v>
      </c>
      <c r="AL89" s="58" t="s">
        <v>2344</v>
      </c>
      <c r="AM89" s="61"/>
      <c r="AN89" s="269" t="b">
        <v>1</v>
      </c>
      <c r="AP89" s="270">
        <v>46192.0</v>
      </c>
      <c r="AQ89" s="109" t="s">
        <v>5054</v>
      </c>
      <c r="AR89" s="109" t="s">
        <v>5055</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5056</v>
      </c>
      <c r="L90" s="294" t="s">
        <v>5057</v>
      </c>
      <c r="M90" s="409" t="s">
        <v>21</v>
      </c>
      <c r="N90" s="391" t="s">
        <v>2338</v>
      </c>
      <c r="O90" s="61"/>
      <c r="P90" s="269" t="b">
        <v>1</v>
      </c>
      <c r="R90" s="270">
        <v>46187.0</v>
      </c>
      <c r="S90" s="312" t="s">
        <v>5058</v>
      </c>
      <c r="T90" s="312" t="s">
        <v>5059</v>
      </c>
      <c r="U90" s="58" t="s">
        <v>22</v>
      </c>
      <c r="V90" s="58" t="s">
        <v>2344</v>
      </c>
      <c r="W90" s="61"/>
      <c r="X90" s="269" t="b">
        <v>1</v>
      </c>
      <c r="Z90" s="270">
        <v>46185.0</v>
      </c>
      <c r="AA90" s="109" t="s">
        <v>5060</v>
      </c>
      <c r="AB90" s="109" t="s">
        <v>5061</v>
      </c>
      <c r="AC90" s="58" t="s">
        <v>11</v>
      </c>
      <c r="AD90" s="58" t="s">
        <v>20</v>
      </c>
      <c r="AE90" s="61"/>
      <c r="AF90" s="269" t="b">
        <v>1</v>
      </c>
      <c r="AH90" s="270">
        <v>46191.0</v>
      </c>
      <c r="AI90" s="312" t="s">
        <v>5062</v>
      </c>
      <c r="AJ90" s="373" t="s">
        <v>5063</v>
      </c>
      <c r="AK90" s="58" t="s">
        <v>24</v>
      </c>
      <c r="AL90" s="58" t="s">
        <v>2344</v>
      </c>
      <c r="AM90" s="61"/>
      <c r="AN90" s="269" t="b">
        <v>1</v>
      </c>
      <c r="AP90" s="270">
        <v>46192.0</v>
      </c>
      <c r="AQ90" s="109" t="s">
        <v>5064</v>
      </c>
      <c r="AR90" s="109" t="s">
        <v>5065</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5066</v>
      </c>
      <c r="L91" s="273" t="s">
        <v>5067</v>
      </c>
      <c r="M91" s="395" t="s">
        <v>23</v>
      </c>
      <c r="N91" s="402" t="s">
        <v>2338</v>
      </c>
      <c r="O91" s="61"/>
      <c r="P91" s="269" t="b">
        <v>1</v>
      </c>
      <c r="R91" s="270">
        <v>46187.0</v>
      </c>
      <c r="S91" s="312" t="s">
        <v>5068</v>
      </c>
      <c r="T91" s="312" t="s">
        <v>5069</v>
      </c>
      <c r="U91" s="58" t="s">
        <v>22</v>
      </c>
      <c r="V91" s="58" t="s">
        <v>2344</v>
      </c>
      <c r="W91" s="61"/>
      <c r="X91" s="269" t="b">
        <v>1</v>
      </c>
      <c r="Z91" s="270">
        <v>46185.0</v>
      </c>
      <c r="AA91" s="109" t="s">
        <v>5070</v>
      </c>
      <c r="AB91" s="109" t="s">
        <v>5071</v>
      </c>
      <c r="AC91" s="58" t="s">
        <v>11</v>
      </c>
      <c r="AD91" s="58" t="s">
        <v>20</v>
      </c>
      <c r="AE91" s="61"/>
      <c r="AF91" s="269" t="b">
        <v>1</v>
      </c>
      <c r="AH91" s="270">
        <v>46191.0</v>
      </c>
      <c r="AI91" s="312" t="s">
        <v>5072</v>
      </c>
      <c r="AJ91" s="373" t="s">
        <v>5073</v>
      </c>
      <c r="AK91" s="58" t="s">
        <v>16</v>
      </c>
      <c r="AL91" s="58" t="s">
        <v>2344</v>
      </c>
      <c r="AM91" s="61"/>
      <c r="AN91" s="269" t="b">
        <v>1</v>
      </c>
      <c r="AP91" s="270">
        <v>46192.0</v>
      </c>
      <c r="AQ91" s="109" t="s">
        <v>5074</v>
      </c>
      <c r="AR91" s="109" t="s">
        <v>5075</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5076</v>
      </c>
      <c r="L92" s="294" t="s">
        <v>5077</v>
      </c>
      <c r="M92" s="409" t="s">
        <v>15</v>
      </c>
      <c r="N92" s="391" t="s">
        <v>2338</v>
      </c>
      <c r="O92" s="61"/>
      <c r="P92" s="269" t="b">
        <v>1</v>
      </c>
      <c r="R92" s="270"/>
      <c r="S92" s="523"/>
      <c r="T92" s="109"/>
      <c r="U92" s="344"/>
      <c r="V92" s="58"/>
      <c r="W92" s="61"/>
      <c r="X92" s="298"/>
      <c r="Z92" s="270">
        <v>46185.0</v>
      </c>
      <c r="AA92" s="109" t="s">
        <v>5078</v>
      </c>
      <c r="AB92" s="109" t="s">
        <v>5079</v>
      </c>
      <c r="AC92" s="58" t="s">
        <v>11</v>
      </c>
      <c r="AD92" s="58" t="s">
        <v>20</v>
      </c>
      <c r="AE92" s="61"/>
      <c r="AF92" s="269" t="b">
        <v>1</v>
      </c>
      <c r="AH92" s="270">
        <v>46191.0</v>
      </c>
      <c r="AI92" s="312" t="s">
        <v>5080</v>
      </c>
      <c r="AJ92" s="373" t="s">
        <v>5081</v>
      </c>
      <c r="AK92" s="58" t="s">
        <v>44</v>
      </c>
      <c r="AL92" s="58" t="s">
        <v>2344</v>
      </c>
      <c r="AM92" s="61"/>
      <c r="AN92" s="269" t="b">
        <v>1</v>
      </c>
      <c r="AP92" s="270">
        <v>46192.0</v>
      </c>
      <c r="AQ92" s="109" t="s">
        <v>5082</v>
      </c>
      <c r="AR92" s="109" t="s">
        <v>5083</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5084</v>
      </c>
      <c r="L93" s="273" t="s">
        <v>5085</v>
      </c>
      <c r="M93" s="395" t="s">
        <v>30</v>
      </c>
      <c r="N93" s="431" t="s">
        <v>2338</v>
      </c>
      <c r="O93" s="61"/>
      <c r="P93" s="269" t="b">
        <v>1</v>
      </c>
      <c r="R93" s="270"/>
      <c r="S93" s="109"/>
      <c r="T93" s="109"/>
      <c r="U93" s="344"/>
      <c r="V93" s="58"/>
      <c r="W93" s="61"/>
      <c r="X93" s="298"/>
      <c r="Z93" s="270">
        <v>46185.0</v>
      </c>
      <c r="AA93" s="109" t="s">
        <v>5086</v>
      </c>
      <c r="AB93" s="109" t="s">
        <v>5087</v>
      </c>
      <c r="AC93" s="58" t="s">
        <v>11</v>
      </c>
      <c r="AD93" s="58" t="s">
        <v>20</v>
      </c>
      <c r="AE93" s="61"/>
      <c r="AF93" s="269" t="b">
        <v>1</v>
      </c>
      <c r="AH93" s="270">
        <v>46191.0</v>
      </c>
      <c r="AI93" s="312" t="s">
        <v>5088</v>
      </c>
      <c r="AJ93" s="312" t="s">
        <v>5089</v>
      </c>
      <c r="AK93" s="58" t="s">
        <v>19</v>
      </c>
      <c r="AL93" s="58" t="s">
        <v>2344</v>
      </c>
      <c r="AM93" s="61"/>
      <c r="AN93" s="269" t="b">
        <v>1</v>
      </c>
      <c r="AP93" s="270">
        <v>46192.0</v>
      </c>
      <c r="AQ93" s="109" t="s">
        <v>5090</v>
      </c>
      <c r="AR93" s="109" t="s">
        <v>5091</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5092</v>
      </c>
      <c r="L94" s="294" t="s">
        <v>5093</v>
      </c>
      <c r="M94" s="409" t="s">
        <v>18</v>
      </c>
      <c r="N94" s="391" t="s">
        <v>2338</v>
      </c>
      <c r="O94" s="61"/>
      <c r="P94" s="269" t="b">
        <v>1</v>
      </c>
      <c r="R94" s="270"/>
      <c r="S94" s="109"/>
      <c r="T94" s="109"/>
      <c r="U94" s="344"/>
      <c r="V94" s="58"/>
      <c r="W94" s="61"/>
      <c r="X94" s="298"/>
      <c r="Z94" s="270">
        <v>46185.0</v>
      </c>
      <c r="AA94" s="294" t="s">
        <v>5094</v>
      </c>
      <c r="AB94" s="294" t="s">
        <v>5095</v>
      </c>
      <c r="AC94" s="409" t="s">
        <v>18</v>
      </c>
      <c r="AD94" s="391" t="s">
        <v>2338</v>
      </c>
      <c r="AE94" s="61"/>
      <c r="AF94" s="269" t="b">
        <v>1</v>
      </c>
      <c r="AH94" s="270">
        <v>46191.0</v>
      </c>
      <c r="AI94" s="312" t="s">
        <v>5096</v>
      </c>
      <c r="AJ94" s="312" t="s">
        <v>5097</v>
      </c>
      <c r="AK94" s="58" t="s">
        <v>24</v>
      </c>
      <c r="AL94" s="58" t="s">
        <v>2347</v>
      </c>
      <c r="AM94" s="61"/>
      <c r="AN94" s="269" t="b">
        <v>1</v>
      </c>
      <c r="AP94" s="270">
        <v>46192.0</v>
      </c>
      <c r="AQ94" s="109" t="s">
        <v>5098</v>
      </c>
      <c r="AR94" s="109" t="s">
        <v>5099</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5100</v>
      </c>
      <c r="L95" s="273" t="s">
        <v>5101</v>
      </c>
      <c r="M95" s="395" t="s">
        <v>18</v>
      </c>
      <c r="N95" s="431" t="s">
        <v>2338</v>
      </c>
      <c r="O95" s="61"/>
      <c r="P95" s="269" t="b">
        <v>1</v>
      </c>
      <c r="R95" s="270"/>
      <c r="S95" s="109"/>
      <c r="T95" s="109"/>
      <c r="U95" s="344"/>
      <c r="V95" s="58"/>
      <c r="W95" s="61"/>
      <c r="X95" s="298"/>
      <c r="Z95" s="270">
        <v>46185.0</v>
      </c>
      <c r="AA95" s="273" t="s">
        <v>5102</v>
      </c>
      <c r="AB95" s="273" t="s">
        <v>5103</v>
      </c>
      <c r="AC95" s="395" t="s">
        <v>11</v>
      </c>
      <c r="AD95" s="431" t="s">
        <v>2338</v>
      </c>
      <c r="AE95" s="61"/>
      <c r="AF95" s="269" t="b">
        <v>1</v>
      </c>
      <c r="AH95" s="270">
        <v>46192.0</v>
      </c>
      <c r="AI95" s="109" t="s">
        <v>5104</v>
      </c>
      <c r="AJ95" s="373" t="s">
        <v>5105</v>
      </c>
      <c r="AK95" s="58" t="s">
        <v>19</v>
      </c>
      <c r="AL95" s="58" t="s">
        <v>9</v>
      </c>
      <c r="AM95" s="61"/>
      <c r="AN95" s="269" t="b">
        <v>1</v>
      </c>
      <c r="AP95" s="270">
        <v>46192.0</v>
      </c>
      <c r="AQ95" s="109" t="s">
        <v>5106</v>
      </c>
      <c r="AR95" s="109" t="s">
        <v>5107</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5108</v>
      </c>
      <c r="L96" s="294" t="s">
        <v>5109</v>
      </c>
      <c r="M96" s="409" t="s">
        <v>25</v>
      </c>
      <c r="N96" s="391" t="s">
        <v>2338</v>
      </c>
      <c r="O96" s="61"/>
      <c r="P96" s="269" t="b">
        <v>1</v>
      </c>
      <c r="R96" s="270"/>
      <c r="S96" s="61"/>
      <c r="T96" s="61"/>
      <c r="U96" s="81"/>
      <c r="V96" s="58"/>
      <c r="W96" s="61"/>
      <c r="X96" s="298"/>
      <c r="Z96" s="270">
        <v>46185.0</v>
      </c>
      <c r="AA96" s="294" t="s">
        <v>5110</v>
      </c>
      <c r="AB96" s="294" t="s">
        <v>5111</v>
      </c>
      <c r="AC96" s="409" t="s">
        <v>27</v>
      </c>
      <c r="AD96" s="391" t="s">
        <v>2338</v>
      </c>
      <c r="AE96" s="61"/>
      <c r="AF96" s="269" t="b">
        <v>1</v>
      </c>
      <c r="AH96" s="270">
        <v>46192.0</v>
      </c>
      <c r="AI96" s="109" t="s">
        <v>5112</v>
      </c>
      <c r="AJ96" s="373" t="s">
        <v>5113</v>
      </c>
      <c r="AK96" s="58" t="s">
        <v>22</v>
      </c>
      <c r="AL96" s="58" t="s">
        <v>2347</v>
      </c>
      <c r="AM96" s="61"/>
      <c r="AN96" s="269" t="b">
        <v>1</v>
      </c>
      <c r="AP96" s="270">
        <v>46192.0</v>
      </c>
      <c r="AQ96" s="109" t="s">
        <v>5114</v>
      </c>
      <c r="AR96" s="109" t="s">
        <v>5115</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5116</v>
      </c>
      <c r="AB97" s="456" t="s">
        <v>5117</v>
      </c>
      <c r="AC97" s="462" t="s">
        <v>21</v>
      </c>
      <c r="AD97" s="462" t="s">
        <v>28</v>
      </c>
      <c r="AE97" s="61"/>
      <c r="AF97" s="269" t="b">
        <v>1</v>
      </c>
      <c r="AH97" s="270">
        <v>46192.0</v>
      </c>
      <c r="AI97" s="312" t="s">
        <v>5118</v>
      </c>
      <c r="AJ97" s="373" t="s">
        <v>5119</v>
      </c>
      <c r="AK97" s="58"/>
      <c r="AL97" s="58" t="s">
        <v>2347</v>
      </c>
      <c r="AM97" s="109" t="s">
        <v>5120</v>
      </c>
      <c r="AN97" s="298"/>
      <c r="AP97" s="270">
        <v>46192.0</v>
      </c>
      <c r="AQ97" s="109" t="s">
        <v>5121</v>
      </c>
      <c r="AR97" s="109" t="s">
        <v>5122</v>
      </c>
      <c r="AS97" s="58" t="s">
        <v>11</v>
      </c>
      <c r="AT97" s="58" t="s">
        <v>14</v>
      </c>
      <c r="AU97" s="109" t="s">
        <v>4778</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5123</v>
      </c>
      <c r="AB98" s="273" t="s">
        <v>5124</v>
      </c>
      <c r="AC98" s="274" t="s">
        <v>30</v>
      </c>
      <c r="AD98" s="274" t="s">
        <v>2337</v>
      </c>
      <c r="AE98" s="61"/>
      <c r="AF98" s="269" t="b">
        <v>1</v>
      </c>
      <c r="AH98" s="270">
        <v>46192.0</v>
      </c>
      <c r="AI98" s="109" t="s">
        <v>5125</v>
      </c>
      <c r="AJ98" s="373" t="s">
        <v>5126</v>
      </c>
      <c r="AK98" s="58" t="s">
        <v>16</v>
      </c>
      <c r="AL98" s="58" t="s">
        <v>9</v>
      </c>
      <c r="AM98" s="109" t="s">
        <v>5127</v>
      </c>
      <c r="AN98" s="269" t="b">
        <v>1</v>
      </c>
      <c r="AP98" s="382">
        <v>46192.0</v>
      </c>
      <c r="AQ98" s="273" t="s">
        <v>5128</v>
      </c>
      <c r="AR98" s="273" t="s">
        <v>5129</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5130</v>
      </c>
      <c r="AB99" s="294" t="s">
        <v>5131</v>
      </c>
      <c r="AC99" s="295" t="s">
        <v>30</v>
      </c>
      <c r="AD99" s="295" t="s">
        <v>2337</v>
      </c>
      <c r="AE99" s="109"/>
      <c r="AF99" s="269" t="b">
        <v>1</v>
      </c>
      <c r="AH99" s="270">
        <v>46192.0</v>
      </c>
      <c r="AI99" s="109" t="s">
        <v>5132</v>
      </c>
      <c r="AJ99" s="373" t="s">
        <v>5133</v>
      </c>
      <c r="AK99" s="58" t="s">
        <v>10</v>
      </c>
      <c r="AL99" s="58" t="s">
        <v>9</v>
      </c>
      <c r="AM99" s="61"/>
      <c r="AN99" s="269" t="b">
        <v>1</v>
      </c>
      <c r="AP99" s="380">
        <v>46192.0</v>
      </c>
      <c r="AQ99" s="294" t="s">
        <v>5134</v>
      </c>
      <c r="AR99" s="294" t="s">
        <v>5135</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5136</v>
      </c>
      <c r="AB100" s="273" t="s">
        <v>5137</v>
      </c>
      <c r="AC100" s="274" t="s">
        <v>30</v>
      </c>
      <c r="AD100" s="274" t="s">
        <v>2337</v>
      </c>
      <c r="AE100" s="61"/>
      <c r="AF100" s="269" t="b">
        <v>1</v>
      </c>
      <c r="AH100" s="270">
        <v>46192.0</v>
      </c>
      <c r="AI100" s="109" t="s">
        <v>5138</v>
      </c>
      <c r="AJ100" s="373" t="s">
        <v>5139</v>
      </c>
      <c r="AK100" s="58" t="s">
        <v>44</v>
      </c>
      <c r="AL100" s="58" t="s">
        <v>9</v>
      </c>
      <c r="AM100" s="61"/>
      <c r="AN100" s="269" t="b">
        <v>1</v>
      </c>
      <c r="AP100" s="382">
        <v>46192.0</v>
      </c>
      <c r="AQ100" s="430" t="s">
        <v>5140</v>
      </c>
      <c r="AR100" s="430" t="s">
        <v>5141</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5142</v>
      </c>
      <c r="AB101" s="294" t="s">
        <v>5143</v>
      </c>
      <c r="AC101" s="295" t="s">
        <v>30</v>
      </c>
      <c r="AD101" s="295" t="s">
        <v>2337</v>
      </c>
      <c r="AE101" s="109"/>
      <c r="AF101" s="269" t="b">
        <v>1</v>
      </c>
      <c r="AH101" s="270">
        <v>46192.0</v>
      </c>
      <c r="AI101" s="312" t="s">
        <v>5144</v>
      </c>
      <c r="AJ101" s="373" t="s">
        <v>5145</v>
      </c>
      <c r="AK101" s="58" t="s">
        <v>19</v>
      </c>
      <c r="AL101" s="58" t="s">
        <v>9</v>
      </c>
      <c r="AM101" s="61"/>
      <c r="AN101" s="269" t="b">
        <v>1</v>
      </c>
      <c r="AP101" s="380">
        <v>46192.0</v>
      </c>
      <c r="AQ101" s="294" t="s">
        <v>5146</v>
      </c>
      <c r="AR101" s="294" t="s">
        <v>5147</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5148</v>
      </c>
      <c r="AB102" s="273" t="s">
        <v>5149</v>
      </c>
      <c r="AC102" s="402" t="s">
        <v>30</v>
      </c>
      <c r="AD102" s="402" t="s">
        <v>2337</v>
      </c>
      <c r="AE102" s="109"/>
      <c r="AF102" s="269" t="b">
        <v>1</v>
      </c>
      <c r="AH102" s="270">
        <v>46192.0</v>
      </c>
      <c r="AI102" s="312" t="s">
        <v>5150</v>
      </c>
      <c r="AJ102" s="373" t="s">
        <v>5151</v>
      </c>
      <c r="AK102" s="58" t="s">
        <v>32</v>
      </c>
      <c r="AL102" s="58" t="s">
        <v>2347</v>
      </c>
      <c r="AM102" s="61"/>
      <c r="AN102" s="269" t="b">
        <v>1</v>
      </c>
      <c r="AP102" s="382">
        <v>46192.0</v>
      </c>
      <c r="AQ102" s="273" t="s">
        <v>5152</v>
      </c>
      <c r="AR102" s="273" t="s">
        <v>5153</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5154</v>
      </c>
      <c r="AB103" s="294" t="s">
        <v>5155</v>
      </c>
      <c r="AC103" s="295" t="s">
        <v>30</v>
      </c>
      <c r="AD103" s="295" t="s">
        <v>2337</v>
      </c>
      <c r="AE103" s="61"/>
      <c r="AF103" s="269" t="b">
        <v>1</v>
      </c>
      <c r="AH103" s="270">
        <v>46193.0</v>
      </c>
      <c r="AI103" s="109" t="s">
        <v>5156</v>
      </c>
      <c r="AJ103" s="373" t="s">
        <v>5157</v>
      </c>
      <c r="AK103" s="58" t="s">
        <v>24</v>
      </c>
      <c r="AL103" s="58" t="s">
        <v>2347</v>
      </c>
      <c r="AM103" s="61"/>
      <c r="AN103" s="269" t="b">
        <v>1</v>
      </c>
      <c r="AP103" s="403">
        <v>46192.0</v>
      </c>
      <c r="AQ103" s="417" t="s">
        <v>5158</v>
      </c>
      <c r="AR103" s="294" t="s">
        <v>5159</v>
      </c>
      <c r="AS103" s="295" t="s">
        <v>15</v>
      </c>
      <c r="AT103" s="295" t="s">
        <v>2337</v>
      </c>
      <c r="AU103" s="109" t="s">
        <v>5160</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5161</v>
      </c>
      <c r="AB104" s="273" t="s">
        <v>5162</v>
      </c>
      <c r="AC104" s="274" t="s">
        <v>30</v>
      </c>
      <c r="AD104" s="274" t="s">
        <v>2337</v>
      </c>
      <c r="AE104" s="61"/>
      <c r="AF104" s="269" t="b">
        <v>1</v>
      </c>
      <c r="AH104" s="270">
        <v>46194.0</v>
      </c>
      <c r="AI104" s="109" t="s">
        <v>5163</v>
      </c>
      <c r="AJ104" s="373" t="s">
        <v>5164</v>
      </c>
      <c r="AK104" s="58" t="s">
        <v>22</v>
      </c>
      <c r="AL104" s="58" t="s">
        <v>2347</v>
      </c>
      <c r="AM104" s="61"/>
      <c r="AN104" s="269" t="b">
        <v>1</v>
      </c>
      <c r="AP104" s="401">
        <v>46192.0</v>
      </c>
      <c r="AQ104" s="273" t="s">
        <v>5165</v>
      </c>
      <c r="AR104" s="273" t="s">
        <v>5166</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5167</v>
      </c>
      <c r="AB105" s="294" t="s">
        <v>5168</v>
      </c>
      <c r="AC105" s="295" t="s">
        <v>11</v>
      </c>
      <c r="AD105" s="295" t="s">
        <v>2337</v>
      </c>
      <c r="AE105" s="61"/>
      <c r="AF105" s="269" t="b">
        <v>1</v>
      </c>
      <c r="AH105" s="270">
        <v>46194.0</v>
      </c>
      <c r="AI105" s="273" t="s">
        <v>5169</v>
      </c>
      <c r="AJ105" s="273" t="s">
        <v>5170</v>
      </c>
      <c r="AK105" s="274" t="s">
        <v>44</v>
      </c>
      <c r="AL105" s="274" t="s">
        <v>3664</v>
      </c>
      <c r="AM105" s="61"/>
      <c r="AN105" s="269" t="b">
        <v>1</v>
      </c>
      <c r="AP105" s="403">
        <v>46192.0</v>
      </c>
      <c r="AQ105" s="294" t="s">
        <v>5171</v>
      </c>
      <c r="AR105" s="294" t="s">
        <v>5172</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5173</v>
      </c>
      <c r="AB106" s="273" t="s">
        <v>5174</v>
      </c>
      <c r="AC106" s="274" t="s">
        <v>27</v>
      </c>
      <c r="AD106" s="274" t="s">
        <v>2337</v>
      </c>
      <c r="AE106" s="61"/>
      <c r="AF106" s="269" t="b">
        <v>1</v>
      </c>
      <c r="AH106" s="270">
        <v>46194.0</v>
      </c>
      <c r="AI106" s="294" t="s">
        <v>5175</v>
      </c>
      <c r="AJ106" s="294" t="s">
        <v>5176</v>
      </c>
      <c r="AK106" s="295" t="s">
        <v>32</v>
      </c>
      <c r="AL106" s="295" t="s">
        <v>3664</v>
      </c>
      <c r="AM106" s="61"/>
      <c r="AN106" s="269" t="b">
        <v>1</v>
      </c>
      <c r="AP106" s="401">
        <v>46192.0</v>
      </c>
      <c r="AQ106" s="273" t="s">
        <v>5177</v>
      </c>
      <c r="AR106" s="273" t="s">
        <v>5178</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5179</v>
      </c>
      <c r="AB107" s="294" t="s">
        <v>5180</v>
      </c>
      <c r="AC107" s="295"/>
      <c r="AD107" s="295" t="s">
        <v>2337</v>
      </c>
      <c r="AE107" s="61"/>
      <c r="AF107" s="269" t="b">
        <v>0</v>
      </c>
      <c r="AH107" s="194"/>
      <c r="AI107" s="61"/>
      <c r="AJ107" s="61"/>
      <c r="AK107" s="81"/>
      <c r="AL107" s="81"/>
      <c r="AM107" s="61"/>
      <c r="AN107" s="298"/>
      <c r="AP107" s="403">
        <v>46192.0</v>
      </c>
      <c r="AQ107" s="294" t="s">
        <v>5181</v>
      </c>
      <c r="AR107" s="294" t="s">
        <v>5182</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5183</v>
      </c>
      <c r="AB108" s="273" t="s">
        <v>5184</v>
      </c>
      <c r="AC108" s="274" t="s">
        <v>27</v>
      </c>
      <c r="AD108" s="274" t="s">
        <v>2337</v>
      </c>
      <c r="AE108" s="61"/>
      <c r="AF108" s="269" t="b">
        <v>1</v>
      </c>
      <c r="AH108" s="194"/>
      <c r="AI108" s="61"/>
      <c r="AJ108" s="61"/>
      <c r="AK108" s="81"/>
      <c r="AL108" s="81"/>
      <c r="AM108" s="61"/>
      <c r="AN108" s="298"/>
      <c r="AP108" s="401">
        <v>46192.0</v>
      </c>
      <c r="AQ108" s="273" t="s">
        <v>5185</v>
      </c>
      <c r="AR108" s="273" t="s">
        <v>5186</v>
      </c>
      <c r="AS108" s="274" t="s">
        <v>27</v>
      </c>
      <c r="AT108" s="274" t="s">
        <v>2337</v>
      </c>
      <c r="AU108" s="109" t="s">
        <v>5187</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5188</v>
      </c>
      <c r="AB109" s="273" t="s">
        <v>5189</v>
      </c>
      <c r="AC109" s="383" t="s">
        <v>27</v>
      </c>
      <c r="AD109" s="410" t="s">
        <v>2338</v>
      </c>
      <c r="AE109" s="61"/>
      <c r="AF109" s="269" t="b">
        <v>1</v>
      </c>
      <c r="AH109" s="270"/>
      <c r="AI109" s="61"/>
      <c r="AJ109" s="524"/>
      <c r="AK109" s="344"/>
      <c r="AL109" s="344"/>
      <c r="AM109" s="61"/>
      <c r="AN109" s="298"/>
      <c r="AP109" s="403">
        <v>46192.0</v>
      </c>
      <c r="AQ109" s="294" t="s">
        <v>5190</v>
      </c>
      <c r="AR109" s="294" t="s">
        <v>5191</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5192</v>
      </c>
      <c r="AB110" s="294" t="s">
        <v>5193</v>
      </c>
      <c r="AC110" s="381" t="s">
        <v>11</v>
      </c>
      <c r="AD110" s="295" t="s">
        <v>2338</v>
      </c>
      <c r="AE110" s="61"/>
      <c r="AF110" s="269" t="b">
        <v>1</v>
      </c>
      <c r="AH110" s="270"/>
      <c r="AI110" s="109"/>
      <c r="AJ110" s="373"/>
      <c r="AK110" s="344"/>
      <c r="AL110" s="344"/>
      <c r="AM110" s="61"/>
      <c r="AN110" s="298"/>
      <c r="AP110" s="401">
        <v>46192.0</v>
      </c>
      <c r="AQ110" s="273" t="s">
        <v>5194</v>
      </c>
      <c r="AR110" s="273" t="s">
        <v>5195</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5196</v>
      </c>
      <c r="AB111" s="294" t="s">
        <v>5197</v>
      </c>
      <c r="AC111" s="381" t="s">
        <v>30</v>
      </c>
      <c r="AD111" s="295" t="s">
        <v>2338</v>
      </c>
      <c r="AE111" s="61"/>
      <c r="AF111" s="269" t="b">
        <v>1</v>
      </c>
      <c r="AH111" s="270"/>
      <c r="AI111" s="109"/>
      <c r="AJ111" s="373"/>
      <c r="AK111" s="344"/>
      <c r="AL111" s="344"/>
      <c r="AM111" s="61"/>
      <c r="AN111" s="298"/>
      <c r="AP111" s="403">
        <v>46192.0</v>
      </c>
      <c r="AQ111" s="294" t="s">
        <v>5198</v>
      </c>
      <c r="AR111" s="294" t="s">
        <v>5199</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5200</v>
      </c>
      <c r="AB112" s="273" t="s">
        <v>5201</v>
      </c>
      <c r="AC112" s="383"/>
      <c r="AD112" s="293" t="s">
        <v>2338</v>
      </c>
      <c r="AE112" s="109" t="s">
        <v>982</v>
      </c>
      <c r="AF112" s="298"/>
      <c r="AH112" s="270"/>
      <c r="AI112" s="109"/>
      <c r="AJ112" s="373"/>
      <c r="AK112" s="344"/>
      <c r="AL112" s="344"/>
      <c r="AM112" s="61"/>
      <c r="AN112" s="298"/>
      <c r="AP112" s="525">
        <v>46193.0</v>
      </c>
      <c r="AQ112" s="273" t="s">
        <v>5202</v>
      </c>
      <c r="AR112" s="273" t="s">
        <v>5203</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5204</v>
      </c>
      <c r="AR113" s="294" t="s">
        <v>5205</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5206</v>
      </c>
      <c r="AR114" s="273" t="s">
        <v>5207</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5208</v>
      </c>
      <c r="AR115" s="294" t="s">
        <v>5209</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5210</v>
      </c>
      <c r="AR116" s="273" t="s">
        <v>5211</v>
      </c>
      <c r="AS116" s="274" t="s">
        <v>21</v>
      </c>
      <c r="AT116" s="274" t="s">
        <v>2337</v>
      </c>
      <c r="AU116" s="109" t="s">
        <v>5212</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5213</v>
      </c>
      <c r="AR117" s="294" t="s">
        <v>5214</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5215</v>
      </c>
      <c r="AR118" s="273" t="s">
        <v>5216</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5217</v>
      </c>
      <c r="AR119" s="294" t="s">
        <v>5218</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5219</v>
      </c>
      <c r="AR120" s="273" t="s">
        <v>5220</v>
      </c>
      <c r="AS120" s="274" t="s">
        <v>18</v>
      </c>
      <c r="AT120" s="274" t="s">
        <v>2338</v>
      </c>
      <c r="AU120" s="109" t="s">
        <v>5221</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5222</v>
      </c>
      <c r="AR121" s="273" t="s">
        <v>5223</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5224</v>
      </c>
      <c r="D999" s="109" t="s">
        <v>5225</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5226</v>
      </c>
      <c r="D1000" s="109" t="s">
        <v>5227</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5228</v>
      </c>
      <c r="D1001" s="109" t="s">
        <v>5229</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