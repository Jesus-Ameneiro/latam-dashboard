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tc={f6d77f68-4b05-4a85-82d4-12a5c913b2b7}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6d77f68-4b05-4a85-82d4-12a5c913b2b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<sst xmlns="http://schemas.openxmlformats.org/spreadsheetml/2006/main" count="10708" uniqueCount="4871">
  <si>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</si>
  <si>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</si>
  <si>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</si>
  <si>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</si>
  <si>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</si>
  <si>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</si>
  <si>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</si>
  <si>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</si>
  <si>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</si>
  <si>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</si>
  <si>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</si>
  <si>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</si>
  <si>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</si>
  <si>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</si>
  <si>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</si>
  <si>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</si>
  <si>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</si>
  <si>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</si>
  <si>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</si>
  <si>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</si>
  <si>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</si>
  <si>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</si>
  <si>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</si>
  <si>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</si>
  <si>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</si>
  <si>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</si>
  <si>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</si>
  <si>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</si>
  <si>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</si>
  <si>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</si>
  <si>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</si>
  <si>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</si>
  <si>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</si>
  <si>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</si>
  <si>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</si>
  <si>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</si>
  <si>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</si>
  <si>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</si>
  <si>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</si>
  <si>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</si>
  <si>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</si>
  <si>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</si>
  <si>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</si>
  <si>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</si>
  <si>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</si>
  <si>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</si>
  <si>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</si>
  <si>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</si>
  <si>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</si>
  <si>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</si>
  <si>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</si>
  <si>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</si>
  <si>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</si>
  <si>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</si>
  <si>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</si>
  <si>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</si>
  <si>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</si>
  <si>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</si>
  <si>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</si>
  <si>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</si>
  <si>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</si>
  <si>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</si>
  <si>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</si>
  <si>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</si>
  <si>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</si>
  <si>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</si>
  <si>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</si>
  <si>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</si>
  <si>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</si>
  <si>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</si>
  <si>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</si>
  <si>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</si>
  <si>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</si>
  <si>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</si>
  <si>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</si>
  <si>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</si>
  <si>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</si>
  <si>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</si>
  <si>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</si>
  <si>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</si>
  <si>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</si>
  <si>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</si>
  <si>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</si>
  <si>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</si>
  <si>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</si>
  <si>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</si>
  <si>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</si>
  <si>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</si>
  <si>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</si>
  <si>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</si>
  <si>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</si>
  <si>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</si>
  <si>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</si>
  <si>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</si>
  <si>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</si>
  <si>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</si>
  <si>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</si>
  <si>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</si>
  <si>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</si>
  <si>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</si>
  <si>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</si>
  <si>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</si>
  <si>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</si>
  <si>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</si>
  <si>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</si>
  <si>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</si>
  <si>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</si>
  <si>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</si>
  <si>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</si>
  <si>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</si>
  <si>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</si>
  <si>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</si>
  <si>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</si>
  <si>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</si>
  <si>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</si>
  <si>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</si>
  <si>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</si>
  <si>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</si>
  <si>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</si>
  <si>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</si>
  <si>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</si>
  <si>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</si>
  <si>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</si>
  <si>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</si>
  <si>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</si>
  <si>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</si>
  <si>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</si>
  <si>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</si>
  <si>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</si>
  <si>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</si>
  <si>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</si>
  <si>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</si>
  <si>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</si>
  <si>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</si>
  <si>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</si>
  <si>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</si>
  <si>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</si>
  <si>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</si>
  <si>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</si>
  <si>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</si>
  <si>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</si>
  <si>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</si>
  <si>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</si>
  <si>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</si>
  <si>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</si>
  <si>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</si>
  <si>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</si>
  <si>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</si>
  <si>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</si>
  <si>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</si>
  <si>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</si>
  <si>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</si>
  <si>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</si>
  <si>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</si>
  <si>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</si>
  <si>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</si>
  <si>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</si>
  <si>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</si>
  <si>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</si>
  <si>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</si>
  <si>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</si>
  <si>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</si>
  <si>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</si>
  <si>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</si>
  <si>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</si>
  <si>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</si>
  <si>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</si>
  <si>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</si>
  <si>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</si>
  <si>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</si>
  <si>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</si>
  <si>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</si>
  <si>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</si>
  <si>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</si>
  <si>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</si>
  <si>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</si>
  <si>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</si>
  <si>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</si>
  <si>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</si>
  <si>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</si>
  <si>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</si>
  <si>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</si>
  <si>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</si>
  <si>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</si>
  <si>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</si>
  <si>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</si>
  <si>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</si>
  <si>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</si>
  <si>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</si>
  <si>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</si>
  <si>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</si>
  <si>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</si>
  <si>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</si>
  <si>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</si>
  <si>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</si>
  <si>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</si>
  <si>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</si>
  <si>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</si>
  <si>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</si>
  <si>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</si>
  <si>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</si>
  <si>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</si>
  <si>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</si>
  <si>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</si>
  <si>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</si>
  <si>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</si>
  <si>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</si>
  <si>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</si>
  <si>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</si>
  <si>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</si>
  <si>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</si>
  <si>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</si>
  <si>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</si>
  <si>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</si>
  <si>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</si>
  <si>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</si>
  <si>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</si>
  <si>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</si>
  <si>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</si>
  <si>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</si>
  <si>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</si>
  <si>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</si>
  <si>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</si>
  <si>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</si>
  <si>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</si>
  <si>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</si>
  <si>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</si>
  <si>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</si>
  <si>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</si>
  <si>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</si>
  <si>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</si>
  <si>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</si>
  <si>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</si>
  <si>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</si>
  <si>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</si>
  <si>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</si>
  <si>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</si>
  <si>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</si>
  <si>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</si>
  <si>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</si>
  <si>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</si>
  <si>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</si>
  <si>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</si>
  <si>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</si>
  <si>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</si>
  <si>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</si>
  <si>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</si>
  <si>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</si>
  <si>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</si>
  <si>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</si>
  <si>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</si>
  <si>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</si>
  <si>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</si>
  <si>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</si>
  <si>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</si>
  <si>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</si>
  <si>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</si>
  <si>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</si>
  <si>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</si>
  <si>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</si>
  <si>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</si>
  <si>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</si>
  <si>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</si>
  <si>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</si>
  <si>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</si>
  <si>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</si>
  <si>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</si>
  <si>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</si>
  <si>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</si>
  <si>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</si>
  <si>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</si>
  <si>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</si>
  <si>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</si>
  <si>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</si>
  <si>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</si>
  <si>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</si>
  <si>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</si>
  <si>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</si>
  <si>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</si>
  <si>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</si>
  <si>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</si>
  <si>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</si>
  <si>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</si>
  <si>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</si>
  <si>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</si>
  <si>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</si>
  <si>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</si>
  <si>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</si>
  <si>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</si>
  <si>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</si>
  <si>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</si>
  <si>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</si>
  <si>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</si>
  <si>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</si>
  <si>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</si>
  <si>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</si>
  <si>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</si>
  <si>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</si>
  <si>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</si>
  <si>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</si>
  <si>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</si>
  <si>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</si>
  <si>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</si>
  <si>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</si>
  <si>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</si>
  <si>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</si>
  <si>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</si>
  <si>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</si>
  <si>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</si>
  <si>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</si>
  <si>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</si>
  <si>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</si>
  <si>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</si>
  <si>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</si>
  <si>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</si>
  <si>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</si>
  <si>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</si>
  <si>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</si>
  <si>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</si>
  <si>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</si>
  <si>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</si>
  <si>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</si>
  <si>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</si>
  <si>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</si>
  <si>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</si>
  <si>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</si>
  <si>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</si>
  <si>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</si>
  <si>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</si>
  <si>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</si>
  <si>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</si>
  <si>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</si>
  <si>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</si>
  <si>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</si>
  <si>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</si>
  <si>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</si>
  <si>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</si>
  <si>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</si>
  <si>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</si>
  <si>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</si>
  <si>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</si>
  <si>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</si>
  <si>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</si>
  <si>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</si>
  <si>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</si>
  <si>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</si>
  <si>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</si>
  <si>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</si>
  <si>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</si>
  <si>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</si>
  <si>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</si>
  <si>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</si>
  <si>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</si>
  <si>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</si>
  <si>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</si>
  <si>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</si>
  <si>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</si>
  <si>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</si>
  <si>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</si>
  <si>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</si>
  <si>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</si>
  <si>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</si>
  <si>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</si>
  <si>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</si>
  <si>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</si>
  <si>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</si>
  <si>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</si>
  <si>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</si>
  <si>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</si>
  <si>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</si>
  <si>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</si>
  <si>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</si>
  <si>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</si>
  <si>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</si>
  <si>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</si>
  <si>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</si>
  <si>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</si>
  <si>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</si>
  <si>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</si>
  <si>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</si>
  <si>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</si>
  <si>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</si>
  <si>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</si>
  <si>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</si>
  <si>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</si>
  <si>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</si>
  <si>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</si>
  <si>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</si>
  <si>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</si>
  <si>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</si>
  <si>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</si>
  <si>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</si>
  <si>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</si>
  <si>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</si>
  <si>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</si>
  <si>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</si>
  <si>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</si>
  <si>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</si>
  <si>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</si>
  <si>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</si>
  <si>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</si>
  <si>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</si>
  <si>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</si>
  <si>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</si>
  <si>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</si>
  <si>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</si>
  <si>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</si>
  <si>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</si>
  <si>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</si>
  <si>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</si>
  <si>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</si>
  <si>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</si>
  <si>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</si>
  <si>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</si>
  <si>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</si>
  <si>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</si>
  <si>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</si>
  <si>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</si>
  <si>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</si>
  <si>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</si>
  <si>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</si>
  <si>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</si>
  <si>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</si>
  <si>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</si>
  <si>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</si>
  <si>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</si>
  <si>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</si>
  <si>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</si>
  <si>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</si>
  <si>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</si>
  <si>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</si>
  <si>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</si>
  <si>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</si>
  <si>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</si>
  <si>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</si>
  <si>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</si>
  <si>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</si>
  <si>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</si>
  <si>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</si>
  <si>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</si>
  <si>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</si>
  <si>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</si>
  <si>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</si>
  <si>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</si>
  <si>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</si>
  <si>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</si>
  <si>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</si>
  <si>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</si>
  <si>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</si>
  <si>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</si>
  <si>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</si>
  <si>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</si>
  <si>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</si>
  <si>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</si>
  <si>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</si>
  <si>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</si>
  <si>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</si>
  <si>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</si>
  <si>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</si>
  <si>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</si>
  <si>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</si>
  <si>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</si>
  <si>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</si>
  <si>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</si>
  <si>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</si>
  <si>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</si>
  <si>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</si>
  <si>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</si>
  <si>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</si>
  <si>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</si>
  <si>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</si>
  <si>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</si>
  <si>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</si>
  <si>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</si>
  <si>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</si>
  <si>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</si>
  <si>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</si>
  <si>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</si>
  <si>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</si>
  <si>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</si>
  <si>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</si>
  <si>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</si>
  <si>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</si>
  <si>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</si>
  <si>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</si>
  <si>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</si>
  <si>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</si>
  <si>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</si>
  <si>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</si>
  <si>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</si>
  <si>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</si>
  <si>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</si>
  <si>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</si>
  <si>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</si>
  <si>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</si>
  <si>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</si>
  <si>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</si>
  <si>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</si>
  <si>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</si>
  <si>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</si>
  <si>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</si>
  <si>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</si>
  <si>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</si>
  <si>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</si>
  <si>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</si>
  <si>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</si>
  <si>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</si>
  <si>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</si>
  <si>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</si>
  <si>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</si>
  <si>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</si>
  <si>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</si>
  <si>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</si>
  <si>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</si>
  <si>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</si>
  <si>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</si>
  <si>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</si>
  <si>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</si>
  <si>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</si>
  <si>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</si>
  <si>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</si>
  <si>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</si>
  <si>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</si>
  <si>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</si>
  <si>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</si>
  <si>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</si>
  <si>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</si>
  <si>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</si>
  <si>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</si>
  <si>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</si>
  <si>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</si>
  <si>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</si>
  <si>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</si>
  <si>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</si>
  <si>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</si>
  <si>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</si>
  <si>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</si>
  <si>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</si>
  <si>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</si>
  <si>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</si>
  <si>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</si>
  <si>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</si>
  <si>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</si>
  <si>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</si>
  <si>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</si>
  <si>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</si>
  <si>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</si>
  <si>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</si>
  <si>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</si>
  <si>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</si>
  <si>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</si>
  <si>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</si>
  <si>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</si>
  <si>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</si>
  <si>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</si>
  <si>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</si>
  <si>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</si>
  <si>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</si>
  <si>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</si>
  <si>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</si>
  <si>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</si>
  <si>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</si>
  <si>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</si>
  <si>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</si>
  <si>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</si>
  <si>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</si>
  <si>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</si>
  <si>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</si>
  <si>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</si>
  <si>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</si>
  <si>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</si>
  <si>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</si>
  <si>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</si>
  <si>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</si>
  <si>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</si>
  <si>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</si>
  <si>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</si>
  <si>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</si>
  <si>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</si>
  <si>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</si>
  <si>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</si>
  <si>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</si>
  <si>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</si>
  <si>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</si>
  <si>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</si>
  <si>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</si>
  <si>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</si>
  <si>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</si>
  <si>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</si>
  <si>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</si>
  <si>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</si>
  <si>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</si>
  <si>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</si>
  <si>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</si>
  <si>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</si>
  <si>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</si>
  <si>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</si>
  <si>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</si>
  <si>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</si>
  <si>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</si>
  <si>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</si>
  <si>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</si>
  <si>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</si>
  <si>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</si>
  <si>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</si>
  <si>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</si>
  <si>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</si>
  <si>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</si>
  <si>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</si>
  <si>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</si>
  <si>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</si>
  <si>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</si>
  <si>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</si>
  <si>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</si>
  <si>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</si>
  <si>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</si>
  <si>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</si>
  <si>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</si>
  <si>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</si>
  <si>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</si>
  <si>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</si>
  <si>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</si>
  <si>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</si>
  <si>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</si>
  <si>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</si>
  <si>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</si>
  <si>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</si>
  <si>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</si>
  <si>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</si>
  <si>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</si>
  <si>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</si>
  <si>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</si>
  <si>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</si>
  <si>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</si>
  <si>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</si>
  <si>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</si>
  <si>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</si>
  <si>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</si>
  <si>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</si>
  <si>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</si>
  <si>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</si>
  <si>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</si>
  <si>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</si>
  <si>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</si>
  <si>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</si>
  <si>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</si>
  <si>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</si>
  <si>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</si>
  <si>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</si>
  <si>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</si>
  <si>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</si>
  <si>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</si>
  <si>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</si>
  <si>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</si>
  <si>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</si>
  <si>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</si>
  <si>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</si>
  <si>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</si>
  <si>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</si>
  <si>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</si>
  <si>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</si>
  <si>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</si>
  <si>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</si>
  <si>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</si>
  <si>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</si>
  <si>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</si>
  <si>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</si>
  <si>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</si>
  <si>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</si>
  <si>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</si>
  <si>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</si>
  <si>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</si>
  <si>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</si>
  <si>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</si>
  <si>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</si>
  <si>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</si>
  <si>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</si>
  <si>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</si>
  <si>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</si>
  <si>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</si>
  <si>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</si>
  <si>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</si>
  <si>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</si>
  <si>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</si>
  <si>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</si>
  <si>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</si>
  <si>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</si>
  <si>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</si>
  <si>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</si>
  <si>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</si>
  <si>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</si>
  <si>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</si>
  <si>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</si>
  <si>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</si>
  <si>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</si>
  <si>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</si>
  <si>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</si>
  <si>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</si>
  <si>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</si>
  <si>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</si>
  <si>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</si>
  <si>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</si>
  <si>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</si>
  <si>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</si>
  <si>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</si>
  <si>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</si>
  <si>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</si>
  <si>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</si>
  <si>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</si>
  <si>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</si>
  <si>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</si>
  <si>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</si>
  <si>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</si>
  <si>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</si>
  <si>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</si>
  <si>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</si>
  <si>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</si>
  <si>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</si>
  <si>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</si>
  <si>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</si>
  <si>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</si>
  <si>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</si>
  <si>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</si>
  <si>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</si>
  <si>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</si>
  <si>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</si>
  <si>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</si>
  <si>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</si>
  <si>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</si>
  <si>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</si>
  <si>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</si>
  <si>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</si>
  <si>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</si>
  <si>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</si>
  <si>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</si>
  <si>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</si>
  <si>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</si>
  <si>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</si>
  <si>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</si>
  <si>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</si>
  <si>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</si>
  <si>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</si>
  <si>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</si>
  <si>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</si>
  <si>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</si>
  <si>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</si>
  <si>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</si>
  <si>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</si>
  <si>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</si>
  <si>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</si>
  <si>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</si>
  <si>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</si>
  <si>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</si>
  <si>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</si>
  <si>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</si>
  <si>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</si>
  <si>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</si>
  <si>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</si>
  <si>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</si>
  <si>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</si>
  <si>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</si>
  <si>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</si>
  <si>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</si>
  <si>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</si>
  <si>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</si>
  <si>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</si>
  <si>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</si>
  <si>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</si>
  <si>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</si>
  <si>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</si>
  <si>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</si>
  <si>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</si>
  <si>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</si>
  <si>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</si>
  <si>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</si>
  <si>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</si>
  <si>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</si>
  <si>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</si>
  <si>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</si>
  <si>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</si>
  <si>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</si>
  <si>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</si>
  <si>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</si>
  <si>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</si>
  <si>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</si>
  <si>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</si>
  <si>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</si>
  <si>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</si>
  <si>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</si>
  <si>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</si>
  <si>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</si>
  <si>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</si>
  <si>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</si>
  <si>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</si>
  <si>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</si>
  <si>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</si>
  <si>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</si>
  <si>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</si>
  <si>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</si>
  <si>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</si>
  <si>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</si>
  <si>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</si>
  <si>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</si>
  <si>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</si>
  <si>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</si>
  <si>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</si>
  <si>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</si>
  <si>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</si>
  <si>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</si>
  <si>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</si>
  <si>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</si>
  <si>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</si>
  <si>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</si>
  <si>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</si>
  <si>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</si>
  <si>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</si>
  <si>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</si>
  <si>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</si>
  <si>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</si>
  <si>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</si>
  <si>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</si>
  <si>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</si>
  <si>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</si>
  <si>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</si>
  <si>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</si>
  <si>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</si>
  <si>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</si>
  <si>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</si>
  <si>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</si>
  <si>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</si>
  <si>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</si>
  <si>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</si>
  <si>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</si>
  <si>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</si>
  <si>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</si>
  <si>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</si>
  <si>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</si>
  <si>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</si>
  <si>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</si>
  <si>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</si>
  <si>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</si>
  <si>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</si>
  <si>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</si>
  <si>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</si>
  <si>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</si>
  <si>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</si>
  <si>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</si>
  <si>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</si>
  <si>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</si>
  <si>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</si>
  <si>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</si>
  <si>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</si>
  <si>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</si>
  <si>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</si>
  <si>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</si>
  <si>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</si>
  <si>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</si>
  <si>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</si>
  <si>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</si>
  <si>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</si>
  <si>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</si>
  <si>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</si>
  <si>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</si>
  <si>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</si>
  <si>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</si>
  <si>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</si>
  <si>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</si>
  <si>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</si>
  <si>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</si>
  <si>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</si>
  <si>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</si>
  <si>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</si>
  <si>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</si>
  <si>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</si>
  <si>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</si>
  <si>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</si>
  <si>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</si>
  <si>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</si>
  <si>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</si>
  <si>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</si>
  <si>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</si>
  <si>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</si>
  <si>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</si>
  <si>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</si>
  <si>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</si>
  <si>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</si>
  <si>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</si>
  <si>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</si>
  <si>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</si>
  <si>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</si>
  <si>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</si>
  <si>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</si>
  <si>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</si>
  <si>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</si>
  <si>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</si>
  <si>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</si>
  <si>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</si>
  <si>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</si>
  <si>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</si>
  <si>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</si>
  <si>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</si>
  <si>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</si>
  <si>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</si>
  <si>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</si>
  <si>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</si>
  <si>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</si>
  <si>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</si>
  <si>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</si>
  <si>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</si>
  <si>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</si>
  <si>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</si>
  <si>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</si>
  <si>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</si>
  <si>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</si>
  <si>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</si>
  <si>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</si>
  <si>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</si>
  <si>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</si>
  <si>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</si>
  <si>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</si>
  <si>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</si>
  <si>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</si>
  <si>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</si>
  <si>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</si>
  <si>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</si>
  <si>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</si>
  <si>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</si>
  <si>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</si>
  <si>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</si>
  <si>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</si>
  <si>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</si>
  <si>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</si>
  <si>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</si>
  <si>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</si>
  <si>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</si>
  <si>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</si>
  <si>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</si>
  <si>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</si>
  <si>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</si>
  <si>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</si>
  <si>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</si>
  <si>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</si>
  <si>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</si>
  <si>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</si>
  <si>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</si>
  <si>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</si>
  <si>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</si>
  <si>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</si>
  <si>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</si>
  <si>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</si>
  <si>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</si>
  <si>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</si>
  <si>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</si>
  <si>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</si>
  <si>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</si>
  <si>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</si>
  <si>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</si>
  <si>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</si>
  <si>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</si>
  <si>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</si>
  <si>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</si>
  <si>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</si>
  <si>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</si>
  <si>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</si>
  <si>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</si>
  <si>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</si>
  <si>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</si>
  <si>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</si>
  <si>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</si>
  <si>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</si>
  <si>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</si>
  <si>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</si>
  <si>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</si>
  <si>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</si>
  <si>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</si>
  <si>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</si>
  <si>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</si>
  <si>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</si>
  <si>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</si>
  <si>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</si>
  <si>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</si>
  <si>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</si>
  <si>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</si>
  <si>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</si>
  <si>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</si>
  <si>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</si>
  <si>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</si>
  <si>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</si>
  <si>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</si>
  <si>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</si>
  <si>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</si>
  <si>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</si>
  <si>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</si>
  <si>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</si>
  <si>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</si>
  <si>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</si>
  <si>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</si>
  <si>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</si>
  <si>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</si>
  <si>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</si>
  <si>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</si>
  <si>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</si>
  <si>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</si>
  <si>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</si>
  <si>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</si>
  <si>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</si>
  <si>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</si>
  <si>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</si>
  <si>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</si>
  <si>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</si>
  <si>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</si>
  <si>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</si>
  <si>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</si>
  <si>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</si>
  <si>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</si>
  <si>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</si>
  <si>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</si>
  <si>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</si>
  <si>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</si>
  <si>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</si>
  <si>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</si>
  <si>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</si>
  <si>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</si>
  <si>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</si>
  <si>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</si>
  <si>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</si>
  <si>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</si>
  <si>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</si>
  <si>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</si>
  <si>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</si>
  <si>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</si>
  <si>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</si>
  <si>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</si>
  <si>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</si>
  <si>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</si>
  <si>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</si>
  <si>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</si>
  <si>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</si>
  <si>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</si>
  <si>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</si>
  <si>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</si>
  <si>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</si>
  <si>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</si>
  <si>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</si>
  <si>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</si>
  <si>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</si>
  <si>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</si>
  <si>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</si>
  <si>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</si>
  <si>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</si>
  <si>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</si>
  <si>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</si>
  <si>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</si>
  <si>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</si>
  <si>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</si>
  <si>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</si>
  <si>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</si>
  <si>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</si>
  <si>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</si>
  <si>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</si>
  <si>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</si>
  <si>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</si>
  <si>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</si>
  <si>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</si>
  <si>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</si>
  <si>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</si>
  <si>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</si>
  <si>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</si>
  <si>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</si>
  <si>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</si>
  <si>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</si>
  <si>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</si>
  <si>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</si>
  <si>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</si>
  <si>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</si>
  <si>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</si>
  <si>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</si>
  <si>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</si>
  <si>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</si>
  <si>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</si>
  <si>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</si>
  <si>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</si>
  <si>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</si>
  <si>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</si>
  <si>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</si>
  <si>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</si>
  <si>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</si>
  <si>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</si>
  <si>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</si>
  <si>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</si>
  <si>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</si>
  <si>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</si>
  <si>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</si>
  <si>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</si>
  <si>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</si>
  <si>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</si>
  <si>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</si>
  <si>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</si>
  <si>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</si>
  <si>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</si>
  <si>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</si>
  <si>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</si>
  <si>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</si>
  <si>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</si>
  <si>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</si>
  <si>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</si>
  <si>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</si>
  <si>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</si>
  <si>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</si>
  <si>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</si>
  <si>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</si>
  <si>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</si>
  <si>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</si>
  <si>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</si>
  <si>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</si>
  <si>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</si>
  <si>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</si>
  <si>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</si>
  <si>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</si>
  <si>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</si>
  <si>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</si>
  <si>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</si>
  <si>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</si>
  <si>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</si>
  <si>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</si>
  <si>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</si>
  <si>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</si>
  <si>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</si>
  <si>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</si>
  <si>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</si>
  <si>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</si>
  <si>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</si>
  <si>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</si>
  <si>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</si>
  <si>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</si>
  <si>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</si>
  <si>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</si>
  <si>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</si>
  <si>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</si>
  <si>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</si>
  <si>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</si>
  <si>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</si>
  <si>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</si>
  <si>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</si>
  <si>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</si>
  <si>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</si>
  <si>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</si>
  <si>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</si>
  <si>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</si>
  <si>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</si>
  <si>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</si>
  <si>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</si>
  <si>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</si>
  <si>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</si>
  <si>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</si>
  <si>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</si>
  <si>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</si>
  <si>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</si>
  <si>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</si>
  <si>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</si>
  <si>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</si>
  <si>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</si>
  <si>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</si>
  <si>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</si>
  <si>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</si>
  <si>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</si>
  <si>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</si>
  <si>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</si>
  <si>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</si>
  <si>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</si>
  <si>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</si>
  <si>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</si>
  <si>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</si>
  <si>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</si>
  <si>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</si>
  <si>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</si>
  <si>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</si>
  <si>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</si>
  <si>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</si>
  <si>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</si>
  <si>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</si>
  <si>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</si>
  <si>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</si>
  <si>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</si>
  <si>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</si>
  <si>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</si>
  <si>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</si>
  <si>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</si>
  <si>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</si>
  <si>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</si>
  <si>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</si>
  <si>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</si>
  <si>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</si>
  <si>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</si>
  <si>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</si>
  <si>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</si>
  <si>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</si>
  <si>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</si>
  <si>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</si>
  <si>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</si>
  <si>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</si>
  <si>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</si>
  <si>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</si>
  <si>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</si>
  <si>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</si>
  <si>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</si>
  <si>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</si>
  <si>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</si>
  <si>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</si>
  <si>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</si>
  <si>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</si>
  <si>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</si>
  <si>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</si>
  <si>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</si>
  <si>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</si>
  <si>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</si>
  <si>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</si>
  <si>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</si>
  <si>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</si>
  <si>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</si>
  <si>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</si>
  <si>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</si>
  <si>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</si>
  <si>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</si>
  <si>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</si>
  <si>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</si>
  <si>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</si>
  <si>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</si>
  <si>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</si>
  <si>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</si>
  <si>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</si>
  <si>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</si>
  <si>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</si>
  <si>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</si>
  <si>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</si>
  <si>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</si>
  <si>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</si>
  <si>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</si>
  <si>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</si>
  <si>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</si>
  <si>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</si>
  <si>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</si>
  <si>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</si>
  <si>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</si>
  <si>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</si>
  <si>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</si>
  <si>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</si>
  <si>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</si>
  <si>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</si>
  <si>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</si>
  <si>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</si>
  <si>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</si>
  <si>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</si>
  <si>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</si>
  <si>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</si>
  <si>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</si>
  <si>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</si>
  <si>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</si>
  <si>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</si>
  <si>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</si>
  <si>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</si>
  <si>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</si>
  <si>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</si>
  <si>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</si>
  <si>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</si>
  <si>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</si>
  <si>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</si>
  <si>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</si>
  <si>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</si>
  <si>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</si>
  <si>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</si>
  <si>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</si>
  <si>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</si>
  <si>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</si>
  <si>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</si>
  <si>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</si>
  <si>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</si>
  <si>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</si>
  <si>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</si>
  <si>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</si>
  <si>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</si>
  <si>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</si>
  <si>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</si>
  <si>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</si>
  <si>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</si>
  <si>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</si>
  <si>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</si>
  <si>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</si>
  <si>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</si>
  <si>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</si>
  <si>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</si>
  <si>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</si>
  <si>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</si>
  <si>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</si>
  <si>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</si>
  <si>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</si>
  <si>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</si>
  <si>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</si>
  <si>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</si>
  <si>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</si>
  <si>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</si>
  <si>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</si>
  <si>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</si>
  <si>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</si>
  <si>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</si>
  <si>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</si>
  <si>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</si>
  <si>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</si>
  <si>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</si>
  <si>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</si>
  <si>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</si>
  <si>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</si>
  <si>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</si>
  <si>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</si>
  <si>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</si>
  <si>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</si>
  <si>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</si>
  <si>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</si>
  <si>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</si>
  <si>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</si>
  <si>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</si>
  <si>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</si>
  <si>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</si>
  <si>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</si>
  <si>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</si>
  <si>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</si>
  <si>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</si>
  <si>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</si>
  <si>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</si>
  <si>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</si>
  <si>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</si>
  <si>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</si>
  <si>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</si>
  <si>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</si>
  <si>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</si>
  <si>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</si>
  <si>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</si>
  <si>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</si>
  <si>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</si>
  <si>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</si>
  <si>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</si>
  <si>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</si>
  <si>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</si>
  <si>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</si>
  <si>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</si>
  <si>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</si>
  <si>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</si>
  <si>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</si>
  <si>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</si>
  <si>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</si>
  <si>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</si>
  <si>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</si>
  <si>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</si>
  <si>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</si>
  <si>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</si>
  <si>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</si>
  <si>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</si>
  <si>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</si>
  <si>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</si>
  <si>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</si>
  <si>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</si>
  <si>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</si>
  <si>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</si>
  <si>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</si>
  <si>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</si>
  <si>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</si>
  <si>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</si>
  <si>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</si>
  <si>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</si>
  <si>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</si>
  <si>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</si>
  <si>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</si>
  <si>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</si>
  <si>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</si>
  <si>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</si>
  <si>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</si>
  <si>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</si>
  <si>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</si>
  <si>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</si>
  <si>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</si>
  <si>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</si>
  <si>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</si>
  <si>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</si>
  <si>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</si>
  <si>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</si>
  <si>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</si>
  <si>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</si>
  <si>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</si>
  <si>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</si>
  <si>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</si>
  <si>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</si>
  <si>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</si>
  <si>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</si>
  <si>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</si>
  <si>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</si>
  <si>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</si>
  <si>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</si>
  <si>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</si>
  <si>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</si>
  <si>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</si>
  <si>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</si>
  <si>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</si>
  <si>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</si>
  <si>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</si>
  <si>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</si>
  <si>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</si>
  <si>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</si>
  <si>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</si>
  <si>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</si>
  <si>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</si>
  <si>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</si>
  <si>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</si>
  <si>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</si>
  <si>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</si>
  <si>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</si>
  <si>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</si>
  <si>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</si>
  <si>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</si>
  <si>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</si>
  <si>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</si>
  <si>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</si>
  <si>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</si>
  <si>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</si>
  <si>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</si>
  <si>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</si>
  <si>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</si>
  <si>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</si>
  <si>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</si>
  <si>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</si>
  <si>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</si>
  <si>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</si>
  <si>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</si>
  <si>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</si>
  <si>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</si>
  <si>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</si>
  <si>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</si>
  <si>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</si>
  <si>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</si>
  <si>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</si>
  <si>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</si>
  <si>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</si>
  <si>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</si>
  <si>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</si>
  <si>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</si>
  <si>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</si>
  <si>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</si>
  <si>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</si>
  <si>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</si>
  <si>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</si>
  <si>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</si>
  <si>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</si>
  <si>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</si>
  <si>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</si>
  <si>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</si>
  <si>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</si>
  <si>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</si>
  <si>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</si>
  <si>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</si>
  <si>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</si>
  <si>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</si>
  <si>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</si>
  <si>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</si>
  <si>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</si>
  <si>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</si>
  <si>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</si>
  <si>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</si>
  <si>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</si>
  <si>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</si>
  <si>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</si>
  <si>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</si>
  <si>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</si>
  <si>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</si>
  <si>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</si>
  <si>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</si>
  <si>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</si>
  <si>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</si>
  <si>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</si>
  <si>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</si>
  <si>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</si>
  <si>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</si>
  <si>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</si>
  <si>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</si>
  <si>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</si>
  <si>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</si>
  <si>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</si>
  <si>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</si>
  <si>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</si>
  <si>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</si>
  <si>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</si>
  <si>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</si>
  <si>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</si>
  <si>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</si>
  <si>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</si>
  <si>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</si>
  <si>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</si>
  <si>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</si>
  <si>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</si>
  <si>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</si>
  <si>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</si>
  <si>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</si>
  <si>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</si>
  <si>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</si>
  <si>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</si>
  <si>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</si>
  <si>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</si>
  <si>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</si>
  <si>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</si>
  <si>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</si>
  <si>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</si>
  <si>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</si>
  <si>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</si>
  <si>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</si>
  <si>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</si>
  <si>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</si>
  <si>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</si>
  <si>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</si>
  <si>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</si>
  <si>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</si>
  <si>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</si>
  <si>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</si>
  <si>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</si>
  <si>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</si>
  <si>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</si>
  <si>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</si>
  <si>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</si>
  <si>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</si>
  <si>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</si>
  <si>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</si>
  <si>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</si>
  <si>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</si>
  <si>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</si>
  <si>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</si>
  <si>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</si>
  <si>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</si>
  <si>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</si>
  <si>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</si>
  <si>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</si>
  <si>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</si>
  <si>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</si>
  <si>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</si>
  <si>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</si>
  <si>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</si>
  <si>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</si>
  <si>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</si>
  <si>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</si>
  <si>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</si>
  <si>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</si>
  <si>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</si>
  <si>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</si>
  <si>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</si>
  <si>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</si>
  <si>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</si>
  <si>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</si>
  <si>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</si>
  <si>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</si>
  <si>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</si>
  <si>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</si>
  <si>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</si>
  <si>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</si>
  <si>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</si>
  <si>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</si>
  <si>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</si>
  <si>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</si>
  <si>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</si>
  <si>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</si>
  <si>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</si>
  <si>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</si>
  <si>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</si>
  <si>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</si>
  <si>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</si>
  <si>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</si>
  <si>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</si>
  <si>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</si>
  <si>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</si>
  <si>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</si>
  <si>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</si>
  <si>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</si>
  <si>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</si>
  <si>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</si>
  <si>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</si>
  <si>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</si>
  <si>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</si>
  <si>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</si>
  <si>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</si>
  <si>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</si>
  <si>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</si>
  <si>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</si>
  <si>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</si>
  <si>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</si>
  <si>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</si>
  <si>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</si>
  <si>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</si>
  <si>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</si>
  <si>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</si>
  <si>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</si>
  <si>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</si>
  <si>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</si>
  <si>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</si>
  <si>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</si>
  <si>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</si>
  <si>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</si>
  <si>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</si>
  <si>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</si>
  <si>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</si>
  <si>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</si>
  <si>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</si>
  <si>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</si>
  <si>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</si>
  <si>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</si>
  <si>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</si>
  <si>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</si>
  <si>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</si>
  <si>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</si>
  <si>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</si>
  <si>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</si>
  <si>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</si>
  <si>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</si>
  <si>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</si>
  <si>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</si>
  <si>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</si>
  <si>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</si>
  <si>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</si>
  <si>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</si>
  <si>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</si>
  <si>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</si>
  <si>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</si>
  <si>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</si>
  <si>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</si>
  <si>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</si>
  <si>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</si>
  <si>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</si>
  <si>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</si>
  <si>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</si>
  <si>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</si>
  <si>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</si>
  <si>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</si>
  <si>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</si>
  <si>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</si>
  <si>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</si>
  <si>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</si>
  <si>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</si>
  <si>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</si>
  <si>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</si>
  <si>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</si>
  <si>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</si>
  <si>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</si>
  <si>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</si>
  <si>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</si>
  <si>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</si>
  <si>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</si>
  <si>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</si>
  <si>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</si>
  <si>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</si>
  <si>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</si>
  <si>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</si>
  <si>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</si>
  <si>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</si>
  <si>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</si>
  <si>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</si>
  <si>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</si>
  <si>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</si>
  <si>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</si>
  <si>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</si>
  <si>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</si>
  <si>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</si>
  <si>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</si>
  <si>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</si>
  <si>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</si>
  <si>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</si>
  <si>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</si>
  <si>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</si>
  <si>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</si>
  <si>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</si>
  <si>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</si>
  <si>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</si>
  <si>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</si>
  <si>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</si>
  <si>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</si>
  <si>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</si>
  <si>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</si>
  <si>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</si>
  <si>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</si>
  <si>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</si>
  <si>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</si>
  <si>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</si>
  <si>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</si>
  <si>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</si>
  <si>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</si>
  <si>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</si>
  <si>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</si>
  <si>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</si>
  <si>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</si>
  <si>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</si>
  <si>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</si>
  <si>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</si>
  <si>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</si>
  <si>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</si>
  <si>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</si>
  <si>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</si>
  <si>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</si>
  <si>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</si>
  <si>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</si>
  <si>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</si>
  <si>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</si>
  <si>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</si>
  <si>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</si>
  <si>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</si>
  <si>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</si>
  <si>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</si>
  <si>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</si>
  <si>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</si>
  <si>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</si>
  <si>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</si>
  <si>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</si>
  <si>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</si>
  <si>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</si>
  <si>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</si>
  <si>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</si>
  <si>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</si>
  <si>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</si>
  <si>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</si>
  <si>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</si>
  <si>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</si>
  <si>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</si>
  <si>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</si>
  <si>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</si>
  <si>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</si>
  <si>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</si>
  <si>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</si>
  <si>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</si>
  <si>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</si>
  <si>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</si>
  <si>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</si>
  <si>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</si>
  <si>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</si>
  <si>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</si>
  <si>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</si>
  <si>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</si>
  <si>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</si>
  <si>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</si>
  <si>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</si>
  <si>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</si>
  <si>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</si>
  <si>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</si>
  <si>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</si>
  <si>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</si>
  <si>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</si>
  <si>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</si>
  <si>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</si>
  <si>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</si>
  <si>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</si>
  <si>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</si>
  <si>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</si>
  <si>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</si>
  <si>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</si>
  <si>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</si>
  <si>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</si>
  <si>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</si>
  <si>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</si>
  <si>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</si>
  <si>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</si>
  <si>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</si>
  <si>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</si>
  <si>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</si>
  <si>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</si>
  <si>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</si>
  <si>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</si>
  <si>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</si>
  <si>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</si>
  <si>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</si>
  <si>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</si>
  <si>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</si>
  <si>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</si>
  <si>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</si>
  <si>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</si>
  <si>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</si>
  <si>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</si>
  <si>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</si>
  <si>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</si>
  <si>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</si>
  <si>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</si>
  <si>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</si>
  <si>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</si>
  <si>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</si>
  <si>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</si>
  <si>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</si>
  <si>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</si>
  <si>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</si>
  <si>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</si>
  <si>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</si>
  <si>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</si>
  <si>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</si>
  <si>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</si>
  <si>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</si>
  <si>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</si>
  <si>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</si>
  <si>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</si>
  <si>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</si>
  <si>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</si>
  <si>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</si>
  <si>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</si>
  <si>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</si>
  <si>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</si>
  <si>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</si>
  <si>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</si>
  <si>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</si>
  <si>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</si>
  <si>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</si>
  <si>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</si>
  <si>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</si>
  <si>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</si>
  <si>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</si>
  <si>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</si>
  <si>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</si>
  <si>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</si>
  <si>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</si>
  <si>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</si>
  <si>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</si>
  <si>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</si>
  <si>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</si>
  <si>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</si>
  <si>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</si>
  <si>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</si>
  <si>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</si>
  <si>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</si>
  <si>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</si>
  <si>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</si>
  <si>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</si>
  <si>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</si>
  <si>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</si>
  <si>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</si>
  <si>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</si>
  <si>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</si>
  <si>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</si>
  <si>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</si>
  <si>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</si>
  <si>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</si>
  <si>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</si>
  <si>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</si>
  <si>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</si>
  <si>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</si>
  <si>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</si>
  <si>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</si>
  <si>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</si>
  <si>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</si>
  <si>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</si>
  <si>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</si>
  <si>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</si>
  <si>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</si>
  <si>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</si>
  <si>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</si>
  <si>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</si>
  <si>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</si>
  <si>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</si>
  <si>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</si>
  <si>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</si>
  <si>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</si>
  <si>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</si>
  <si>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</si>
  <si>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</si>
  <si>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</si>
  <si>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</si>
  <si>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</si>
  <si>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</si>
  <si>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</si>
  <si>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</si>
  <si>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</si>
  <si>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</si>
  <si>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</si>
  <si>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</si>
  <si>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</si>
  <si>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</si>
  <si>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</si>
  <si>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</si>
  <si>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</si>
  <si>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</si>
  <si>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</si>
  <si>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</si>
  <si>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</si>
  <si>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</si>
  <si>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</si>
  <si>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</si>
  <si>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</si>
  <si>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</si>
  <si>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</si>
  <si>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</si>
  <si>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</si>
  <si>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</si>
  <si>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</si>
  <si>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</si>
  <si>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</si>
  <si>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</si>
  <si>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</si>
  <si>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</si>
  <si>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</si>
  <si>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</si>
  <si>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</si>
  <si>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</si>
  <si>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</si>
  <si>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</si>
  <si>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</si>
  <si>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</si>
  <si>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</si>
  <si>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</si>
  <si>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</si>
  <si>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</si>
  <si>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</si>
  <si>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</si>
  <si>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</si>
  <si>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</si>
  <si>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</si>
  <si>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</si>
  <si>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</si>
  <si>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</si>
  <si>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</si>
  <si>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</si>
  <si>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</si>
  <si>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</si>
  <si>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</si>
  <si>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</si>
  <si>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</si>
  <si>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</si>
  <si>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</si>
  <si>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</si>
  <si>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</si>
  <si>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</si>
  <si>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</si>
  <si>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</si>
  <si>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</si>
  <si>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</si>
  <si>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</si>
  <si>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</si>
  <si>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</si>
  <si>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</si>
  <si>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</si>
  <si>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</si>
  <si>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</si>
  <si>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</si>
  <si>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</si>
  <si>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</si>
  <si>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</si>
  <si>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</si>
  <si>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</si>
  <si>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</si>
  <si>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</si>
  <si>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</si>
  <si>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</si>
  <si>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</si>
  <si>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</si>
  <si>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</si>
  <si>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</si>
  <si>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</si>
  <si>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</si>
  <si>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</si>
  <si>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</si>
  <si>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</si>
  <si>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</si>
  <si>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</si>
  <si>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</si>
  <si>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</si>
  <si>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</si>
  <si>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</si>
  <si>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</si>
  <si>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</si>
  <si>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</si>
  <si>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</si>
  <si>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</si>
  <si>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</si>
  <si>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</si>
  <si>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</si>
  <si>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</si>
  <si>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</si>
  <si>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</si>
  <si>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</si>
  <si>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</si>
  <si>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</si>
  <si>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</si>
  <si>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</si>
  <si>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</si>
  <si>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</si>
  <si>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</si>
  <si>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</si>
  <si>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</si>
  <si>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</si>
  <si>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</si>
  <si>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</si>
  <si>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</si>
  <si>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</si>
  <si>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</si>
  <si>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</si>
  <si>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</si>
  <si>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</si>
  <si>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</si>
  <si>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</si>
  <si>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</si>
  <si>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</si>
  <si>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</si>
  <si>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</si>
  <si>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</si>
  <si>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</si>
  <si>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</si>
  <si>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</si>
  <si>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</si>
  <si>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</si>
  <si>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</si>
  <si>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</si>
  <si>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</si>
  <si>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</si>
  <si>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</si>
  <si>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</si>
  <si>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</si>
  <si>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</si>
  <si>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</si>
  <si>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</si>
  <si>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</si>
  <si>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</si>
  <si>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</si>
  <si>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</si>
  <si>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</si>
  <si>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</si>
  <si>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</si>
  <si>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</si>
  <si>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</si>
  <si>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</si>
  <si>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</si>
  <si>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</si>
  <si>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</si>
  <si>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</si>
  <si>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</si>
  <si>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</si>
  <si>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</si>
  <si>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</si>
  <si>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</si>
  <si>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</si>
  <si>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</si>
  <si>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</si>
  <si>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</si>
  <si>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</si>
  <si>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</si>
  <si>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</si>
  <si>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</si>
  <si>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</si>
  <si>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</si>
  <si>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</si>
  <si>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</si>
  <si>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</si>
  <si>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</si>
  <si>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</si>
  <si>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</si>
  <si>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</si>
  <si>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</si>
  <si>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</si>
  <si>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</si>
  <si>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</si>
  <si>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</si>
  <si>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</si>
  <si>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</si>
  <si>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</si>
  <si>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</si>
  <si>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</si>
  <si>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</si>
  <si>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</si>
  <si>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</si>
  <si>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</si>
  <si>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</si>
  <si>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</si>
  <si>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</si>
  <si>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</si>
  <si>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</si>
  <si>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</si>
  <si>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</si>
  <si>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</si>
  <si>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</si>
  <si>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</si>
  <si>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</si>
  <si>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</si>
  <si>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</si>
  <si>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</si>
  <si>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</si>
  <si>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</si>
  <si>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</si>
  <si>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</si>
  <si>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</si>
  <si>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</si>
  <si>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</si>
  <si>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</si>
  <si>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</si>
  <si>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</si>
  <si>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</si>
  <si>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</si>
  <si>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</si>
  <si>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</si>
  <si>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</si>
  <si>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</si>
  <si>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</si>
  <si>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</si>
  <si>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</si>
  <si>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</si>
  <si>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</si>
  <si>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</si>
  <si>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</si>
  <si>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</si>
  <si>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</si>
  <si>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</si>
  <si>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</si>
  <si>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</si>
  <si>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</si>
  <si>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</si>
  <si>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</si>
  <si>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</si>
  <si>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</si>
  <si>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</si>
  <si>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</si>
  <si>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</si>
  <si>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</si>
  <si>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</si>
  <si>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</si>
  <si>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</si>
  <si>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</si>
  <si>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</si>
  <si>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</si>
  <si>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</si>
  <si>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</si>
  <si>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</si>
  <si>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</si>
  <si>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</si>
  <si>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</si>
  <si>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</si>
  <si>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</si>
  <si>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</si>
  <si>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</si>
  <si>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</si>
  <si>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</si>
  <si>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</si>
  <si>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</si>
  <si>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</si>
  <si>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</si>
  <si>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</si>
  <si>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</si>
  <si>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</si>
  <si>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</si>
  <si>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</si>
  <si>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</si>
  <si>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</si>
  <si>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</si>
  <si>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</si>
  <si>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</si>
  <si>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</si>
  <si>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</si>
  <si>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</si>
  <si>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</si>
  <si>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</si>
  <si>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</si>
  <si>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</si>
  <si>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</si>
  <si>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</si>
  <si>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</si>
  <si>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</si>
  <si>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</si>
  <si>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</si>
  <si>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</si>
  <si>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</si>
  <si>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</si>
  <si>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</si>
  <si>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</si>
  <si>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</si>
  <si>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</si>
  <si>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</si>
  <si>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</si>
  <si>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</si>
  <si>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</si>
  <si>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</si>
  <si>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</si>
  <si>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</si>
  <si>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</si>
  <si>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</si>
  <si>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</si>
  <si>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</si>
  <si>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</si>
  <si>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</si>
  <si>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</si>
  <si>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</si>
  <si>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</si>
  <si>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</si>
  <si>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</si>
  <si>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</si>
  <si>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</si>
  <si>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</si>
  <si>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</si>
  <si>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</si>
  <si>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</si>
  <si>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</si>
  <si>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</si>
  <si>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</si>
  <si>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</si>
  <si>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</si>
  <si>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</si>
  <si>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</si>
  <si>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</si>
  <si>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</si>
  <si>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</si>
  <si>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</si>
  <si>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</si>
  <si>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</si>
  <si>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</si>
  <si>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</si>
  <si>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</si>
  <si>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</si>
  <si>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</si>
  <si>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</si>
  <si>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</si>
  <si>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</si>
  <si>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</si>
  <si>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</si>
  <si>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</si>
  <si>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</si>
  <si>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</si>
  <si>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</si>
  <si>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</si>
  <si>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</si>
  <si>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</si>
  <si>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</si>
  <si>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</si>
  <si>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</si>
  <si>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</si>
  <si>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</si>
  <si>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</si>
  <si>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</si>
  <si>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</si>
  <si>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</si>
  <si>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</si>
  <si>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</si>
  <si>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</si>
  <si>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</si>
  <si>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</si>
  <si>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</si>
  <si>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</si>
  <si>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</si>
  <si>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</si>
  <si>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</si>
  <si>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</si>
  <si>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</si>
  <si>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</si>
  <si>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</si>
  <si>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</si>
  <si>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</si>
  <si>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</si>
  <si>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</si>
  <si>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</si>
  <si>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</si>
  <si>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</si>
  <si>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</si>
  <si>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</si>
  <si>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</si>
  <si>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</si>
  <si>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</si>
  <si>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</si>
  <si>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</si>
  <si>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</si>
  <si>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</si>
  <si>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</si>
  <si>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</si>
  <si>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</si>
  <si>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</si>
  <si>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</si>
  <si>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</si>
  <si>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</si>
  <si>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</si>
  <si>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</si>
  <si>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</si>
  <si>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</si>
  <si>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</si>
  <si>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</si>
  <si>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</si>
  <si>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</si>
  <si>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</si>
  <si>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</si>
  <si>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</si>
  <si>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</si>
  <si>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</si>
  <si>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</si>
  <si>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</si>
  <si>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</si>
  <si>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</si>
  <si>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</si>
  <si>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</si>
  <si>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</si>
  <si>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</si>
  <si>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</si>
  <si>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</si>
  <si>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</si>
  <si>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</si>
  <si>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</si>
  <si>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</si>
  <si>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</si>
  <si>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</si>
  <si>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</si>
  <si>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</si>
  <si>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</si>
  <si>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</si>
  <si>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</si>
  <si>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</si>
  <si>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</si>
  <si>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</si>
  <si>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</si>
  <si>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</si>
  <si>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</si>
  <si>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</si>
  <si>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</si>
  <si>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</si>
  <si>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</si>
  <si>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</si>
  <si>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</si>
  <si>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</si>
  <si>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</si>
  <si>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</si>
  <si>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</si>
  <si>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</si>
  <si>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</si>
  <si>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</si>
  <si>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</si>
  <si>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</si>
  <si>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</si>
  <si>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</si>
  <si>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</si>
  <si>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</si>
  <si>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</si>
  <si>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</si>
  <si>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</si>
  <si>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</si>
  <si>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</si>
  <si>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</si>
  <si>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</si>
  <si>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</si>
  <si>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</si>
  <si>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</si>
  <si>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</si>
  <si>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</si>
  <si>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</si>
  <si>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</si>
  <si>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</si>
  <si>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</si>
  <si>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</si>
  <si>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</si>
  <si>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</si>
  <si>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</si>
  <si>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</si>
  <si>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</si>
  <si>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</si>
  <si>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</si>
  <si>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</si>
  <si>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</si>
  <si>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</si>
  <si>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</si>
  <si>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</si>
  <si>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</si>
  <si>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</si>
  <si>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</si>
  <si>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</si>
  <si>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</si>
  <si>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</si>
  <si>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</si>
  <si>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</si>
  <si>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</si>
  <si>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</si>
  <si>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</si>
  <si>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</si>
  <si>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</si>
  <si>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</si>
  <si>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</si>
  <si>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</si>
  <si>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</si>
  <si>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</si>
  <si>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</si>
  <si>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</si>
  <si>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</si>
  <si>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</si>
  <si>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</si>
  <si>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</si>
  <si>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</si>
  <si>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</si>
  <si>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</si>
  <si>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</si>
  <si>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</si>
  <si>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</si>
  <si>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</si>
  <si>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</si>
  <si>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</si>
  <si>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</si>
  <si>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</si>
  <si>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</si>
  <si>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</si>
  <si>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</si>
  <si>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</si>
  <si>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</si>
  <si>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</si>
  <si>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</si>
  <si>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</si>
  <si>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</si>
  <si>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</si>
  <si>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</si>
  <si>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</si>
  <si>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</si>
  <si>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</si>
  <si>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</si>
  <si>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</si>
  <si>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</si>
  <si>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</si>
  <si>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</si>
  <si>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</si>
  <si>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</si>
  <si>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</si>
  <si>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</si>
  <si>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</si>
  <si>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</si>
  <si>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</si>
  <si>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</si>
  <si>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</si>
  <si>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</si>
  <si>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</si>
  <si>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</si>
  <si>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</si>
  <si>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</si>
  <si>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</si>
  <si>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</si>
  <si>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</si>
  <si>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</si>
  <si>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</si>
  <si>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</si>
  <si>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</si>
  <si>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</si>
  <si>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</si>
  <si>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</si>
  <si>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</si>
  <si>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</si>
  <si>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</si>
  <si>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</si>
  <si>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</si>
  <si>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</si>
  <si>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</si>
  <si>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</si>
  <si>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</si>
  <si>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</si>
  <si>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</si>
  <si>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</si>
  <si>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</si>
  <si>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</si>
  <si>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</si>
  <si>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</si>
  <si>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</si>
  <si>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</si>
  <si>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</si>
  <si>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</si>
  <si>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</si>
  <si>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</si>
  <si>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</si>
  <si>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</si>
  <si>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</si>
  <si>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</si>
  <si>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</si>
  <si>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</si>
  <si>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</si>
  <si>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</si>
  <si>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</si>
  <si>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</si>
  <si>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</si>
  <si>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</si>
  <si>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</si>
  <si>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</si>
  <si>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</si>
  <si>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</si>
  <si>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</si>
  <si>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</si>
  <si>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</si>
  <si>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</si>
  <si>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</si>
  <si>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</si>
  <si>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</si>
  <si>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</si>
  <si>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</si>
  <si>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</si>
  <si>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</si>
  <si>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</si>
  <si>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</si>
  <si>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</si>
  <si>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</si>
  <si>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</si>
  <si>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</si>
  <si>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</si>
  <si>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</si>
  <si>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</si>
  <si>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</si>
  <si>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</si>
  <si>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</si>
  <si>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</si>
  <si>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</si>
  <si>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</si>
  <si>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</si>
  <si>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</si>
  <si>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</si>
  <si>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</si>
  <si>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</si>
  <si>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</si>
  <si>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</si>
  <si>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</si>
  <si>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</si>
  <si>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</si>
  <si>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</si>
  <si>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</si>
  <si>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</si>
  <si>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</si>
  <si>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</si>
  <si>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</si>
  <si>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</si>
  <si>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</si>
  <si>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</si>
  <si>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</si>
  <si>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</si>
  <si>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</si>
  <si>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</si>
  <si>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</si>
  <si>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</si>
  <si>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</si>
  <si>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</si>
  <si>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</si>
  <si>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</si>
  <si>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</si>
  <si>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</si>
  <si>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</si>
  <si>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</si>
  <si>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</si>
  <si>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</si>
  <si>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</si>
  <si>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</si>
  <si>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</si>
  <si>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</si>
  <si>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</si>
  <si>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</si>
  <si>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</si>
  <si>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</si>
  <si>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</si>
  <si>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</si>
  <si>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</si>
  <si>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</si>
  <si>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</si>
  <si>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</si>
  <si>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</si>
  <si>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</si>
  <si>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</si>
  <si>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</si>
  <si>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</si>
  <si>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</si>
  <si>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</si>
  <si>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</si>
  <si>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</si>
  <si>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</si>
  <si>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</si>
  <si>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</si>
  <si>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</si>
  <si>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</si>
  <si>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</si>
  <si>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</si>
  <si>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</si>
  <si>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</si>
  <si>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</si>
  <si>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</si>
  <si>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</si>
  <si>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</si>
  <si>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</si>
  <si>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</si>
  <si>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</si>
  <si>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</si>
  <si>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</si>
  <si>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</si>
  <si>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</si>
  <si>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</si>
  <si>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</si>
  <si>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</si>
  <si>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</si>
  <si>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</si>
  <si>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</si>
  <si>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</si>
  <si>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</si>
  <si>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</si>
  <si>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</si>
  <si>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</si>
  <si>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</si>
  <si>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</si>
  <si>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</si>
  <si>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</si>
  <si>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</si>
  <si>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</si>
  <si>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</si>
  <si>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</si>
  <si>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</si>
  <si>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</si>
  <si>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</si>
  <si>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</si>
  <si>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</si>
  <si>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</si>
  <si>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</si>
  <si>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</si>
  <si>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</si>
  <si>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</si>
  <si>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</si>
  <si>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</si>
  <si>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</si>
  <si>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</si>
  <si>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</si>
  <si>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</si>
  <si>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</si>
  <si>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</si>
  <si>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</si>
  <si>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</si>
  <si>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</si>
  <si>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</si>
  <si>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</si>
  <si>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</si>
  <si>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</si>
  <si>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</si>
  <si>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</si>
  <si>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</si>
  <si>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</si>
  <si>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</si>
  <si>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</si>
  <si>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</si>
  <si>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</si>
  <si>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</si>
  <si>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</si>
  <si>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</si>
  <si>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</si>
  <si>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</si>
  <si>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</si>
  <si>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</si>
  <si>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</si>
  <si>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</si>
  <si>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</si>
  <si>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</si>
  <si>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</si>
  <si>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</si>
  <si>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</si>
  <si>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</si>
  <si>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</si>
  <si>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</si>
  <si>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</si>
  <si>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</si>
  <si>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</si>
  <si>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</si>
  <si>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</si>
  <si>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</si>
  <si>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</si>
  <si>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</si>
  <si>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</si>
  <si>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</si>
  <si>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</si>
  <si>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</si>
  <si>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</si>
  <si>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</si>
  <si>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</si>
  <si>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</si>
  <si>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</si>
  <si>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</si>
  <si>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</si>
  <si>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</si>
  <si>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</si>
  <si>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</si>
  <si>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</si>
  <si>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</si>
  <si>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</si>
  <si>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</si>
  <si>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</si>
  <si>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</si>
  <si>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</si>
  <si>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</si>
  <si>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</si>
  <si>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</si>
  <si>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</si>
  <si>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</si>
  <si>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</si>
  <si>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</si>
  <si>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</si>
  <si>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</si>
  <si>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</si>
  <si>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</si>
  <si>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</si>
  <si>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</si>
  <si>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</si>
  <si>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</si>
  <si>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</si>
  <si>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</si>
  <si>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</si>
  <si>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</si>
  <si>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</si>
  <si>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</si>
  <si>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</si>
  <si>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</si>
  <si>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</si>
  <si>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</si>
  <si>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</si>
  <si>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</si>
  <si>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</si>
  <si>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</si>
  <si>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</si>
  <si>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</si>
  <si>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</si>
  <si>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</si>
  <si>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</si>
  <si>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</si>
  <si>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</si>
  <si>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</si>
  <si>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</si>
  <si>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</si>
  <si>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</si>
  <si>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</si>
  <si>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</si>
  <si>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</si>
  <si>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</si>
  <si>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</si>
  <si>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</si>
  <si>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</si>
  <si>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</si>
  <si>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</si>
  <si>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</si>
  <si>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</si>
  <si>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</si>
  <si>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</si>
  <si>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</si>
  <si>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</si>
  <si>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</si>
  <si>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</si>
  <si>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</si>
  <si>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</si>
  <si>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</si>
  <si>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</si>
  <si>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</si>
  <si>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</si>
  <si>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</si>
  <si>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</si>
  <si>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</si>
  <si>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</si>
  <si>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</si>
  <si>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</si>
  <si>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</si>
  <si>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</si>
  <si>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</si>
  <si>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</si>
  <si>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</si>
  <si>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</si>
  <si>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</si>
  <si>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</si>
  <si>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</si>
  <si>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</si>
  <si>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</si>
  <si>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</si>
  <si>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</si>
  <si>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</si>
  <si>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</si>
  <si>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</si>
  <si>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</si>
  <si>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</si>
  <si>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</si>
  <si>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</si>
  <si>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</si>
  <si>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</si>
  <si>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</si>
  <si>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</si>
  <si>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</si>
  <si>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</si>
  <si>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</si>
  <si>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</si>
  <si>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</si>
  <si>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</si>
  <si>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</si>
  <si>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</si>
  <si>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</si>
  <si>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</si>
  <si>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</si>
  <si>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</si>
  <si>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</si>
  <si>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</si>
  <si>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</si>
  <si>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</si>
  <si>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</si>
  <si>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</si>
  <si>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</si>
  <si>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</si>
  <si>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</si>
  <si>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</si>
  <si>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</si>
  <si>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</si>
  <si>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</si>
  <si>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</si>
  <si>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</si>
  <si>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</si>
  <si>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</si>
  <si>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</si>
  <si>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</si>
  <si>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</si>
  <si>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</si>
  <si>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</si>
  <si>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</si>
  <si>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</si>
  <si>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</si>
  <si>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</si>
  <si>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</si>
  <si>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</si>
  <si>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</si>
  <si>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</si>
  <si>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</si>
  <si>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</si>
  <si>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</si>
  <si>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</si>
  <si>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</si>
  <si>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</si>
  <si>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</si>
  <si>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</si>
  <si>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</si>
  <si>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</si>
  <si>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</si>
  <si>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</si>
  <si>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</si>
  <si>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</si>
  <si>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</si>
  <si>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</si>
  <si>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</si>
  <si>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</si>
  <si>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</si>
  <si>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</si>
  <si>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</si>
  <si>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</si>
  <si>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</si>
  <si>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</si>
  <si>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</si>
  <si>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</si>
  <si>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</si>
  <si>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</si>
  <si>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</si>
  <si>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</si>
  <si>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</si>
  <si>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</si>
  <si>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</si>
  <si>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</si>
  <si>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</si>
  <si>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</si>
  <si>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</si>
  <si>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</si>
  <si>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</si>
  <si>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</si>
  <si>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</si>
  <si>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</si>
  <si>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</si>
  <si>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</si>
  <si>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</si>
  <si>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</si>
  <si>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</si>
  <si>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</si>
  <si>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</si>
  <si>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</si>
  <si>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</si>
  <si>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</si>
  <si>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</si>
  <si>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</si>
  <si>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</si>
  <si>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</si>
  <si>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</si>
  <si>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</si>
  <si>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</si>
  <si>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</si>
  <si>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</si>
  <si>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</si>
  <si>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</si>
  <si>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</si>
  <si>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</si>
  <si>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</si>
  <si>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</si>
  <si>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</si>
  <si>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</si>
  <si>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</si>
  <si>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</si>
  <si>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</si>
  <si>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</si>
  <si>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</si>
  <si>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</si>
  <si>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</si>
  <si>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</si>
  <si>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</si>
  <si>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</si>
  <si>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</si>
  <si>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</si>
  <si>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</si>
  <si>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</si>
  <si>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</si>
  <si>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</si>
  <si>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</si>
  <si>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</si>
  <si>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</si>
  <si>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</si>
  <si>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</si>
  <si>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</si>
  <si>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</si>
  <si>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</si>
  <si>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</si>
  <si>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</si>
  <si>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</si>
  <si>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</si>
  <si>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</si>
  <si>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</si>
  <si>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</si>
  <si>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</si>
  <si>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</si>
  <si>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</si>
  <si>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</si>
  <si>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</si>
  <si>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</si>
  <si>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</si>
  <si>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</si>
  <si>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</si>
  <si>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</si>
  <si>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</si>
  <si>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</si>
  <si>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</si>
  <si>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</si>
  <si>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</si>
  <si>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</si>
  <si>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</si>
  <si>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</si>
  <si>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</si>
  <si>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</si>
  <si>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</si>
  <si>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</si>
  <si>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</si>
  <si>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</si>
  <si>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</si>
  <si>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</si>
  <si>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</si>
  <si>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</si>
  <si>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</si>
  <si>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</si>
  <si>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</si>
  <si>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</si>
  <si>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</si>
  <si>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</si>
  <si>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</si>
  <si>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</si>
  <si>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</si>
  <si>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</si>
  <si>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</si>
  <si>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</si>
  <si>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</si>
  <si>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</si>
  <si>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</si>
  <si>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</si>
  <si>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</si>
  <si>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</si>
  <si>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</si>
  <si>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</si>
  <si>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</si>
  <si>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</si>
  <si>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</si>
  <si>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</si>
  <si>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</si>
  <si>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</si>
  <si>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</si>
  <si>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</si>
  <si>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</si>
  <si>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</si>
  <si>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</si>
  <si>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</si>
  <si>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</si>
  <si>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</si>
  <si>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</si>
  <si>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</si>
  <si>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</si>
  <si>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</si>
  <si>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</si>
  <si>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</si>
  <si>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</si>
  <si>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</si>
  <si>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</si>
  <si>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</si>
  <si>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</si>
  <si>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</si>
  <si>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</si>
  <si>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</si>
  <si>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</si>
  <si>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</si>
  <si>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</si>
  <si>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</si>
  <si>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</si>
  <si>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</si>
  <si>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</si>
  <si>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</si>
  <si>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</si>
  <si>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</si>
  <si>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</si>
  <si>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</si>
  <si>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</si>
  <si>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</si>
  <si>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</si>
  <si>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</si>
  <si>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</si>
  <si>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</si>
  <si>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</si>
  <si>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</si>
  <si>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</si>
  <si>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</si>
  <si>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</si>
  <si>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</si>
  <si>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</si>
  <si>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</si>
  <si>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</si>
  <si>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</si>
  <si>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</si>
  <si>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</si>
  <si>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</si>
  <si>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</si>
  <si>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</si>
  <si>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</si>
  <si>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</si>
  <si>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</si>
  <si>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</si>
  <si>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</si>
  <si>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</si>
  <si>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</si>
  <si>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</si>
  <si>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</si>
  <si>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</si>
  <si>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</si>
  <si>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</si>
  <si>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</si>
  <si>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</si>
  <si>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</si>
  <si>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</si>
  <si>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</si>
  <si>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</si>
  <si>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</si>
  <si>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</si>
  <si>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</si>
  <si>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</si>
  <si>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</si>
  <si>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</si>
  <si>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</si>
  <si>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</si>
  <si>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</si>
  <si>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</si>
  <si>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</si>
  <si>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</si>
  <si>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</si>
  <si>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</si>
  <si>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</si>
  <si>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</si>
  <si>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</si>
  <si>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</si>
  <si>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</si>
  <si>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</si>
  <si>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</si>
  <si>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</si>
  <si>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</si>
  <si>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</si>
  <si>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</si>
  <si>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</si>
  <si>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</si>
  <si>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</si>
  <si>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</si>
  <si>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</si>
  <si>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</si>
  <si>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</si>
  <si>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</si>
  <si>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</si>
  <si>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</si>
  <si>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</si>
  <si>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</si>
  <si>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</si>
  <si>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</si>
  <si>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</si>
  <si>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</si>
  <si>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</si>
  <si>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</si>
  <si>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</si>
  <si>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</si>
  <si>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</si>
  <si>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</si>
  <si>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</si>
  <si>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</si>
  <si>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</si>
  <si>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</si>
  <si>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</si>
  <si>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</si>
  <si>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</si>
  <si>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</si>
  <si>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</si>
  <si>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</si>
  <si>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</si>
  <si>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</si>
  <si>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</si>
  <si>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</si>
  <si>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</si>
  <si>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</si>
  <si>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</si>
  <si>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</si>
  <si>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</si>
  <si>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</si>
  <si>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</si>
  <si>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</si>
  <si>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</si>
  <si>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</si>
  <si>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</si>
  <si>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</si>
  <si>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</si>
  <si>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</si>
  <si>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</si>
  <si>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</si>
  <si>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</si>
  <si>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</si>
  <si>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</si>
  <si>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</si>
  <si>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</si>
  <si>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</si>
  <si>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</si>
  <si>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</si>
  <si>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</si>
  <si>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</si>
  <si>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</si>
  <si>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</si>
  <si>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</si>
  <si>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</si>
  <si>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</si>
  <si>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</si>
  <si>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</si>
  <si>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</si>
  <si>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</si>
  <si>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</si>
  <si>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</si>
  <si>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</si>
  <si>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</si>
  <si>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</si>
  <si>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</si>
  <si>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</si>
  <si>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</si>
  <si>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</si>
  <si>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</si>
  <si>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</si>
  <si>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</si>
  <si>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</si>
  <si>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</si>
  <si>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</si>
  <si>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</si>
  <si>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</si>
  <si>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</si>
  <si>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</si>
  <si>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</si>
  <si>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</si>
  <si>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</si>
  <si>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</si>
  <si>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</si>
  <si>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</si>
  <si>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</si>
  <si>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</si>
  <si>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</si>
  <si>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</si>
  <si>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</si>
  <si>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</si>
  <si>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</si>
  <si>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</si>
  <si>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</si>
  <si>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</si>
  <si>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</si>
  <si>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</si>
  <si>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</si>
  <si>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</si>
  <si>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</si>
  <si>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</si>
  <si>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</si>
  <si>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</si>
  <si>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</si>
  <si>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</si>
  <si>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</si>
  <si>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</si>
  <si>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</si>
  <si>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</si>
  <si>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</si>
  <si>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</si>
  <si>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</si>
  <si>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</si>
  <si>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</si>
  <si>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</si>
  <si>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</si>
  <si>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</si>
  <si>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</si>
  <si>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</si>
  <si>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</si>
  <si>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</si>
  <si>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</si>
  <si>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</si>
  <si>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</si>
  <si>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</si>
  <si>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</si>
  <si>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</si>
  <si>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</si>
  <si>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</si>
  <si>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</si>
  <si>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</si>
  <si>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</si>
  <si>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</si>
  <si>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</si>
  <si>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</si>
  <si>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</si>
  <si>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</si>
  <si>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</si>
  <si>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</si>
  <si>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</si>
  <si>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</si>
  <si>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</si>
  <si>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</si>
  <si>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</si>
  <si>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</si>
  <si>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</si>
  <si>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</si>
  <si>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</si>
  <si>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</si>
  <si>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</si>
  <si>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</si>
  <si>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</si>
  <si>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</si>
  <si>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</si>
  <si>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</si>
  <si>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</si>
  <si>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</si>
  <si>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</si>
  <si>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</si>
  <si>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</si>
  <si>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</si>
  <si>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</si>
  <si>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</si>
  <si>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</si>
  <si>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</si>
  <si>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</si>
  <si>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</si>
  <si>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</si>
  <si>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</si>
  <si>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</si>
  <si>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</si>
  <si>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</si>
  <si>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</si>
  <si>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</si>
  <si>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</si>
  <si>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</si>
  <si>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</si>
  <si>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</si>
  <si>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</si>
  <si>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</si>
  <si>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</si>
  <si>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</si>
  <si>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</si>
  <si>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</si>
  <si>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</si>
  <si>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</si>
  <si>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</si>
  <si>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</si>
  <si>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</si>
  <si>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</si>
  <si>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</si>
  <si>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</si>
  <si>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</si>
  <si>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</si>
  <si>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</si>
  <si>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</si>
  <si>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</si>
  <si>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</si>
  <si>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</si>
  <si>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</si>
  <si>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</si>
  <si>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</si>
  <si>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</si>
  <si>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</si>
  <si>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</si>
  <si>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</si>
  <si>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</si>
  <si>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</si>
  <si>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</si>
  <si>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</si>
  <si>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</si>
  <si>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</si>
  <si>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</si>
  <si>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</si>
  <si>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</si>
  <si>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</si>
  <si>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</si>
  <si>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</si>
  <si>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</si>
  <si>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</si>
  <si>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</si>
  <si>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</si>
  <si>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</si>
  <si>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</si>
  <si>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</si>
  <si>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</si>
  <si>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</si>
  <si>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</si>
  <si>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</si>
  <si>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</si>
  <si>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</si>
  <si>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</si>
  <si>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</si>
  <si>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</si>
  <si>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</si>
  <si>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</si>
  <si>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</si>
  <si>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</si>
  <si>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</si>
  <si>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</si>
  <si>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</si>
  <si>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</si>
  <si>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</si>
  <si>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</si>
  <si>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</si>
  <si>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</si>
  <si>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</si>
  <si>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</si>
  <si>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</si>
  <si>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</si>
  <si>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</si>
  <si>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</si>
  <si>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</si>
  <si>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</si>
  <si>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</si>
  <si>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</si>
  <si>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</si>
  <si>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</si>
  <si>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</si>
  <si>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</si>
  <si>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</si>
  <si>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</si>
  <si>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</si>
  <si>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</si>
  <si>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</si>
  <si>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</si>
  <si>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</si>
  <si>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</si>
  <si>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</si>
  <si>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</si>
  <si>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</si>
  <si>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</si>
  <si>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</si>
  <si>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</si>
  <si>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</si>
  <si>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</si>
  <si>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</si>
  <si>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</si>
  <si>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</si>
  <si>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</si>
  <si>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</si>
  <si>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</si>
  <si>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</si>
  <si>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</si>
  <si>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</si>
  <si>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</si>
  <si>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</si>
  <si>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</si>
  <si>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</si>
  <si>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</si>
  <si>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</si>
  <si>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</si>
  <si>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</si>
  <si>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</si>
  <si>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</si>
  <si>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</si>
  <si>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</si>
  <si>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</si>
  <si>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</si>
  <si>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</si>
  <si>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</si>
  <si>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</si>
  <si>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</si>
  <si>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</si>
  <si>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</si>
  <si>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</si>
  <si>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</si>
  <si>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</si>
  <si>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</si>
  <si>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</si>
  <si>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</si>
  <si>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</si>
  <si>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</si>
  <si>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</si>
  <si>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</si>
  <si>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</si>
  <si>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</si>
  <si>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</si>
  <si>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</si>
  <si>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</si>
  <si>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</si>
  <si>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</si>
  <si>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</si>
  <si>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</si>
  <si>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</si>
  <si>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</si>
  <si>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</si>
  <si>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</si>
  <si>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</si>
  <si>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</si>
  <si>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</si>
  <si>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</si>
  <si>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</si>
  <si>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</si>
  <si>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</si>
  <si>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</si>
  <si>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</si>
  <si>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</si>
  <si>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</si>
  <si>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</si>
  <si>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</si>
  <si>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</si>
  <si>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</si>
  <si>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</si>
  <si>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</si>
  <si>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</si>
  <si>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</si>
  <si>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</si>
  <si>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</si>
  <si>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</si>
  <si>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</si>
  <si>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</si>
  <si>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</si>
  <si>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</si>
  <si>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</si>
  <si>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</si>
  <si>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</si>
  <si>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</si>
  <si>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</si>
  <si>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</si>
  <si>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</si>
  <si>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</si>
  <si>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</si>
  <si>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</si>
  <si>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</si>
  <si>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</si>
  <si>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</si>
  <si>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</si>
  <si>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</si>
  <si>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</si>
  <si>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</si>
  <si>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</si>
  <si>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</si>
  <si>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</si>
  <si>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</si>
  <si>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</si>
  <si>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</si>
  <si>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</si>
  <si>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</si>
  <si>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</si>
  <si>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</si>
  <si>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</si>
  <si>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</si>
  <si>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</si>
  <si>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</si>
  <si>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</si>
  <si>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</si>
  <si>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</si>
  <si>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</si>
  <si>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</si>
  <si>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</si>
  <si>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</si>
  <si>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</si>
  <si>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</si>
  <si>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</si>
  <si>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</si>
  <si>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</si>
  <si>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</si>
  <si>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</si>
  <si>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</si>
  <si>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</si>
  <si>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</si>
  <si>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</si>
  <si>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</si>
  <si>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</si>
  <si>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</si>
  <si>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</si>
  <si>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</si>
  <si>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</si>
  <si>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</si>
  <si>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</si>
  <si>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</si>
  <si>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</si>
  <si>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</si>
  <si>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</si>
  <si>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</si>
  <si>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</si>
  <si>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</si>
  <si>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</si>
  <si>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</si>
  <si>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</si>
  <si>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</si>
  <si>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</si>
  <si>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</si>
  <si>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</si>
  <si>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</si>
  <si>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</si>
  <si>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</si>
  <si>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</si>
  <si>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</si>
  <si>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</si>
  <si>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</si>
  <si>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</si>
  <si>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</si>
  <si>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</si>
  <si>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</si>
  <si>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</si>
  <si>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</si>
  <si>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</si>
  <si>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</si>
  <si>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</si>
  <si>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</si>
  <si>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</si>
  <si>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</si>
  <si>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</si>
  <si>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</si>
  <si>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</si>
  <si>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</si>
  <si>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</si>
  <si>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</si>
  <si>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</si>
  <si>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</si>
  <si>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</si>
  <si>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</si>
  <si>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</si>
  <si>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</si>
  <si>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</si>
  <si>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</si>
  <si>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</si>
  <si>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</si>
  <si>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</si>
  <si>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</si>
  <si>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</si>
  <si>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</si>
  <si>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</si>
  <si>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</si>
  <si>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</si>
  <si>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</si>
  <si>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</si>
  <si>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</si>
  <si>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</si>
  <si>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</si>
  <si>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</si>
  <si>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</si>
  <si>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</si>
  <si>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</si>
  <si>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</si>
  <si>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</si>
  <si>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</si>
  <si>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</si>
  <si>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</si>
  <si>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</si>
  <si>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</si>
  <si>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</si>
  <si>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</si>
  <si>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</si>
  <si>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</si>
  <si>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</si>
  <si>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</si>
  <si>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</si>
  <si>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</si>
  <si>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</si>
  <si>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</si>
  <si>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</si>
  <si>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</si>
  <si>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</si>
  <si>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</si>
  <si>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</si>
  <si>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</si>
  <si>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</si>
  <si>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</si>
  <si>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</si>
  <si>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</si>
  <si>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</si>
  <si>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</si>
  <si>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</si>
  <si>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</si>
  <si>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</si>
  <si>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</si>
  <si>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</si>
  <si>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</si>
  <si>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</si>
  <si>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</si>
  <si>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</si>
  <si>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</si>
  <si>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</si>
  <si>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</si>
  <si>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</si>
  <si>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</si>
  <si>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</si>
  <si>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</si>
  <si>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</si>
  <si>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</si>
  <si>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</si>
  <si>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</si>
  <si>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</si>
  <si>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</si>
  <si>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</si>
  <si>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</si>
  <si>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</si>
  <si>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</si>
  <si>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</si>
  <si>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</si>
  <si>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</si>
  <si>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</si>
  <si>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</si>
  <si>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</si>
  <si>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</si>
  <si>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</si>
  <si>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</si>
  <si>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</si>
  <si>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</si>
  <si>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</si>
  <si>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</si>
  <si>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</si>
  <si>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</si>
  <si>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</si>
  <si>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</si>
  <si>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</si>
  <si>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</si>
  <si>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</si>
  <si>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</si>
  <si>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</si>
  <si>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</si>
  <si>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</si>
  <si>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</si>
  <si>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</si>
  <si>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</si>
  <si>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</si>
  <si>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</si>
  <si>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</si>
  <si>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</si>
  <si>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</si>
  <si>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</si>
  <si>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</si>
  <si>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</si>
  <si>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</si>
  <si>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</si>
  <si>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</si>
  <si>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</si>
  <si>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</si>
  <si>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</si>
  <si>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</si>
  <si>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</si>
  <si>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</si>
  <si>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</si>
  <si>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</si>
  <si>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</si>
  <si>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</si>
  <si>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</si>
  <si>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</si>
  <si>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</si>
  <si>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</si>
  <si>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</si>
  <si>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</si>
  <si>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</si>
  <si>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</si>
  <si>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</si>
  <si>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</si>
  <si>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</si>
  <si>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</si>
  <si>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</si>
  <si>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</si>
  <si>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</si>
  <si>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</si>
  <si>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</si>
  <si>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</si>
  <si>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</si>
  <si>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</si>
  <si>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</si>
  <si>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</si>
  <si>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</si>
  <si>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</si>
  <si>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</si>
  <si>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</si>
  <si>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</si>
  <si>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</si>
  <si>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</si>
  <si>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</si>
  <si>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</si>
  <si>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</si>
  <si>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</si>
  <si>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</si>
  <si>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</si>
  <si>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</si>
  <si>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</si>
  <si>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</si>
  <si>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</si>
  <si>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</si>
  <si>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</si>
  <si>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</si>
  <si>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</si>
  <si>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</si>
  <si>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</si>
  <si>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</si>
  <si>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</si>
  <si>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</si>
  <si>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</si>
  <si>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</si>
  <si>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</si>
  <si>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</si>
  <si>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</si>
  <si>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</si>
  <si>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</si>
  <si>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</si>
  <si>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</si>
  <si>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</si>
  <si>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</si>
  <si>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</si>
  <si>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</si>
  <si>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</si>
  <si>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</si>
  <si>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</si>
  <si>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</si>
  <si>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</si>
  <si>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</si>
  <si>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</si>
  <si>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</si>
  <si>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</si>
  <si>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</si>
  <si>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</si>
  <si>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</si>
  <si>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</si>
  <si>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</si>
  <si>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</si>
  <si>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</si>
  <si>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</si>
  <si>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</si>
  <si>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</si>
  <si>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</si>
  <si>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</si>
  <si>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</si>
  <si>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</si>
  <si>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</si>
  <si>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</si>
  <si>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</si>
  <si>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</si>
  <si>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</si>
  <si>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</si>
  <si>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</si>
  <si>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</si>
  <si>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</si>
  <si>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</si>
  <si>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</si>
  <si>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</si>
  <si>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</si>
  <si>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</si>
  <si>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</si>
  <si>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</si>
  <si>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</si>
  <si>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</si>
  <si>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</si>
  <si>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</si>
  <si>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</si>
  <si>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</si>
  <si>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</si>
  <si>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</si>
  <si>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</si>
  <si>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</si>
  <si>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</si>
  <si>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</si>
  <si>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</si>
  <si>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</si>
  <si>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</si>
  <si>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</si>
  <si>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</si>
  <si>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</si>
  <si>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</si>
  <si>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</si>
  <si>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</si>
  <si>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</si>
  <si>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</si>
  <si>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</si>
  <si>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</si>
  <si>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</si>
  <si>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</si>
  <si>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</si>
  <si>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</si>
  <si>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</si>
  <si>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</si>
  <si>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</si>
  <si>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</si>
  <si>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</si>
  <si>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</si>
  <si>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</si>
  <si>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</si>
  <si>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</si>
  <si>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</si>
  <si>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</si>
  <si>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</si>
  <si>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</si>
  <si>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</si>
  <si>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</si>
  <si>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</si>
  <si>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</si>
  <si>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</si>
  <si>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</si>
  <si>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</si>
  <si>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</si>
  <si>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</si>
  <si>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</si>
  <si>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</si>
  <si>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</si>
  <si>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</si>
  <si>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</si>
  <si>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</si>
  <si>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</si>
  <si>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</si>
  <si>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</si>
  <si>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</si>
  <si>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</si>
  <si>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</si>
  <si>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</si>
  <si>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</si>
  <si>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</si>
  <si>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</si>
  <si>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</si>
  <si>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</si>
  <si>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</si>
  <si>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</si>
  <si>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</si>
  <si>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</si>
  <si>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</si>
  <si>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</si>
  <si>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</si>
  <si>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</si>
  <si>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</si>
  <si>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</si>
  <si>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</si>
  <si>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</si>
  <si>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</si>
  <si>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</si>
  <si>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</si>
  <si>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</si>
  <si>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</si>
  <si>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</si>
  <si>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</si>
  <si>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</si>
  <si>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</si>
  <si>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</si>
  <si>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</si>
  <si>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</si>
  <si>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</si>
  <si>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</si>
  <si>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</si>
  <si>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</si>
  <si>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</si>
  <si>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</si>
  <si>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</si>
  <si>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</si>
  <si>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</si>
  <si>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</si>
  <si>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</si>
  <si>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</si>
  <si>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</si>
  <si>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</si>
  <si>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</si>
  <si>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</si>
  <si>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</si>
  <si>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</si>
  <si>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</si>
  <si>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</si>
  <si>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</si>
  <si>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</si>
  <si>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</si>
  <si>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</si>
  <si>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</si>
  <si>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</si>
  <si>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</si>
  <si>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</si>
  <si>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</si>
  <si>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</si>
  <si>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</si>
  <si>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</si>
  <si>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</si>
  <si>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</si>
  <si>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</si>
  <si>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</si>
  <si>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</si>
  <si>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</si>
  <si>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</si>
  <si>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</si>
  <si>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</si>
  <si>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</si>
  <si>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</si>
  <si>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</si>
  <si>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</si>
  <si>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</si>
  <si>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</si>
  <si>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</si>
  <si>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</si>
  <si>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</si>
  <si>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</si>
  <si>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</si>
  <si>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</si>
  <si>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</si>
  <si>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</si>
  <si>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</si>
  <si>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</si>
  <si>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</si>
  <si>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</si>
  <si>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</si>
  <si>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</si>
  <si>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</si>
  <si>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</si>
  <si>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</si>
  <si>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</si>
  <si>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</si>
  <si>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</si>
  <si>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</si>
  <si>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</si>
  <si>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</si>
  <si>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</si>
  <si>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</si>
  <si>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</si>
  <si>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</si>
  <si>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</si>
  <si>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</si>
  <si>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</si>
  <si>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</si>
  <si>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</si>
  <si>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</si>
  <si>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</si>
  <si>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</si>
  <si>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</si>
  <si>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</si>
  <si>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</si>
  <si>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</si>
  <si>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</si>
  <si>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</si>
  <si>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</si>
  <si>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</si>
  <si>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</si>
  <si>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</si>
  <si>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</si>
  <si>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</si>
  <si>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</si>
  <si>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</si>
  <si>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</si>
  <si>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</si>
  <si>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</si>
  <si>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</si>
  <si>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</si>
  <si>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</si>
  <si>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</si>
  <si>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</si>
  <si>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</si>
  <si>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</si>
  <si>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</si>
  <si>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</si>
  <si>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</si>
  <si>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</si>
  <si>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</si>
  <si>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</si>
  <si>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</si>
  <si>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</si>
  <si>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</si>
  <si>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</si>
  <si>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</si>
  <si>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</si>
  <si>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</si>
  <si>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</si>
  <si>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</si>
  <si>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</si>
  <si>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</si>
  <si>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</si>
  <si>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</si>
  <si>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</si>
  <si>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</si>
  <si>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</si>
  <si>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</si>
  <si>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</si>
  <si>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</si>
  <si>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</si>
  <si>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</si>
  <si>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</si>
  <si>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</si>
  <si>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</si>
  <si>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</si>
  <si>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</si>
  <si>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</si>
  <si>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</si>
  <si>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</si>
  <si>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</si>
  <si>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</si>
  <si>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</si>
  <si>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</si>
  <si>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</si>
  <si>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</si>
  <si>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</si>
  <si>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</si>
  <si>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</si>
  <si>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</si>
  <si>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</si>
  <si>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</si>
  <si>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</si>
  <si>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</si>
  <si>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</si>
  <si>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</si>
  <si>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</si>
  <si>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</si>
  <si>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</si>
  <si>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</si>
  <si>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</si>
  <si>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</si>
  <si>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</si>
  <si>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</si>
  <si>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</si>
  <si>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</si>
  <si>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</si>
  <si>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</si>
  <si>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</si>
  <si>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</si>
  <si>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</si>
  <si>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</si>
  <si>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</si>
  <si>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</si>
  <si>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</si>
  <si>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</si>
  <si>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</si>
  <si>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</si>
  <si>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</si>
  <si>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</si>
  <si>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</si>
  <si>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</si>
  <si>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</si>
  <si>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</si>
  <si>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</si>
  <si>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</si>
  <si>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</si>
  <si>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</si>
  <si>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</si>
  <si>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</si>
  <si>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</si>
  <si>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</si>
  <si>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</si>
  <si>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</si>
  <si>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</si>
  <si>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</si>
  <si>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</si>
  <si>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</si>
  <si>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</si>
  <si>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</si>
  <si>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</si>
  <si>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</si>
  <si>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</si>
  <si>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</si>
  <si>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</si>
  <si>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</si>
  <si>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</si>
  <si>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</si>
  <si>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</si>
  <si>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</si>
  <si>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</si>
  <si>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</si>
  <si>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</si>
  <si>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</si>
  <si>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</si>
  <si>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</si>
  <si>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</si>
  <si>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</si>
  <si>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</si>
  <si>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</si>
  <si>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</si>
  <si>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</si>
  <si>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</si>
  <si>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</si>
  <si>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</si>
  <si>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</si>
  <si>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</si>
  <si>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</si>
  <si>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</si>
  <si>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</si>
  <si>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</si>
  <si>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</si>
  <si>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</si>
  <si>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</si>
  <si>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</si>
  <si>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</si>
  <si>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</si>
  <si>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</si>
  <si>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</si>
  <si>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</si>
  <si>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</si>
  <si>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</si>
  <si>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</si>
  <si>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</si>
  <si>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</si>
  <si>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</si>
  <si>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</si>
  <si>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</si>
  <si>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</si>
  <si>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</si>
  <si>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</si>
  <si>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</si>
  <si>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</si>
  <si>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</si>
  <si>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</si>
  <si>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</si>
  <si>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</si>
  <si>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</si>
  <si>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</si>
  <si>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</si>
  <si>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</si>
  <si>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</si>
  <si>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</si>
  <si>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</si>
  <si>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</si>
  <si>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</si>
  <si>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</si>
  <si>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</si>
  <si>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</si>
  <si>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</si>
  <si>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</si>
  <si>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</si>
  <si>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</si>
  <si>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</si>
  <si>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</si>
  <si>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</si>
  <si>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</si>
  <si>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</si>
  <si>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</si>
  <si>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</si>
  <si>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</si>
  <si>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</si>
  <si>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</si>
  <si>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</si>
  <si>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</si>
  <si>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</si>
  <si>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</si>
  <si>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</si>
  <si>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</si>
  <si>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</si>
  <si>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</si>
  <si>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</si>
  <si>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</si>
  <si>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</si>
  <si>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</si>
  <si>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</si>
  <si>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</si>
  <si>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</si>
  <si>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</si>
  <si>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</si>
  <si>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</si>
  <si>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</si>
  <si>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</si>
  <si>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</si>
  <si>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</si>
  <si>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</si>
  <si>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</si>
  <si>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</si>
  <si>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</si>
  <si>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</si>
  <si>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</si>
  <si>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</si>
  <si>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</si>
  <si>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</si>
  <si>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</si>
  <si>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</si>
  <si>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</si>
  <si>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</si>
  <si>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</si>
  <si>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</si>
  <si>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</si>
  <si>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</si>
  <si>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</si>
  <si>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</si>
  <si>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</si>
  <si>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</si>
  <si>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</si>
  <si>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</si>
  <si>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</si>
  <si>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</si>
  <si>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</si>
  <si>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</si>
  <si>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</si>
  <si>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</si>
  <si>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</si>
  <si>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</si>
  <si>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</si>
  <si>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</si>
  <si>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</si>
  <si>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</si>
  <si>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</si>
  <si>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</si>
  <si>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</si>
  <si>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</si>
  <si>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</si>
  <si>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</si>
  <si>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</si>
  <si>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</si>
  <si>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</si>
  <si>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</si>
  <si>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</si>
  <si>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</si>
  <si>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</si>
  <si>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</si>
  <si>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</si>
  <si>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</si>
  <si>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</si>
  <si>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</si>
  <si>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</si>
  <si>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</si>
  <si>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</si>
  <si>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</si>
  <si>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</si>
  <si>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</si>
  <si>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</si>
  <si>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</si>
  <si>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</si>
  <si>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</si>
  <si>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</si>
  <si>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</si>
  <si>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</si>
  <si>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</si>
  <si>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</si>
  <si>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</si>
  <si>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</si>
  <si>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</si>
  <si>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</si>
  <si>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</si>
  <si>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</si>
  <si>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</si>
  <si>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</si>
  <si>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</si>
  <si>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</si>
  <si>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</si>
  <si>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</si>
  <si>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</si>
  <si>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</si>
  <si>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</si>
  <si>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</si>
  <si>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</si>
  <si>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</si>
  <si>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</si>
  <si>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</si>
  <si>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</si>
  <si>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</si>
  <si>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</si>
  <si>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</si>
  <si>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</si>
  <si>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</si>
  <si>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</si>
  <si>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</si>
  <si>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</si>
  <si>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</si>
  <si>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</si>
  <si>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</si>
  <si>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</si>
  <si>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</si>
  <si>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</si>
  <si>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</si>
  <si>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</si>
  <si>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</si>
  <si>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</si>
  <si>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</si>
  <si>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</si>
  <si>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</si>
  <si>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</si>
  <si>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</si>
  <si>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</si>
  <si>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</si>
  <si>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</si>
  <si>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</si>
  <si>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</si>
  <si>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</si>
  <si>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</si>
  <si>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</si>
  <si>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</si>
  <si>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</si>
  <si>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</si>
  <si>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</si>
  <si>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</si>
  <si>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</si>
  <si>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</si>
  <si>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</si>
  <si>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</si>
  <si>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</si>
  <si>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</si>
  <si>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</si>
  <si>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</si>
  <si>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</si>
  <si>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</si>
  <si>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</si>
  <si>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</si>
  <si>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</si>
  <si>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</si>
  <si>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</si>
  <si>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</si>
  <si>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</si>
  <si>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</si>
  <si>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</si>
  <si>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</si>
  <si>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</si>
  <si>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</si>
  <si>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</si>
  <si>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</si>
  <si>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</si>
  <si>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</si>
  <si>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</si>
  <si>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</si>
  <si>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</si>
  <si>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</si>
  <si>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</si>
  <si>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</si>
  <si>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</si>
  <si>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</si>
  <si>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</si>
  <si>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</si>
  <si>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</si>
  <si>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</si>
  <si>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</si>
  <si>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</si>
  <si>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</si>
  <si>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</si>
  <si>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</si>
  <si>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</si>
  <si>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</si>
  <si>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</si>
  <si>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</si>
  <si>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</si>
  <si>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</si>
  <si>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</si>
  <si>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</si>
  <si>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</si>
  <si>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</si>
  <si>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</si>
  <si>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</si>
  <si>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</si>
  <si>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</si>
  <si>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</si>
  <si>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</si>
  <si>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</si>
  <si>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</si>
  <si>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</si>
  <si>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</si>
  <si>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</si>
  <si>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</si>
  <si>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</si>
  <si>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</si>
  <si>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</si>
  <si>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</si>
  <si>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</si>
  <si>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</si>
  <si>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</si>
  <si>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</si>
  <si>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</si>
  <si>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</si>
  <si>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</si>
  <si>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</si>
  <si>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</si>
  <si>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</si>
  <si>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</si>
  <si>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</si>
  <si>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</si>
  <si>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</si>
  <si>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</si>
  <si>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</si>
  <si>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</si>
  <si>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</si>
  <si>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</si>
  <si>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</si>
  <si>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</si>
  <si>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</si>
  <si>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</si>
  <si>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</si>
  <si>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</si>
  <si>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</si>
  <si>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</si>
  <si>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</si>
  <si>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</si>
  <si>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</si>
  <si>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</si>
  <si>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</si>
  <si>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</si>
  <si>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</si>
  <si>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</si>
  <si>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</si>
  <si>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</si>
  <si>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</si>
  <si>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</si>
  <si>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</si>
  <si>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</si>
  <si>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</si>
  <si>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</si>
  <si>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</si>
  <si>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</si>
  <si>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</si>
  <si>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</si>
  <si>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</si>
  <si>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</si>
  <si>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</si>
  <si>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</si>
  <si>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</si>
  <si>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</si>
  <si>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</si>
  <si>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</si>
  <si>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</si>
  <si>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</si>
  <si>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</si>
  <si>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</si>
  <si>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</si>
  <si>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</si>
  <si>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</si>
  <si>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</si>
  <si>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</si>
  <si>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</si>
  <si>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</si>
  <si>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</si>
  <si>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</si>
  <si>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</si>
  <si>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</si>
  <si>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</si>
  <si>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</si>
  <si>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</si>
  <si>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</si>
  <si>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</si>
  <si>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</si>
  <si>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</si>
  <si>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</si>
  <si>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</si>
  <si>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</si>
  <si>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</si>
  <si>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</si>
  <si>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</si>
  <si>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</si>
  <si>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</si>
  <si>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</si>
  <si>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</si>
  <si>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</si>
  <si>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</si>
  <si>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</si>
  <si>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</si>
  <si>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</si>
  <si>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</si>
  <si>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</si>
  <si>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</si>
  <si>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</si>
  <si>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</si>
  <si>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</si>
  <si>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</si>
  <si>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</si>
  <si>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</si>
  <si>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</si>
  <si>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</si>
  <si>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</si>
  <si>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</si>
  <si>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</si>
  <si>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</si>
  <si>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</si>
  <si>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</si>
  <si>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</si>
  <si>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</si>
  <si>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</si>
  <si>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</si>
  <si>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</si>
  <si>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</si>
  <si>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</si>
  <si>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</si>
  <si>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</si>
  <si>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</si>
  <si>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</si>
  <si>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</si>
  <si>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</si>
  <si>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</si>
  <si>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</si>
  <si>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</si>
  <si>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</si>
  <si>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</si>
  <si>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</si>
  <si>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</si>
  <si>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</si>
  <si>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</si>
  <si>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</si>
  <si>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</si>
  <si>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</si>
  <si>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</si>
  <si>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</si>
  <si>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</si>
  <si>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</si>
  <si>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</si>
  <si>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</si>
  <si>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</si>
  <si>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</si>
  <si>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</si>
  <si>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</si>
  <si>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</si>
  <si>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</si>
  <si>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</si>
  <si>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</si>
  <si>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</si>
  <si>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</si>
  <si>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</si>
  <si>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</si>
  <si>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</si>
  <si>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</si>
  <si>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</si>
  <si>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</si>
  <si>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</si>
  <si>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</si>
  <si>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</si>
  <si>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</si>
  <si>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</si>
  <si>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</si>
  <si>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</si>
  <si>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</si>
  <si>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</si>
  <si>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</si>
  <si>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</si>
  <si>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</si>
  <si>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</si>
  <si>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</si>
  <si>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</si>
  <si>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</si>
  <si>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</si>
  <si>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</si>
  <si>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</si>
  <si>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</si>
  <si>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</si>
  <si>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</si>
  <si>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</si>
  <si>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</si>
  <si>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</si>
  <si>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</si>
  <si>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</si>
  <si>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</si>
  <si>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</si>
  <si>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</si>
  <si>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</si>
  <si>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</si>
  <si>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</si>
  <si>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</si>
  <si>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</si>
  <si>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</si>
  <si>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</si>
  <si>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</si>
  <si>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</si>
  <si>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</si>
  <si>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</si>
  <si>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</si>
  <si>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</si>
  <si>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</si>
  <si>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</si>
  <si>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</si>
  <si>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</si>
  <si>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</si>
  <si>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</si>
  <si>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</si>
  <si>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</si>
  <si>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</si>
  <si>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</si>
  <si>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</si>
  <si>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</si>
  <si>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</si>
  <si>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</si>
  <si>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</si>
  <si>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</si>
  <si>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</si>
  <si>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</si>
  <si>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</si>
  <si>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</si>
  <si>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</si>
  <si>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</si>
  <si>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</si>
  <si>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</si>
  <si>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</si>
  <si>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</si>
  <si>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</si>
  <si>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</si>
  <si>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</si>
  <si>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</si>
  <si>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</si>
  <si>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</si>
  <si>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</si>
  <si>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</si>
  <si>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</si>
  <si>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</si>
  <si>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</si>
  <si>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</si>
  <si>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</si>
  <si>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</si>
  <si>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</si>
  <si>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</si>
  <si>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</si>
  <si>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</si>
  <si>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</si>
  <si>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</si>
  <si>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</si>
  <si>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</si>
  <si>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</si>
  <si>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</si>
  <si>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</si>
  <si>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</si>
  <si>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</si>
  <si>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</si>
  <si>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</si>
  <si>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</si>
  <si>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</si>
  <si>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</si>
  <si>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</si>
  <si>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</si>
  <si>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</si>
  <si>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</si>
  <si>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</si>
  <si>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</si>
  <si>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</si>
  <si>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</si>
  <si>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</si>
  <si>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</si>
  <si>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</si>
  <si>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</si>
  <si>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</si>
  <si>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</si>
  <si>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</si>
  <si>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</si>
  <si>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</si>
  <si>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</si>
  <si>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</si>
  <si>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</si>
  <si>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</si>
  <si>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</si>
  <si>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</si>
  <si>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</si>
  <si>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</si>
  <si>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</si>
  <si>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</si>
  <si>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</si>
  <si>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</si>
  <si>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</si>
  <si>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</si>
  <si>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</si>
  <si>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</si>
  <si>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</si>
  <si>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</si>
  <si>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</si>
  <si>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</si>
  <si>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</si>
  <si>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</si>
  <si>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</si>
  <si>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</si>
  <si>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</si>
  <si>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</si>
  <si>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</si>
  <si>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</si>
  <si>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</si>
  <si>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</si>
  <si>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</si>
  <si>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</si>
  <si>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</si>
  <si>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</si>
  <si>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</si>
  <si>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</si>
  <si>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</si>
  <si>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</si>
  <si>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</si>
  <si>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</si>
  <si>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</si>
  <si>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</si>
  <si>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</si>
  <si>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</si>
  <si>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</si>
  <si>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</si>
  <si>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</si>
  <si>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</si>
  <si>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</si>
  <si>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</si>
  <si>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</si>
  <si>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</si>
  <si>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</si>
  <si>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</si>
  <si>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</si>
  <si>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</si>
  <si>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</si>
  <si>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</si>
  <si>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</si>
  <si>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</si>
  <si>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</si>
  <si>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</si>
  <si>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</si>
  <si>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</si>
  <si>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</si>
  <si>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</si>
  <si>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</si>
  <si>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</si>
  <si>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</si>
  <si>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</si>
  <si>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</si>
  <si>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</si>
  <si>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</si>
  <si>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</si>
  <si>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</si>
  <si>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</si>
  <si>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</si>
  <si>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</si>
  <si>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</si>
  <si>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</si>
  <si>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</si>
  <si>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</si>
  <si>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</si>
  <si>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</si>
  <si>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</si>
  <si>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</si>
  <si>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</si>
  <si>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</si>
  <si>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</si>
  <si>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</si>
  <si>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</si>
  <si>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</si>
  <si>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</si>
  <si>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</si>
  <si>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</si>
  <si>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</si>
  <si>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</si>
  <si>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</si>
  <si>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</si>
  <si>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</si>
  <si>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</si>
  <si>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</si>
  <si>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</si>
  <si>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</si>
  <si>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</si>
  <si>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</si>
  <si>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</si>
  <si>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</si>
  <si>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</si>
  <si>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</si>
  <si>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</si>
  <si>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</si>
  <si>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</si>
  <si>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</si>
  <si>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</si>
  <si>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</si>
  <si>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</si>
  <si>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</si>
  <si>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</si>
  <si>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</si>
  <si>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</si>
  <si>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</si>
  <si>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</si>
  <si>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</si>
  <si>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</si>
  <si>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</si>
  <si>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</si>
  <si>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</si>
  <si>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</si>
  <si>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</si>
  <si>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</si>
  <si>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</si>
  <si>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</si>
  <si>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</si>
  <si>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</si>
  <si>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</si>
  <si>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</si>
  <si>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</si>
  <si>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</si>
  <si>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</si>
  <si>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</si>
  <si>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</si>
  <si>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</si>
  <si>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</si>
  <si>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</si>
  <si>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</si>
  <si>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</si>
  <si>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</si>
  <si>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</si>
  <si>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</si>
  <si>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</si>
  <si>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</si>
  <si>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</si>
  <si>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</si>
  <si>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</si>
  <si>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</si>
  <si>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</si>
  <si>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</si>
  <si>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</si>
  <si>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</si>
  <si>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</si>
  <si>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</si>
  <si>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</si>
  <si>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</si>
  <si>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</si>
  <si>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</si>
  <si>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</si>
  <si>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</si>
  <si>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</si>
  <si>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</si>
  <si>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</si>
  <si>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</si>
  <si>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</si>
  <si>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</si>
  <si>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</si>
  <si>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</si>
  <si>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</si>
  <si>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</si>
  <si>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</si>
  <si>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</si>
  <si>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</si>
  <si>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</si>
  <si>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</si>
  <si>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</si>
  <si>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</si>
  <si>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</si>
  <si>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</si>
  <si>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</si>
  <si>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</si>
  <si>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</si>
  <si>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</si>
  <si>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</si>
  <si>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</si>
  <si>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</si>
  <si>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</si>
  <si>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</si>
  <si>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</si>
  <si>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</si>
  <si>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</si>
  <si>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</si>
  <si>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</si>
  <si>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</si>
  <si>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</si>
  <si>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</si>
  <si>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</si>
  <si>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</si>
  <si>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</si>
  <si>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</si>
  <si>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</si>
  <si>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</si>
  <si>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</si>
  <si>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</si>
  <si>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</si>
  <si>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</si>
  <si>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</si>
  <si>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</si>
  <si>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</si>
  <si>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</si>
  <si>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</si>
  <si>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</si>
  <si>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</si>
  <si>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</si>
  <si>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</si>
  <si>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</si>
  <si>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</si>
  <si>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</si>
  <si>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</si>
  <si>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</si>
  <si>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</si>
  <si>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</si>
  <si>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4469365#1</t>
  </si>
  <si>
    <t>Grupohtc</t>
  </si>
  <si>
    <t>4528383#1</t>
  </si>
  <si>
    <t>Phoenixlog</t>
  </si>
  <si>
    <t>4495347#1</t>
  </si>
  <si>
    <t>Geoinglobe</t>
  </si>
  <si>
    <t>4526571#1</t>
  </si>
  <si>
    <t>Rambal</t>
  </si>
  <si>
    <t>4523427#1</t>
  </si>
  <si>
    <t>Petrocentro</t>
  </si>
  <si>
    <t>4529071#1</t>
  </si>
  <si>
    <t>3cero4</t>
  </si>
  <si>
    <t>4529093#1</t>
  </si>
  <si>
    <t>Cartonerapuerto</t>
  </si>
  <si>
    <t>4467931#1</t>
  </si>
  <si>
    <t>Consulconst</t>
  </si>
  <si>
    <t>4468097#1</t>
  </si>
  <si>
    <t>Bgp</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</si>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</sst>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2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1d00bbe-7ebe-4dda-b89a-895ff0c9685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s v="1061303#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1d00bbe-7ebe-4dda-b89a-895ff0c96855}" id="{f6d77f68-4b05-4a85-82d4-12a5c913b2b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39</v>
      </c>
      <c r="L91" s="33">
        <f t="shared" ref="L91:L95" si="6">I91-K91</f>
        <v>-14</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19</v>
      </c>
      <c r="L93" s="33">
        <f t="shared" si="6"/>
        <v>16</v>
      </c>
    </row>
    <row r="94" outlineLevel="1">
      <c r="D94" s="10"/>
      <c r="E94" s="37" t="s">
        <v>40</v>
      </c>
      <c r="F94" s="38">
        <f>sum(C91:C93)</f>
        <v>120</v>
      </c>
      <c r="G94" s="10"/>
      <c r="H94" s="22" t="s">
        <v>23</v>
      </c>
      <c r="I94" s="36">
        <v>15.0</v>
      </c>
      <c r="J94" s="10"/>
      <c r="K94" s="33">
        <f>SUM(SUMIF($K$76:$K$89, "Peru",$L$76:$L$89))</f>
        <v>7</v>
      </c>
      <c r="L94" s="33">
        <f t="shared" si="6"/>
        <v>8</v>
      </c>
    </row>
    <row r="95" outlineLevel="1">
      <c r="D95" s="10"/>
      <c r="E95" s="37" t="s">
        <v>41</v>
      </c>
      <c r="F95" s="38">
        <f>SUM(F91:F93)</f>
        <v>20</v>
      </c>
      <c r="G95" s="10"/>
      <c r="H95" s="23" t="s">
        <v>2340</v>
      </c>
      <c r="I95" s="36">
        <v>20.0</v>
      </c>
      <c r="J95" s="10"/>
      <c r="K95" s="33">
        <f>SUM(SUMIF($K$76:$K$89, "Bolivia",$L$76:$L$89), SUMIF($K$76:$K$89, "Paraguay",$L$76:$L$89), SUMIF($K$76:$K$89, "Uruguay",$L$76:$L$89))</f>
        <v>19</v>
      </c>
      <c r="L95" s="33">
        <f t="shared" si="6"/>
        <v>1</v>
      </c>
    </row>
    <row r="96" outlineLevel="1">
      <c r="D96" s="10"/>
      <c r="G96" s="10"/>
      <c r="H96" s="10"/>
      <c r="I96" s="15"/>
      <c r="J96" s="10"/>
      <c r="K96" s="37" t="s">
        <v>40</v>
      </c>
      <c r="L96" s="247">
        <f>sum(I91:I95)</f>
        <v>120</v>
      </c>
    </row>
    <row r="97" outlineLevel="1">
      <c r="G97" s="10"/>
      <c r="H97" s="10"/>
      <c r="I97" s="10"/>
      <c r="J97" s="10"/>
      <c r="K97" s="37" t="s">
        <v>41</v>
      </c>
      <c r="L97" s="38">
        <f>SUM(L91:L95)</f>
        <v>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98"/>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98"/>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98"/>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98"/>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98"/>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98"/>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98"/>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t="s">
        <v>22</v>
      </c>
      <c r="AL97" s="58" t="s">
        <v>2347</v>
      </c>
      <c r="AM97" s="61"/>
      <c r="AN97" s="298"/>
      <c r="AP97" s="270">
        <v>46192.0</v>
      </c>
      <c r="AQ97" s="109" t="s">
        <v>4812</v>
      </c>
      <c r="AR97" s="109" t="s">
        <v>4813</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4814</v>
      </c>
      <c r="AB98" s="273" t="s">
        <v>4815</v>
      </c>
      <c r="AC98" s="274" t="s">
        <v>30</v>
      </c>
      <c r="AD98" s="274" t="s">
        <v>2337</v>
      </c>
      <c r="AE98" s="61"/>
      <c r="AF98" s="269" t="b">
        <v>1</v>
      </c>
      <c r="AH98" s="270">
        <v>46192.0</v>
      </c>
      <c r="AI98" s="109" t="s">
        <v>4816</v>
      </c>
      <c r="AJ98" s="373" t="s">
        <v>4817</v>
      </c>
      <c r="AK98" s="58" t="s">
        <v>16</v>
      </c>
      <c r="AL98" s="58" t="s">
        <v>9</v>
      </c>
      <c r="AM98" s="109" t="s">
        <v>4818</v>
      </c>
      <c r="AN98" s="298"/>
      <c r="AP98" s="382">
        <v>46192.0</v>
      </c>
      <c r="AQ98" s="273" t="s">
        <v>4819</v>
      </c>
      <c r="AR98" s="273" t="s">
        <v>4820</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4821</v>
      </c>
      <c r="AB99" s="294" t="s">
        <v>4822</v>
      </c>
      <c r="AC99" s="295" t="s">
        <v>30</v>
      </c>
      <c r="AD99" s="295" t="s">
        <v>2337</v>
      </c>
      <c r="AE99" s="109"/>
      <c r="AF99" s="269" t="b">
        <v>1</v>
      </c>
      <c r="AH99" s="270">
        <v>46192.0</v>
      </c>
      <c r="AI99" s="109" t="s">
        <v>4823</v>
      </c>
      <c r="AJ99" s="373" t="s">
        <v>4824</v>
      </c>
      <c r="AK99" s="58" t="s">
        <v>10</v>
      </c>
      <c r="AL99" s="58" t="s">
        <v>9</v>
      </c>
      <c r="AM99" s="61"/>
      <c r="AN99" s="298"/>
      <c r="AP99" s="380">
        <v>46192.0</v>
      </c>
      <c r="AQ99" s="294" t="s">
        <v>4825</v>
      </c>
      <c r="AR99" s="294" t="s">
        <v>4826</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4827</v>
      </c>
      <c r="AB100" s="273" t="s">
        <v>4828</v>
      </c>
      <c r="AC100" s="274" t="s">
        <v>30</v>
      </c>
      <c r="AD100" s="274" t="s">
        <v>2337</v>
      </c>
      <c r="AE100" s="61"/>
      <c r="AF100" s="269" t="b">
        <v>1</v>
      </c>
      <c r="AH100" s="270">
        <v>46192.0</v>
      </c>
      <c r="AI100" s="109" t="s">
        <v>4829</v>
      </c>
      <c r="AJ100" s="373" t="s">
        <v>4830</v>
      </c>
      <c r="AK100" s="58" t="s">
        <v>44</v>
      </c>
      <c r="AL100" s="58" t="s">
        <v>9</v>
      </c>
      <c r="AM100" s="61"/>
      <c r="AN100" s="298"/>
      <c r="AP100" s="382">
        <v>46192.0</v>
      </c>
      <c r="AQ100" s="430" t="s">
        <v>4831</v>
      </c>
      <c r="AR100" s="430" t="s">
        <v>4832</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4833</v>
      </c>
      <c r="AB101" s="294" t="s">
        <v>4834</v>
      </c>
      <c r="AC101" s="295" t="s">
        <v>30</v>
      </c>
      <c r="AD101" s="295" t="s">
        <v>2337</v>
      </c>
      <c r="AE101" s="109"/>
      <c r="AF101" s="269" t="b">
        <v>1</v>
      </c>
      <c r="AH101" s="270">
        <v>46192.0</v>
      </c>
      <c r="AI101" s="312" t="s">
        <v>4835</v>
      </c>
      <c r="AJ101" s="373" t="s">
        <v>4836</v>
      </c>
      <c r="AK101" s="58" t="s">
        <v>19</v>
      </c>
      <c r="AL101" s="58" t="s">
        <v>9</v>
      </c>
      <c r="AM101" s="61"/>
      <c r="AN101" s="298"/>
      <c r="AP101" s="380">
        <v>46192.0</v>
      </c>
      <c r="AQ101" s="294" t="s">
        <v>4837</v>
      </c>
      <c r="AR101" s="294" t="s">
        <v>4838</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4839</v>
      </c>
      <c r="AB102" s="273" t="s">
        <v>4840</v>
      </c>
      <c r="AC102" s="402" t="s">
        <v>30</v>
      </c>
      <c r="AD102" s="402" t="s">
        <v>2337</v>
      </c>
      <c r="AE102" s="109"/>
      <c r="AF102" s="269" t="b">
        <v>1</v>
      </c>
      <c r="AH102" s="270">
        <v>46192.0</v>
      </c>
      <c r="AI102" s="312" t="s">
        <v>4841</v>
      </c>
      <c r="AJ102" s="373" t="s">
        <v>4842</v>
      </c>
      <c r="AK102" s="58" t="s">
        <v>32</v>
      </c>
      <c r="AL102" s="58" t="s">
        <v>2347</v>
      </c>
      <c r="AM102" s="61"/>
      <c r="AN102" s="298"/>
      <c r="AP102" s="382">
        <v>46192.0</v>
      </c>
      <c r="AQ102" s="273" t="s">
        <v>4843</v>
      </c>
      <c r="AR102" s="273" t="s">
        <v>4844</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4845</v>
      </c>
      <c r="AB103" s="294" t="s">
        <v>4846</v>
      </c>
      <c r="AC103" s="295" t="s">
        <v>30</v>
      </c>
      <c r="AD103" s="295" t="s">
        <v>2337</v>
      </c>
      <c r="AE103" s="61"/>
      <c r="AF103" s="269" t="b">
        <v>1</v>
      </c>
      <c r="AH103" s="270"/>
      <c r="AI103" s="109"/>
      <c r="AJ103" s="373"/>
      <c r="AK103" s="344"/>
      <c r="AL103" s="344"/>
      <c r="AM103" s="61"/>
      <c r="AN103" s="298"/>
      <c r="AP103" s="194"/>
      <c r="AQ103" s="61"/>
      <c r="AR103" s="61"/>
      <c r="AS103" s="81"/>
      <c r="AT103" s="81"/>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4847</v>
      </c>
      <c r="AB104" s="273" t="s">
        <v>4848</v>
      </c>
      <c r="AC104" s="274" t="s">
        <v>30</v>
      </c>
      <c r="AD104" s="274" t="s">
        <v>2337</v>
      </c>
      <c r="AE104" s="61"/>
      <c r="AF104" s="269" t="b">
        <v>1</v>
      </c>
      <c r="AH104" s="270"/>
      <c r="AI104" s="109"/>
      <c r="AJ104" s="373"/>
      <c r="AK104" s="344"/>
      <c r="AL104" s="344"/>
      <c r="AM104" s="61"/>
      <c r="AN104" s="298"/>
      <c r="AP104" s="194"/>
      <c r="AQ104" s="61"/>
      <c r="AR104" s="61"/>
      <c r="AS104" s="81"/>
      <c r="AT104" s="81"/>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4849</v>
      </c>
      <c r="AB105" s="294" t="s">
        <v>4850</v>
      </c>
      <c r="AC105" s="295" t="s">
        <v>11</v>
      </c>
      <c r="AD105" s="295" t="s">
        <v>2337</v>
      </c>
      <c r="AE105" s="61"/>
      <c r="AF105" s="269" t="b">
        <v>1</v>
      </c>
      <c r="AH105" s="270"/>
      <c r="AI105" s="109"/>
      <c r="AJ105" s="373"/>
      <c r="AK105" s="344"/>
      <c r="AL105" s="344"/>
      <c r="AM105" s="61"/>
      <c r="AN105" s="298"/>
      <c r="AP105" s="194"/>
      <c r="AQ105" s="61"/>
      <c r="AR105" s="61"/>
      <c r="AS105" s="81"/>
      <c r="AT105" s="81"/>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4851</v>
      </c>
      <c r="AB106" s="273" t="s">
        <v>4852</v>
      </c>
      <c r="AC106" s="274" t="s">
        <v>27</v>
      </c>
      <c r="AD106" s="274" t="s">
        <v>2337</v>
      </c>
      <c r="AE106" s="61"/>
      <c r="AF106" s="269" t="b">
        <v>1</v>
      </c>
      <c r="AH106" s="270"/>
      <c r="AI106" s="109"/>
      <c r="AJ106" s="373"/>
      <c r="AK106" s="344"/>
      <c r="AL106" s="344"/>
      <c r="AM106" s="61"/>
      <c r="AN106" s="298"/>
      <c r="AP106" s="194"/>
      <c r="AQ106" s="61"/>
      <c r="AR106" s="61"/>
      <c r="AS106" s="81"/>
      <c r="AT106" s="81"/>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4853</v>
      </c>
      <c r="AB107" s="294" t="s">
        <v>4854</v>
      </c>
      <c r="AC107" s="295"/>
      <c r="AD107" s="295" t="s">
        <v>2337</v>
      </c>
      <c r="AE107" s="61"/>
      <c r="AF107" s="269" t="b">
        <v>0</v>
      </c>
      <c r="AH107" s="270"/>
      <c r="AI107" s="109"/>
      <c r="AJ107" s="373"/>
      <c r="AK107" s="344"/>
      <c r="AL107" s="344"/>
      <c r="AM107" s="61"/>
      <c r="AN107" s="298"/>
      <c r="AP107" s="194"/>
      <c r="AQ107" s="61"/>
      <c r="AR107" s="61"/>
      <c r="AS107" s="81"/>
      <c r="AT107" s="81"/>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4855</v>
      </c>
      <c r="AB108" s="273" t="s">
        <v>4856</v>
      </c>
      <c r="AC108" s="274" t="s">
        <v>27</v>
      </c>
      <c r="AD108" s="274" t="s">
        <v>2337</v>
      </c>
      <c r="AE108" s="61"/>
      <c r="AF108" s="269" t="b">
        <v>1</v>
      </c>
      <c r="AH108" s="270"/>
      <c r="AI108" s="109"/>
      <c r="AJ108" s="373"/>
      <c r="AK108" s="344"/>
      <c r="AL108" s="344"/>
      <c r="AM108" s="61"/>
      <c r="AN108" s="298"/>
      <c r="AP108" s="194"/>
      <c r="AQ108" s="61"/>
      <c r="AR108" s="61"/>
      <c r="AS108" s="81"/>
      <c r="AT108" s="81"/>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4857</v>
      </c>
      <c r="AB109" s="273" t="s">
        <v>4858</v>
      </c>
      <c r="AC109" s="383" t="s">
        <v>27</v>
      </c>
      <c r="AD109" s="410" t="s">
        <v>2338</v>
      </c>
      <c r="AE109" s="61"/>
      <c r="AF109" s="269" t="b">
        <v>1</v>
      </c>
      <c r="AH109" s="270"/>
      <c r="AI109" s="109"/>
      <c r="AJ109" s="373"/>
      <c r="AK109" s="344"/>
      <c r="AL109" s="344"/>
      <c r="AM109" s="61"/>
      <c r="AN109" s="298"/>
      <c r="AP109" s="194"/>
      <c r="AQ109" s="61"/>
      <c r="AR109" s="61"/>
      <c r="AS109" s="81"/>
      <c r="AT109" s="81"/>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4859</v>
      </c>
      <c r="AB110" s="294" t="s">
        <v>4860</v>
      </c>
      <c r="AC110" s="381" t="s">
        <v>11</v>
      </c>
      <c r="AD110" s="295" t="s">
        <v>2338</v>
      </c>
      <c r="AE110" s="61"/>
      <c r="AF110" s="269" t="b">
        <v>1</v>
      </c>
      <c r="AH110" s="270"/>
      <c r="AI110" s="109"/>
      <c r="AJ110" s="373"/>
      <c r="AK110" s="344"/>
      <c r="AL110" s="344"/>
      <c r="AM110" s="61"/>
      <c r="AN110" s="298"/>
      <c r="AP110" s="194"/>
      <c r="AQ110" s="61"/>
      <c r="AR110" s="61"/>
      <c r="AS110" s="81"/>
      <c r="AT110" s="81"/>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4861</v>
      </c>
      <c r="AB111" s="294" t="s">
        <v>4862</v>
      </c>
      <c r="AC111" s="381" t="s">
        <v>30</v>
      </c>
      <c r="AD111" s="295" t="s">
        <v>2338</v>
      </c>
      <c r="AE111" s="61"/>
      <c r="AF111" s="269" t="b">
        <v>1</v>
      </c>
      <c r="AH111" s="270"/>
      <c r="AI111" s="109"/>
      <c r="AJ111" s="373"/>
      <c r="AK111" s="344"/>
      <c r="AL111" s="344"/>
      <c r="AM111" s="61"/>
      <c r="AN111" s="298"/>
      <c r="AP111" s="194"/>
      <c r="AQ111" s="61"/>
      <c r="AR111" s="61"/>
      <c r="AS111" s="81"/>
      <c r="AT111" s="81"/>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4863</v>
      </c>
      <c r="AB112" s="273" t="s">
        <v>4864</v>
      </c>
      <c r="AC112" s="383"/>
      <c r="AD112" s="293" t="s">
        <v>2338</v>
      </c>
      <c r="AE112" s="109" t="s">
        <v>982</v>
      </c>
      <c r="AF112" s="298"/>
      <c r="AH112" s="270"/>
      <c r="AI112" s="109"/>
      <c r="AJ112" s="373"/>
      <c r="AK112" s="344"/>
      <c r="AL112" s="344"/>
      <c r="AM112" s="61"/>
      <c r="AN112" s="298"/>
      <c r="AP112" s="194"/>
      <c r="AQ112" s="61"/>
      <c r="AR112" s="61"/>
      <c r="AS112" s="81"/>
      <c r="AT112" s="81"/>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194"/>
      <c r="AQ113" s="61"/>
      <c r="AR113" s="61"/>
      <c r="AS113" s="81"/>
      <c r="AT113" s="81"/>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194"/>
      <c r="AQ114" s="61"/>
      <c r="AR114" s="61"/>
      <c r="AS114" s="81"/>
      <c r="AT114" s="81"/>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194"/>
      <c r="AQ115" s="61"/>
      <c r="AR115" s="61"/>
      <c r="AS115" s="81"/>
      <c r="AT115" s="81"/>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4"/>
      <c r="C998" s="525" t="s">
        <v>3164</v>
      </c>
      <c r="D998" s="109" t="s">
        <v>3165</v>
      </c>
      <c r="E998" s="526" t="s">
        <v>13</v>
      </c>
      <c r="F998" s="526" t="s">
        <v>2347</v>
      </c>
      <c r="G998" s="527"/>
      <c r="H998" s="528" t="b">
        <v>0</v>
      </c>
      <c r="I998" s="258"/>
      <c r="J998" s="194"/>
      <c r="K998" s="61"/>
      <c r="L998" s="61"/>
      <c r="M998" s="81"/>
      <c r="N998" s="81"/>
      <c r="O998" s="61"/>
      <c r="P998" s="269" t="b">
        <v>0</v>
      </c>
      <c r="Q998" s="258"/>
      <c r="Y998" s="258"/>
      <c r="AO998" s="258"/>
      <c r="AW998" s="258"/>
      <c r="BE998" s="258"/>
    </row>
    <row r="999" ht="22.5" customHeight="1">
      <c r="A999" s="368"/>
      <c r="B999" s="524"/>
      <c r="C999" s="109" t="s">
        <v>4865</v>
      </c>
      <c r="D999" s="109" t="s">
        <v>4866</v>
      </c>
      <c r="E999" s="526" t="s">
        <v>22</v>
      </c>
      <c r="F999" s="526" t="s">
        <v>2347</v>
      </c>
      <c r="G999" s="527"/>
      <c r="H999" s="528" t="b">
        <v>0</v>
      </c>
      <c r="I999" s="258"/>
      <c r="J999" s="194"/>
      <c r="K999" s="61"/>
      <c r="L999" s="61"/>
      <c r="M999" s="81"/>
      <c r="N999" s="81"/>
      <c r="O999" s="61"/>
      <c r="P999" s="269" t="b">
        <v>0</v>
      </c>
      <c r="Q999" s="258"/>
      <c r="Y999" s="258"/>
      <c r="AO999" s="258"/>
      <c r="AW999" s="258"/>
      <c r="BE999" s="258"/>
    </row>
    <row r="1000" ht="22.5" customHeight="1">
      <c r="A1000" s="368"/>
      <c r="B1000" s="524"/>
      <c r="C1000" s="109" t="s">
        <v>4867</v>
      </c>
      <c r="D1000" s="109" t="s">
        <v>4868</v>
      </c>
      <c r="E1000" s="526" t="s">
        <v>22</v>
      </c>
      <c r="F1000" s="526" t="s">
        <v>2347</v>
      </c>
      <c r="G1000" s="527"/>
      <c r="H1000" s="528" t="b">
        <v>0</v>
      </c>
      <c r="I1000" s="258"/>
      <c r="J1000" s="194"/>
      <c r="K1000" s="61"/>
      <c r="L1000" s="61"/>
      <c r="M1000" s="81"/>
      <c r="N1000" s="81"/>
      <c r="O1000" s="61"/>
      <c r="P1000" s="269" t="b">
        <v>0</v>
      </c>
      <c r="Q1000" s="258"/>
      <c r="Y1000" s="258"/>
      <c r="AO1000" s="258"/>
      <c r="AW1000" s="258"/>
      <c r="BE1000" s="258"/>
    </row>
    <row r="1001" ht="22.5" customHeight="1">
      <c r="A1001" s="368"/>
      <c r="B1001" s="524"/>
      <c r="C1001" s="109" t="s">
        <v>4869</v>
      </c>
      <c r="D1001" s="109" t="s">
        <v>4870</v>
      </c>
      <c r="E1001" s="526" t="s">
        <v>22</v>
      </c>
      <c r="F1001" s="526" t="s">
        <v>2347</v>
      </c>
      <c r="G1001" s="527"/>
      <c r="H1001" s="528" t="b">
        <v>0</v>
      </c>
      <c r="I1001" s="258"/>
      <c r="J1001" s="194"/>
      <c r="K1001" s="61"/>
      <c r="L1001" s="61"/>
      <c r="M1001" s="81"/>
      <c r="N1001" s="81"/>
      <c r="O1001" s="61"/>
      <c r="P1001" s="269" t="b">
        <v>0</v>
      </c>
      <c r="Q1001" s="258"/>
      <c r="Y1001" s="258"/>
      <c r="AO1001" s="258"/>
      <c r="AW1001" s="258"/>
      <c r="BE1001" s="258"/>
    </row>
    <row r="1002" ht="22.5" customHeight="1">
      <c r="A1002" s="368"/>
      <c r="B1002" s="524"/>
      <c r="C1002" s="109"/>
      <c r="D1002" s="109"/>
      <c r="E1002" s="526"/>
      <c r="F1002" s="526"/>
      <c r="G1002" s="527"/>
      <c r="H1002" s="528" t="b">
        <v>0</v>
      </c>
      <c r="I1002" s="258"/>
      <c r="J1002" s="194"/>
      <c r="K1002" s="61"/>
      <c r="L1002" s="61"/>
      <c r="M1002" s="81"/>
      <c r="N1002" s="81"/>
      <c r="O1002" s="61"/>
      <c r="P1002" s="269" t="b">
        <v>0</v>
      </c>
      <c r="Q1002" s="258"/>
      <c r="Y1002" s="258"/>
      <c r="AO1002" s="258"/>
      <c r="AW1002" s="258"/>
      <c r="BE1002" s="258"/>
    </row>
    <row r="1003" ht="22.5" customHeight="1">
      <c r="A1003" s="368"/>
      <c r="B1003" s="524"/>
      <c r="C1003" s="109"/>
      <c r="D1003" s="109"/>
      <c r="E1003" s="526"/>
      <c r="F1003" s="526"/>
      <c r="G1003" s="527"/>
      <c r="H1003" s="52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