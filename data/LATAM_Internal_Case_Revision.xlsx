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tc={527451df-c090-4773-b06b-253073d95178}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527451df-c090-4773-b06b-253073d95178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<sst xmlns="http://schemas.openxmlformats.org/spreadsheetml/2006/main" count="8551" uniqueCount="3807">
  <si>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</si>
  <si>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</si>
  <si>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</si>
  <si>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</si>
  <si>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</si>
  <si>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</si>
  <si>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</si>
  <si>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</si>
  <si>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</si>
  <si>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</si>
  <si>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</si>
  <si>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</si>
  <si>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</si>
  <si>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</si>
  <si>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</si>
  <si>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</si>
  <si>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</si>
  <si>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</si>
  <si>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</si>
  <si>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</si>
  <si>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</si>
  <si>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</si>
  <si>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</si>
  <si>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</si>
  <si>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</si>
  <si>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</si>
  <si>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</si>
  <si>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</si>
  <si>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</si>
  <si>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</si>
  <si>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</si>
  <si>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</si>
  <si>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</si>
  <si>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</si>
  <si>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</si>
  <si>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</si>
  <si>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</si>
  <si>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</si>
  <si>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</si>
  <si>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</si>
  <si>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</si>
  <si>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</si>
  <si>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</si>
  <si>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</si>
  <si>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</si>
  <si>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</si>
  <si>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</si>
  <si>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</si>
  <si>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</si>
  <si>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</si>
  <si>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</si>
  <si>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</si>
  <si>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</si>
  <si>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</si>
  <si>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</si>
  <si>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</si>
  <si>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</si>
  <si>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</si>
  <si>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</si>
  <si>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</si>
  <si>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</si>
  <si>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</si>
  <si>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</si>
  <si>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</si>
  <si>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</si>
  <si>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</si>
  <si>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</si>
  <si>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</si>
  <si>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</si>
  <si>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</si>
  <si>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</si>
  <si>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</si>
  <si>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</si>
  <si>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</si>
  <si>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</si>
  <si>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</si>
  <si>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</si>
  <si>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</si>
  <si>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</si>
  <si>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</si>
  <si>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</si>
  <si>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</si>
  <si>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</si>
  <si>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</si>
  <si>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</si>
  <si>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</si>
  <si>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</si>
  <si>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</si>
  <si>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</si>
  <si>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</si>
  <si>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</si>
  <si>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</si>
  <si>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</si>
  <si>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</si>
  <si>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</si>
  <si>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</si>
  <si>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</si>
  <si>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</si>
  <si>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</si>
  <si>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</si>
  <si>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</si>
  <si>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</si>
  <si>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</si>
  <si>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</si>
  <si>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</si>
  <si>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</si>
  <si>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</si>
  <si>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</si>
  <si>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</si>
  <si>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</si>
  <si>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</si>
  <si>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</si>
  <si>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</si>
  <si>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</si>
  <si>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</si>
  <si>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</si>
  <si>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</si>
  <si>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</si>
  <si>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</si>
  <si>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</si>
  <si>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</si>
  <si>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</si>
  <si>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</si>
  <si>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</si>
  <si>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</si>
  <si>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</si>
  <si>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</si>
  <si>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</si>
  <si>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</si>
  <si>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</si>
  <si>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</si>
  <si>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</si>
  <si>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</si>
  <si>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</si>
  <si>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</si>
  <si>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</si>
  <si>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</si>
  <si>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</si>
  <si>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</si>
  <si>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</si>
  <si>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</si>
  <si>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</si>
  <si>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</si>
  <si>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</si>
  <si>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</si>
  <si>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</si>
  <si>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</si>
  <si>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</si>
  <si>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</si>
  <si>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</si>
  <si>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</si>
  <si>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</si>
  <si>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</si>
  <si>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</si>
  <si>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</si>
  <si>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</si>
  <si>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</si>
  <si>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</si>
  <si>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</si>
  <si>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</si>
  <si>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</si>
  <si>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</si>
  <si>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</si>
  <si>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</si>
  <si>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</si>
  <si>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</si>
  <si>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</si>
  <si>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</si>
  <si>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</si>
  <si>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</si>
  <si>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</si>
  <si>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</si>
  <si>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</si>
  <si>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</si>
  <si>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</si>
  <si>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</si>
  <si>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</si>
  <si>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</si>
  <si>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</si>
  <si>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</si>
  <si>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</si>
  <si>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</si>
  <si>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</si>
  <si>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</si>
  <si>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</si>
  <si>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</si>
  <si>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</si>
  <si>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</si>
  <si>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</si>
  <si>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</si>
  <si>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</si>
  <si>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</si>
  <si>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</si>
  <si>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</si>
  <si>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</si>
  <si>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</si>
  <si>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</si>
  <si>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</si>
  <si>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</si>
  <si>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</si>
  <si>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</si>
  <si>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</si>
  <si>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</si>
  <si>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</si>
  <si>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</si>
  <si>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</si>
  <si>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</si>
  <si>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</si>
  <si>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</si>
  <si>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</si>
  <si>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</si>
  <si>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</si>
  <si>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</si>
  <si>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</si>
  <si>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</si>
  <si>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</si>
  <si>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</si>
  <si>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</si>
  <si>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</si>
  <si>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</si>
  <si>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</si>
  <si>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</si>
  <si>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</si>
  <si>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</si>
  <si>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</si>
  <si>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</si>
  <si>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</si>
  <si>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</si>
  <si>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</si>
  <si>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</si>
  <si>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</si>
  <si>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</si>
  <si>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</si>
  <si>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</si>
  <si>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</si>
  <si>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</si>
  <si>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</si>
  <si>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</si>
  <si>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</si>
  <si>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</si>
  <si>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</si>
  <si>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</si>
  <si>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</si>
  <si>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</si>
  <si>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</si>
  <si>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</si>
  <si>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</si>
  <si>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</si>
  <si>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</si>
  <si>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</si>
  <si>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</si>
  <si>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</si>
  <si>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</si>
  <si>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</si>
  <si>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</si>
  <si>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</si>
  <si>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</si>
  <si>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</si>
  <si>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</si>
  <si>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</si>
  <si>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</si>
  <si>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</si>
  <si>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</si>
  <si>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</si>
  <si>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</si>
  <si>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</si>
  <si>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</si>
  <si>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</si>
  <si>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</si>
  <si>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</si>
  <si>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</si>
  <si>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</si>
  <si>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</si>
  <si>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</si>
  <si>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</si>
  <si>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</si>
  <si>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</si>
  <si>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</si>
  <si>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</si>
  <si>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</si>
  <si>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</si>
  <si>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</si>
  <si>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</si>
  <si>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</si>
  <si>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</si>
  <si>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</si>
  <si>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</si>
  <si>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</si>
  <si>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</si>
  <si>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</si>
  <si>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</si>
  <si>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</si>
  <si>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</si>
  <si>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</si>
  <si>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</si>
  <si>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</si>
  <si>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</si>
  <si>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</si>
  <si>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</si>
  <si>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</si>
  <si>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</si>
  <si>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</si>
  <si>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</si>
  <si>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</si>
  <si>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</si>
  <si>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</si>
  <si>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</si>
  <si>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</si>
  <si>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</si>
  <si>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</si>
  <si>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</si>
  <si>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</si>
  <si>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</si>
  <si>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</si>
  <si>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</si>
  <si>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</si>
  <si>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</si>
  <si>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</si>
  <si>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</si>
  <si>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</si>
  <si>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</si>
  <si>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</si>
  <si>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</si>
  <si>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</si>
  <si>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</si>
  <si>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</si>
  <si>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</si>
  <si>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</si>
  <si>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</si>
  <si>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</si>
  <si>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</si>
  <si>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</si>
  <si>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</si>
  <si>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</si>
  <si>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</si>
  <si>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</si>
  <si>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</si>
  <si>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</si>
  <si>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</si>
  <si>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</si>
  <si>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</si>
  <si>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</si>
  <si>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</si>
  <si>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</si>
  <si>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</si>
  <si>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</si>
  <si>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</si>
  <si>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</si>
  <si>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</si>
  <si>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</si>
  <si>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</si>
  <si>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</si>
  <si>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</si>
  <si>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</si>
  <si>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</si>
  <si>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</si>
  <si>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</si>
  <si>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</si>
  <si>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</si>
  <si>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</si>
  <si>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</si>
  <si>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</si>
  <si>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</si>
  <si>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</si>
  <si>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</si>
  <si>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</si>
  <si>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</si>
  <si>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</si>
  <si>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</si>
  <si>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</si>
  <si>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</si>
  <si>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</si>
  <si>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</si>
  <si>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</si>
  <si>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</si>
  <si>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</si>
  <si>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</si>
  <si>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</si>
  <si>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</si>
  <si>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</si>
  <si>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</si>
  <si>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</si>
  <si>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</si>
  <si>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</si>
  <si>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</si>
  <si>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</si>
  <si>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</si>
  <si>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</si>
  <si>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</si>
  <si>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</si>
  <si>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</si>
  <si>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</si>
  <si>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</si>
  <si>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</si>
  <si>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</si>
  <si>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</si>
  <si>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</si>
  <si>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</si>
  <si>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</si>
  <si>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</si>
  <si>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</si>
  <si>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</si>
  <si>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</si>
  <si>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</si>
  <si>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</si>
  <si>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</si>
  <si>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</si>
  <si>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</si>
  <si>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</si>
  <si>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</si>
  <si>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</si>
  <si>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</si>
  <si>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</si>
  <si>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</si>
  <si>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</si>
  <si>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</si>
  <si>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</si>
  <si>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</si>
  <si>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</si>
  <si>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</si>
  <si>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</si>
  <si>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</si>
  <si>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</si>
  <si>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</si>
  <si>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</si>
  <si>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</si>
  <si>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</si>
  <si>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</si>
  <si>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</si>
  <si>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</si>
  <si>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</si>
  <si>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</si>
  <si>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</si>
  <si>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</si>
  <si>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</si>
  <si>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</si>
  <si>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</si>
  <si>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</si>
  <si>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</si>
  <si>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</si>
  <si>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</si>
  <si>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</si>
  <si>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</si>
  <si>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</si>
  <si>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</si>
  <si>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</si>
  <si>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</si>
  <si>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</si>
  <si>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</si>
  <si>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</si>
  <si>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</si>
  <si>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</si>
  <si>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</si>
  <si>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</si>
  <si>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</si>
  <si>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</si>
  <si>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</si>
  <si>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</si>
  <si>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</si>
  <si>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</si>
  <si>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</si>
  <si>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</si>
  <si>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</si>
  <si>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</si>
  <si>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</si>
  <si>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</si>
  <si>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</si>
  <si>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</si>
  <si>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</si>
  <si>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</si>
  <si>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</si>
  <si>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</si>
  <si>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</si>
  <si>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</si>
  <si>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</si>
  <si>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</si>
  <si>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</si>
  <si>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</si>
  <si>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</si>
  <si>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</si>
  <si>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</si>
  <si>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</si>
  <si>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</si>
  <si>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</si>
  <si>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</si>
  <si>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</si>
  <si>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</si>
  <si>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</si>
  <si>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</si>
  <si>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</si>
  <si>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</si>
  <si>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</si>
  <si>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</si>
  <si>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</si>
  <si>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</si>
  <si>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</si>
  <si>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</si>
  <si>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</si>
  <si>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</si>
  <si>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</si>
  <si>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</si>
  <si>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</si>
  <si>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</si>
  <si>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</si>
  <si>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</si>
  <si>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</si>
  <si>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</si>
  <si>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</si>
  <si>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</si>
  <si>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</si>
  <si>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</si>
  <si>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</si>
  <si>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</si>
  <si>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</si>
  <si>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</si>
  <si>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</si>
  <si>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</si>
  <si>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</si>
  <si>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</si>
  <si>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</si>
  <si>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</si>
  <si>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</si>
  <si>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</si>
  <si>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</si>
  <si>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</si>
  <si>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</si>
  <si>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</si>
  <si>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</si>
  <si>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</si>
  <si>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</si>
  <si>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</si>
  <si>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</si>
  <si>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</si>
  <si>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</si>
  <si>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</si>
  <si>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</si>
  <si>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</si>
  <si>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</si>
  <si>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</si>
  <si>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</si>
  <si>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</si>
  <si>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</si>
  <si>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</si>
  <si>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</si>
  <si>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</si>
  <si>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</si>
  <si>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</si>
  <si>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</si>
  <si>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</si>
  <si>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</si>
  <si>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</si>
  <si>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</si>
  <si>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</si>
  <si>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</si>
  <si>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</si>
  <si>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</si>
  <si>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</si>
  <si>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</si>
  <si>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</si>
  <si>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</si>
  <si>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</si>
  <si>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</si>
  <si>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</si>
  <si>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</si>
  <si>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</si>
  <si>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</si>
  <si>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</si>
  <si>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</si>
  <si>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</si>
  <si>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</si>
  <si>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</si>
  <si>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</si>
  <si>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</si>
  <si>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</si>
  <si>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</si>
  <si>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</si>
  <si>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</si>
  <si>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</si>
  <si>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</si>
  <si>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</si>
  <si>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</si>
  <si>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</si>
  <si>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</si>
  <si>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</si>
  <si>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</si>
  <si>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</si>
  <si>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</si>
  <si>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</si>
  <si>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</si>
  <si>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</si>
  <si>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</si>
  <si>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</si>
  <si>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</si>
  <si>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</si>
  <si>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</si>
  <si>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</si>
  <si>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</si>
  <si>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</si>
  <si>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</si>
  <si>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</si>
  <si>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</si>
  <si>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</si>
  <si>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</si>
  <si>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</si>
  <si>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</si>
  <si>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</si>
  <si>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</si>
  <si>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</si>
  <si>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</si>
  <si>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</si>
  <si>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</si>
  <si>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</si>
  <si>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</si>
  <si>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</si>
  <si>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</si>
  <si>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</si>
  <si>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</si>
  <si>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</si>
  <si>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</si>
  <si>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</si>
  <si>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</si>
  <si>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</si>
  <si>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</si>
  <si>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</si>
  <si>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</si>
  <si>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</si>
  <si>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</si>
  <si>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</si>
  <si>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</si>
  <si>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</si>
  <si>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</si>
  <si>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</si>
  <si>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</si>
  <si>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</si>
  <si>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</si>
  <si>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</si>
  <si>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</si>
  <si>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</si>
  <si>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</si>
  <si>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</si>
  <si>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</si>
  <si>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</si>
  <si>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</si>
  <si>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</si>
  <si>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</si>
  <si>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</si>
  <si>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</si>
  <si>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</si>
  <si>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</si>
  <si>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</si>
  <si>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</si>
  <si>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</si>
  <si>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</si>
  <si>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</si>
  <si>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</si>
  <si>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</si>
  <si>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</si>
  <si>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</si>
  <si>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</si>
  <si>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</si>
  <si>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</si>
  <si>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</si>
  <si>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</si>
  <si>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</si>
  <si>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</si>
  <si>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</si>
  <si>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</si>
  <si>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</si>
  <si>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</si>
  <si>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</si>
  <si>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</si>
  <si>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</si>
  <si>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</si>
  <si>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</si>
  <si>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</si>
  <si>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</si>
  <si>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</si>
  <si>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</si>
  <si>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</si>
  <si>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</si>
  <si>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</si>
  <si>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</si>
  <si>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</si>
  <si>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</si>
  <si>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</si>
  <si>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</si>
  <si>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</si>
  <si>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</si>
  <si>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</si>
  <si>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</si>
  <si>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</si>
  <si>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</si>
  <si>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</si>
  <si>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</si>
  <si>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</si>
  <si>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</si>
  <si>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</si>
  <si>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</si>
  <si>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</si>
  <si>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</si>
  <si>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</si>
  <si>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</si>
  <si>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</si>
  <si>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</si>
  <si>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</si>
  <si>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</si>
  <si>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</si>
  <si>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</si>
  <si>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</si>
  <si>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</si>
  <si>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</si>
  <si>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</si>
  <si>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</si>
  <si>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</si>
  <si>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</si>
  <si>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</si>
  <si>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</si>
  <si>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</si>
  <si>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</si>
  <si>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</si>
  <si>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</si>
  <si>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</si>
  <si>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</si>
  <si>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</si>
  <si>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</si>
  <si>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</si>
  <si>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</si>
  <si>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</si>
  <si>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</si>
  <si>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</si>
  <si>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</si>
  <si>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</si>
  <si>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</si>
  <si>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</si>
  <si>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</si>
  <si>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</si>
  <si>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</si>
  <si>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</si>
  <si>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</si>
  <si>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</si>
  <si>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</si>
  <si>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</si>
  <si>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</si>
  <si>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</si>
  <si>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</si>
  <si>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</si>
  <si>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</si>
  <si>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</si>
  <si>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</si>
  <si>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</si>
  <si>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</si>
  <si>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</si>
  <si>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</si>
  <si>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</si>
  <si>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</si>
  <si>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</si>
  <si>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</si>
  <si>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</si>
  <si>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</si>
  <si>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</si>
  <si>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</si>
  <si>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</si>
  <si>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</si>
  <si>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</si>
  <si>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</si>
  <si>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</si>
  <si>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</si>
  <si>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</si>
  <si>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</si>
  <si>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</si>
  <si>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</si>
  <si>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</si>
  <si>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</si>
  <si>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</si>
  <si>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</si>
  <si>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</si>
  <si>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</si>
  <si>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</si>
  <si>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</si>
  <si>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</si>
  <si>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</si>
  <si>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</si>
  <si>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</si>
  <si>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</si>
  <si>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</si>
  <si>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</si>
  <si>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</si>
  <si>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</si>
  <si>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</si>
  <si>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</si>
  <si>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</si>
  <si>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</si>
  <si>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</si>
  <si>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</si>
  <si>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</si>
  <si>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</si>
  <si>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</si>
  <si>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</si>
  <si>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</si>
  <si>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</si>
  <si>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</si>
  <si>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</si>
  <si>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</si>
  <si>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</si>
  <si>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</si>
  <si>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</si>
  <si>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</si>
  <si>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</si>
  <si>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</si>
  <si>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</si>
  <si>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</si>
  <si>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</si>
  <si>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</si>
  <si>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</si>
  <si>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</si>
  <si>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</si>
  <si>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</si>
  <si>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</si>
  <si>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</si>
  <si>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</si>
  <si>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</si>
  <si>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</si>
  <si>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</si>
  <si>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</si>
  <si>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</si>
  <si>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</si>
  <si>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</si>
  <si>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</si>
  <si>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</si>
  <si>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</si>
  <si>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</si>
  <si>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</si>
  <si>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</si>
  <si>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</si>
  <si>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</si>
  <si>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</si>
  <si>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</si>
  <si>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</si>
  <si>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</si>
  <si>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</si>
  <si>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</si>
  <si>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</si>
  <si>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</si>
  <si>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</si>
  <si>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</si>
  <si>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</si>
  <si>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</si>
  <si>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</si>
  <si>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</si>
  <si>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</si>
  <si>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</si>
  <si>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</si>
  <si>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</si>
  <si>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</si>
  <si>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</si>
  <si>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</si>
  <si>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</si>
  <si>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</si>
  <si>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</si>
  <si>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</si>
  <si>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</si>
  <si>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</si>
  <si>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</si>
  <si>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</si>
  <si>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</si>
  <si>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</si>
  <si>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</si>
  <si>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</si>
  <si>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</si>
  <si>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</si>
  <si>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</si>
  <si>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</si>
  <si>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</si>
  <si>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</si>
  <si>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</si>
  <si>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</si>
  <si>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</si>
  <si>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</si>
  <si>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</si>
  <si>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</si>
  <si>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</si>
  <si>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</si>
  <si>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</si>
  <si>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</si>
  <si>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</si>
  <si>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</si>
  <si>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</si>
  <si>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</si>
  <si>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</si>
  <si>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</si>
  <si>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</si>
  <si>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</si>
  <si>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</si>
  <si>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</si>
  <si>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</si>
  <si>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</si>
  <si>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</si>
  <si>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</si>
  <si>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</si>
  <si>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</si>
  <si>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</si>
  <si>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</si>
  <si>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</si>
  <si>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</si>
  <si>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</si>
  <si>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</si>
  <si>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</si>
  <si>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</si>
  <si>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</si>
  <si>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</si>
  <si>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</si>
  <si>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</si>
  <si>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</si>
  <si>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</si>
  <si>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</si>
  <si>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</si>
  <si>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</si>
  <si>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</si>
  <si>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</si>
  <si>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</si>
  <si>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</si>
  <si>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</si>
  <si>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</si>
  <si>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</si>
  <si>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</si>
  <si>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</si>
  <si>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</si>
  <si>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</si>
  <si>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</si>
  <si>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</si>
  <si>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</si>
  <si>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</si>
  <si>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</si>
  <si>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</si>
  <si>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</si>
  <si>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</si>
  <si>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</si>
  <si>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</si>
  <si>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</si>
  <si>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</si>
  <si>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</si>
  <si>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</si>
  <si>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</si>
  <si>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</si>
  <si>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</si>
  <si>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</si>
  <si>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</si>
  <si>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</si>
  <si>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</si>
  <si>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</si>
  <si>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</si>
  <si>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</si>
  <si>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</si>
  <si>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</si>
  <si>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</si>
  <si>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</si>
  <si>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</si>
  <si>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</si>
  <si>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</si>
  <si>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</si>
  <si>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</si>
  <si>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</si>
  <si>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</si>
  <si>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</si>
  <si>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</si>
  <si>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</si>
  <si>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</si>
  <si>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</si>
  <si>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</si>
  <si>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</si>
  <si>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</si>
  <si>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</si>
  <si>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</si>
  <si>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</si>
  <si>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</si>
  <si>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</si>
  <si>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</si>
  <si>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</si>
  <si>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</si>
  <si>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</si>
  <si>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</si>
  <si>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</si>
  <si>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</si>
  <si>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</si>
  <si>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</si>
  <si>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</si>
  <si>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</si>
  <si>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</si>
  <si>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</si>
  <si>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</si>
  <si>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</si>
  <si>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</si>
  <si>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</si>
  <si>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</si>
  <si>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</si>
  <si>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</si>
  <si>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</si>
  <si>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</si>
  <si>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</si>
  <si>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</si>
  <si>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</si>
  <si>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</si>
  <si>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</si>
  <si>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</si>
  <si>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</si>
  <si>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</si>
  <si>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</si>
  <si>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</si>
  <si>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</si>
  <si>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</si>
  <si>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</si>
  <si>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</si>
  <si>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</si>
  <si>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</si>
  <si>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</si>
  <si>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</si>
  <si>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</si>
  <si>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</si>
  <si>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</si>
  <si>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</si>
  <si>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</si>
  <si>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</si>
  <si>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</si>
  <si>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</si>
  <si>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</si>
  <si>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</si>
  <si>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</si>
  <si>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</si>
  <si>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</si>
  <si>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</si>
  <si>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</si>
  <si>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</si>
  <si>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</si>
  <si>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</si>
  <si>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</si>
  <si>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</si>
  <si>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</si>
  <si>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</si>
  <si>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</si>
  <si>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</si>
  <si>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</si>
  <si>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</si>
  <si>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</si>
  <si>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</si>
  <si>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</si>
  <si>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</si>
  <si>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</si>
  <si>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</si>
  <si>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</si>
  <si>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</si>
  <si>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</si>
  <si>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</si>
  <si>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</si>
  <si>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</si>
  <si>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</si>
  <si>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</si>
  <si>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</si>
  <si>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</si>
  <si>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</si>
  <si>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</si>
  <si>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</si>
  <si>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</si>
  <si>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</si>
  <si>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</si>
  <si>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</si>
  <si>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</si>
  <si>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</si>
  <si>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</si>
  <si>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</si>
  <si>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</si>
  <si>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</si>
  <si>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</si>
  <si>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</si>
  <si>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</si>
  <si>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</si>
  <si>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</si>
  <si>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</si>
  <si>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</si>
  <si>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</si>
  <si>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</si>
  <si>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</si>
  <si>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</si>
  <si>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</si>
  <si>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</si>
  <si>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</si>
  <si>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</si>
  <si>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</si>
  <si>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</si>
  <si>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</si>
  <si>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</si>
  <si>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</si>
  <si>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</si>
  <si>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</si>
  <si>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</si>
  <si>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</si>
  <si>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</si>
  <si>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</si>
  <si>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</si>
  <si>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</si>
  <si>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</si>
  <si>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</si>
  <si>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</si>
  <si>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</si>
  <si>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</si>
  <si>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</si>
  <si>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</si>
  <si>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</si>
  <si>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</si>
  <si>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</si>
  <si>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</si>
  <si>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</si>
  <si>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</si>
  <si>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</si>
  <si>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</si>
  <si>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</si>
  <si>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</si>
  <si>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</si>
  <si>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</si>
  <si>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</si>
  <si>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</si>
  <si>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</si>
  <si>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</si>
  <si>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</si>
  <si>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</si>
  <si>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</si>
  <si>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</si>
  <si>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</si>
  <si>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</si>
  <si>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</si>
  <si>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</si>
  <si>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</si>
  <si>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</si>
  <si>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</si>
  <si>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</si>
  <si>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</si>
  <si>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</si>
  <si>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</si>
  <si>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</si>
  <si>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</si>
  <si>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</si>
  <si>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</si>
  <si>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</si>
  <si>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</si>
  <si>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</si>
  <si>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</si>
  <si>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</si>
  <si>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</si>
  <si>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</si>
  <si>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</si>
  <si>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</si>
  <si>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</si>
  <si>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</si>
  <si>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</si>
  <si>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</si>
  <si>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</si>
  <si>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</si>
  <si>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</si>
  <si>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</si>
  <si>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</si>
  <si>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</si>
  <si>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</si>
  <si>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</si>
  <si>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</si>
  <si>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</si>
  <si>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</si>
  <si>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</si>
  <si>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</si>
  <si>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</si>
  <si>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</si>
  <si>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</si>
  <si>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</si>
  <si>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</si>
  <si>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</si>
  <si>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</si>
  <si>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</si>
  <si>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</si>
  <si>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</si>
  <si>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</si>
  <si>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</si>
  <si>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</si>
  <si>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</si>
  <si>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</si>
  <si>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</si>
  <si>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</si>
  <si>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</si>
  <si>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</si>
  <si>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</si>
  <si>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</si>
  <si>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</si>
  <si>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</si>
  <si>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</si>
  <si>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</si>
  <si>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</si>
  <si>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</si>
  <si>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</si>
  <si>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</si>
  <si>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</si>
  <si>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</si>
  <si>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</si>
  <si>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</si>
  <si>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</si>
  <si>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</si>
  <si>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</si>
  <si>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</si>
  <si>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</si>
  <si>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</si>
  <si>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</si>
  <si>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</si>
  <si>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</si>
  <si>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</si>
  <si>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</si>
  <si>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</si>
  <si>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</si>
  <si>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</si>
  <si>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</si>
  <si>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</si>
  <si>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</si>
  <si>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</si>
  <si>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</si>
  <si>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</si>
  <si>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</si>
  <si>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</si>
  <si>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</si>
  <si>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</si>
  <si>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</si>
  <si>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</si>
  <si>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</si>
  <si>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</si>
  <si>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</si>
  <si>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</si>
  <si>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</si>
  <si>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</si>
  <si>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</si>
  <si>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</si>
  <si>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</si>
  <si>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</si>
  <si>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</si>
  <si>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</si>
  <si>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</si>
  <si>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</si>
  <si>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</si>
  <si>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</si>
  <si>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</si>
  <si>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</si>
  <si>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</si>
  <si>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</si>
  <si>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</si>
  <si>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</si>
  <si>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</si>
  <si>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</si>
  <si>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</si>
  <si>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</si>
  <si>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</si>
  <si>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</si>
  <si>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</si>
  <si>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</si>
  <si>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</si>
  <si>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</si>
  <si>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</si>
  <si>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</si>
  <si>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</si>
  <si>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</si>
  <si>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</si>
  <si>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</si>
  <si>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</si>
  <si>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</si>
  <si>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</si>
  <si>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</si>
  <si>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</si>
  <si>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</si>
  <si>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</si>
  <si>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</si>
  <si>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</si>
  <si>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</si>
  <si>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</si>
  <si>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</si>
  <si>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</si>
  <si>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</si>
  <si>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</si>
  <si>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</si>
  <si>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</si>
  <si>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</si>
  <si>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</si>
  <si>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</si>
  <si>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</si>
  <si>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</si>
  <si>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</si>
  <si>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</si>
  <si>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</si>
  <si>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</si>
  <si>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</si>
  <si>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</si>
  <si>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</si>
  <si>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</si>
  <si>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</si>
  <si>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</si>
  <si>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</si>
  <si>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</si>
  <si>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</si>
  <si>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</si>
  <si>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</si>
  <si>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</si>
  <si>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</si>
  <si>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</si>
  <si>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</si>
  <si>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</si>
  <si>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</si>
  <si>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</si>
  <si>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</si>
  <si>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</si>
  <si>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</si>
  <si>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</si>
  <si>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</si>
  <si>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</si>
  <si>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</si>
  <si>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</si>
  <si>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</si>
  <si>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</si>
  <si>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</si>
  <si>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</si>
  <si>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</si>
  <si>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</si>
  <si>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</si>
  <si>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</si>
  <si>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</si>
  <si>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</si>
  <si>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</si>
  <si>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</si>
  <si>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</si>
  <si>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</si>
  <si>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</si>
  <si>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</si>
  <si>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</si>
  <si>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</si>
  <si>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</si>
  <si>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</si>
  <si>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</si>
  <si>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</si>
  <si>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</si>
  <si>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</si>
  <si>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</si>
  <si>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</si>
  <si>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</si>
  <si>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</si>
  <si>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</si>
  <si>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</si>
  <si>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</si>
  <si>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</si>
  <si>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</si>
  <si>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</si>
  <si>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</si>
  <si>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</si>
  <si>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</si>
  <si>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</si>
  <si>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</si>
  <si>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</si>
  <si>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</si>
  <si>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</si>
  <si>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</si>
  <si>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</si>
  <si>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</si>
  <si>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</si>
  <si>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</si>
  <si>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</si>
  <si>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</si>
  <si>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</si>
  <si>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</si>
  <si>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</si>
  <si>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</si>
  <si>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</si>
  <si>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</si>
  <si>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</si>
  <si>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</si>
  <si>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</si>
  <si>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</si>
  <si>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</si>
  <si>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</si>
  <si>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</si>
  <si>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</si>
  <si>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</si>
  <si>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</si>
  <si>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</si>
  <si>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</si>
  <si>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</si>
  <si>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</si>
  <si>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</si>
  <si>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</si>
  <si>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</si>
  <si>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</si>
  <si>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</si>
  <si>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</si>
  <si>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</si>
  <si>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</si>
  <si>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</si>
  <si>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</si>
  <si>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</si>
  <si>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</si>
  <si>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</si>
  <si>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</si>
  <si>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</si>
  <si>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</si>
  <si>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</si>
  <si>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</si>
  <si>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</si>
  <si>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</si>
  <si>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</si>
  <si>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</si>
  <si>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</si>
  <si>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</si>
  <si>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</si>
  <si>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</si>
  <si>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</si>
  <si>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</si>
  <si>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</si>
  <si>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</si>
  <si>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</si>
  <si>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</si>
  <si>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</si>
  <si>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</si>
  <si>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</si>
  <si>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</si>
  <si>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</si>
  <si>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</si>
  <si>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</si>
  <si>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</si>
  <si>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</si>
  <si>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</si>
  <si>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</si>
  <si>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</si>
  <si>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</si>
  <si>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</si>
  <si>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</si>
  <si>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</si>
  <si>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</si>
  <si>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</si>
  <si>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</si>
  <si>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</si>
  <si>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</si>
  <si>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</si>
  <si>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</si>
  <si>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</si>
  <si>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</si>
  <si>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</si>
  <si>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</si>
  <si>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</si>
  <si>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</si>
  <si>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</si>
  <si>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</si>
  <si>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</si>
  <si>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</si>
  <si>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</si>
  <si>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</si>
  <si>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</si>
  <si>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</si>
  <si>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</si>
  <si>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</si>
  <si>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</si>
  <si>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</si>
  <si>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</si>
  <si>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</si>
  <si>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</si>
  <si>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</si>
  <si>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</si>
  <si>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</si>
  <si>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</si>
  <si>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</si>
  <si>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</si>
  <si>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</si>
  <si>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</si>
  <si>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</si>
  <si>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</si>
  <si>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</si>
  <si>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</si>
  <si>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</si>
  <si>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</si>
  <si>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</si>
  <si>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</si>
  <si>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</si>
  <si>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</si>
  <si>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</si>
  <si>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</si>
  <si>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</si>
  <si>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</si>
  <si>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</si>
  <si>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</si>
  <si>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</si>
  <si>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</si>
  <si>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</si>
  <si>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</si>
  <si>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</si>
  <si>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</si>
  <si>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</si>
  <si>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</si>
  <si>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</si>
  <si>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</si>
  <si>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</si>
  <si>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</si>
  <si>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</si>
  <si>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</si>
  <si>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</si>
  <si>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</si>
  <si>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</si>
  <si>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</si>
  <si>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</si>
  <si>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</si>
  <si>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</si>
  <si>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</si>
  <si>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</si>
  <si>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</si>
  <si>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</si>
  <si>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</si>
  <si>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</si>
  <si>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</si>
  <si>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</si>
  <si>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</si>
  <si>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</si>
  <si>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</si>
  <si>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</si>
  <si>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</si>
  <si>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</si>
  <si>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</si>
  <si>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</si>
  <si>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</si>
  <si>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</si>
  <si>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</si>
  <si>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</si>
  <si>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</si>
  <si>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</si>
  <si>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</si>
  <si>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</si>
  <si>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</si>
  <si>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</si>
  <si>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</si>
  <si>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</si>
  <si>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</si>
  <si>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</si>
  <si>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</si>
  <si>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</si>
  <si>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</si>
  <si>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</si>
  <si>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</si>
  <si>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</si>
  <si>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</si>
  <si>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</si>
  <si>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</si>
  <si>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</si>
  <si>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</si>
  <si>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</si>
  <si>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</si>
  <si>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</si>
  <si>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</si>
  <si>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</si>
  <si>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</si>
  <si>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</si>
  <si>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</si>
  <si>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</si>
  <si>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</si>
  <si>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</si>
  <si>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</si>
  <si>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</si>
  <si>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</si>
  <si>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</si>
  <si>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</si>
  <si>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</si>
  <si>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</si>
  <si>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</si>
  <si>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</si>
  <si>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</si>
  <si>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</si>
  <si>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</si>
  <si>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</si>
  <si>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</si>
  <si>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</si>
  <si>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</si>
  <si>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</si>
  <si>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</si>
  <si>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</si>
  <si>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</si>
  <si>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</si>
  <si>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</si>
  <si>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</si>
  <si>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</si>
  <si>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</si>
  <si>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</si>
  <si>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</si>
  <si>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</si>
  <si>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</si>
  <si>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</si>
  <si>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</si>
  <si>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</si>
  <si>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</si>
  <si>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</si>
  <si>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</si>
  <si>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</si>
  <si>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</si>
  <si>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</si>
  <si>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</si>
  <si>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</si>
  <si>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</si>
  <si>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</si>
  <si>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</si>
  <si>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</si>
  <si>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</si>
  <si>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</si>
  <si>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</si>
  <si>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</si>
  <si>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</si>
  <si>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</si>
  <si>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</si>
  <si>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</si>
  <si>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</si>
  <si>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</si>
  <si>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</si>
  <si>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</si>
  <si>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</si>
  <si>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</si>
  <si>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</si>
  <si>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</si>
  <si>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</si>
  <si>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</si>
  <si>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</si>
  <si>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</si>
  <si>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</si>
  <si>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</si>
  <si>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</si>
  <si>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</si>
  <si>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</si>
  <si>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</si>
  <si>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</si>
  <si>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</si>
  <si>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</si>
  <si>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</si>
  <si>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</si>
  <si>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</si>
  <si>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</si>
  <si>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</si>
  <si>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</si>
  <si>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</si>
  <si>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</si>
  <si>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</si>
  <si>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</si>
  <si>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</si>
  <si>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</si>
  <si>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</si>
  <si>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</si>
  <si>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</si>
  <si>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</si>
  <si>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</si>
  <si>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</si>
  <si>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</si>
  <si>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</si>
  <si>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</si>
  <si>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</si>
  <si>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</si>
  <si>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</si>
  <si>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</si>
  <si>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</si>
  <si>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</si>
  <si>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</si>
  <si>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</si>
  <si>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</si>
  <si>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</si>
  <si>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</si>
  <si>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</si>
  <si>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</si>
  <si>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</si>
  <si>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</si>
  <si>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</si>
  <si>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</si>
  <si>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</si>
  <si>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</si>
  <si>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</si>
  <si>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</si>
  <si>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</si>
  <si>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</si>
  <si>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</si>
  <si>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</si>
  <si>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</si>
  <si>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</si>
  <si>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</si>
  <si>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</si>
  <si>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</si>
  <si>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</si>
  <si>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</si>
  <si>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</si>
  <si>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</si>
  <si>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</si>
  <si>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</si>
  <si>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</si>
  <si>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</si>
  <si>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</si>
  <si>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</si>
  <si>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</si>
  <si>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</si>
  <si>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</si>
  <si>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</si>
  <si>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</si>
  <si>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</si>
  <si>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</si>
  <si>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</si>
  <si>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</si>
  <si>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</si>
  <si>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</si>
  <si>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</si>
  <si>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</si>
  <si>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</si>
  <si>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</si>
  <si>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</si>
  <si>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</si>
  <si>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</si>
  <si>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</si>
  <si>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</si>
  <si>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</si>
  <si>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</si>
  <si>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</si>
  <si>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</si>
  <si>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</si>
  <si>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</si>
  <si>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</si>
  <si>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</si>
  <si>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</si>
  <si>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</si>
  <si>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</si>
  <si>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</si>
  <si>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</si>
  <si>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</si>
  <si>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</si>
  <si>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</si>
  <si>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</si>
  <si>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</si>
  <si>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</si>
  <si>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</si>
  <si>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</si>
  <si>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</si>
  <si>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</si>
  <si>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</si>
  <si>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</si>
  <si>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</si>
  <si>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</si>
  <si>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</si>
  <si>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</si>
  <si>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</si>
  <si>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</si>
  <si>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</si>
  <si>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</si>
  <si>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</si>
  <si>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</si>
  <si>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</si>
  <si>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</si>
  <si>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</si>
  <si>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</si>
  <si>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</si>
  <si>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</si>
  <si>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</si>
  <si>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</si>
  <si>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</si>
  <si>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</si>
  <si>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</si>
  <si>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</si>
  <si>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</si>
  <si>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</si>
  <si>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</si>
  <si>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</si>
  <si>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</si>
  <si>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</si>
  <si>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</si>
  <si>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</si>
  <si>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</si>
  <si>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</si>
  <si>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</si>
  <si>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</si>
  <si>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</si>
  <si>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</si>
  <si>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</si>
  <si>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</si>
  <si>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</si>
  <si>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</si>
  <si>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</si>
  <si>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</si>
  <si>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</si>
  <si>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</si>
  <si>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</si>
  <si>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</si>
  <si>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</si>
  <si>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</si>
  <si>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</si>
  <si>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</si>
  <si>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</si>
  <si>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</si>
  <si>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</si>
  <si>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</si>
  <si>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</si>
  <si>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</si>
  <si>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</si>
  <si>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</si>
  <si>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</si>
  <si>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</si>
  <si>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</si>
  <si>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</si>
  <si>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</si>
  <si>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</si>
  <si>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</si>
  <si>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</si>
  <si>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</si>
  <si>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</si>
  <si>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</si>
  <si>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</si>
  <si>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</si>
  <si>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</si>
  <si>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</si>
  <si>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</si>
  <si>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</si>
  <si>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</si>
  <si>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</si>
  <si>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</si>
  <si>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</si>
  <si>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</si>
  <si>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</si>
  <si>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</si>
  <si>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</si>
  <si>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</si>
  <si>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</si>
  <si>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</si>
  <si>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</si>
  <si>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</si>
  <si>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</si>
  <si>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</si>
  <si>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</si>
  <si>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</si>
  <si>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</si>
  <si>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</si>
  <si>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</si>
  <si>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</si>
  <si>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</si>
  <si>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</si>
  <si>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</si>
  <si>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</si>
  <si>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</si>
  <si>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</si>
  <si>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</si>
  <si>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</si>
  <si>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</si>
  <si>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</si>
  <si>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</si>
  <si>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</si>
  <si>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</si>
  <si>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</si>
  <si>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</si>
  <si>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</si>
  <si>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</si>
  <si>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</si>
  <si>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</si>
  <si>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</si>
  <si>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</si>
  <si>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</si>
  <si>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</si>
  <si>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</si>
  <si>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</si>
  <si>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</si>
  <si>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</si>
  <si>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</si>
  <si>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</si>
  <si>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</si>
  <si>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</si>
  <si>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</si>
  <si>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</si>
  <si>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</si>
  <si>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</si>
  <si>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</si>
  <si>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</si>
  <si>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</si>
  <si>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</si>
  <si>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</si>
  <si>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</si>
  <si>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</si>
  <si>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</si>
  <si>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</si>
  <si>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</si>
  <si>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</si>
  <si>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</si>
  <si>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</si>
  <si>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</si>
  <si>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</si>
  <si>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</si>
  <si>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</si>
  <si>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</si>
  <si>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</si>
  <si>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</si>
  <si>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</si>
  <si>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</si>
  <si>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</si>
  <si>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</si>
  <si>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</si>
  <si>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</si>
  <si>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</si>
  <si>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</si>
  <si>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</si>
  <si>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</si>
  <si>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</si>
  <si>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</si>
  <si>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</si>
  <si>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</si>
  <si>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</si>
  <si>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</si>
  <si>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</si>
  <si>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</si>
  <si>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</si>
  <si>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</si>
  <si>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</si>
  <si>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</si>
  <si>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</si>
  <si>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</si>
  <si>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</si>
  <si>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</si>
  <si>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</si>
  <si>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</si>
  <si>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</si>
  <si>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</si>
  <si>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</si>
  <si>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</si>
  <si>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</si>
  <si>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</si>
  <si>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</si>
  <si>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</si>
  <si>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</si>
  <si>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</si>
  <si>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</si>
  <si>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</si>
  <si>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</si>
  <si>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</si>
  <si>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</si>
  <si>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</si>
  <si>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</si>
  <si>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</si>
  <si>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</si>
  <si>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</si>
  <si>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</si>
  <si>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</si>
  <si>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</si>
  <si>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</si>
  <si>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</si>
  <si>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</si>
  <si>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</si>
  <si>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</si>
  <si>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</si>
  <si>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</si>
  <si>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</si>
  <si>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</si>
  <si>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</si>
  <si>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</si>
  <si>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</si>
  <si>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</si>
  <si>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</si>
  <si>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</si>
  <si>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</si>
  <si>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</si>
  <si>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</si>
  <si>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</si>
  <si>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</si>
  <si>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</si>
  <si>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</si>
  <si>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</si>
  <si>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</si>
  <si>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</si>
  <si>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</si>
  <si>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</si>
  <si>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</si>
  <si>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</si>
  <si>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</si>
  <si>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</si>
  <si>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</si>
  <si>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</si>
  <si>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</si>
  <si>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</si>
  <si>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</si>
  <si>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</si>
  <si>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</si>
  <si>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</si>
  <si>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</si>
  <si>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</si>
  <si>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</si>
  <si>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</si>
  <si>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</si>
  <si>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</si>
  <si>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</si>
  <si>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</si>
  <si>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</si>
  <si>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</si>
  <si>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</si>
  <si>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</si>
  <si>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</si>
  <si>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</si>
  <si>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</si>
  <si>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</si>
  <si>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</si>
  <si>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</si>
  <si>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</si>
  <si>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</si>
  <si>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</si>
  <si>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</si>
  <si>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</si>
  <si>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</si>
  <si>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</si>
  <si>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</si>
  <si>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</si>
  <si>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</si>
  <si>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</si>
  <si>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</si>
  <si>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</si>
  <si>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</si>
  <si>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</si>
  <si>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</si>
  <si>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</si>
  <si>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</si>
  <si>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</si>
  <si>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</si>
  <si>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</si>
  <si>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</si>
  <si>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</si>
  <si>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</si>
  <si>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</si>
  <si>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</si>
  <si>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</si>
  <si>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</si>
  <si>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</si>
  <si>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</si>
  <si>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</si>
  <si>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</si>
  <si>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</si>
  <si>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</si>
  <si>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</si>
  <si>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</si>
  <si>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</si>
  <si>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</si>
  <si>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</si>
  <si>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</si>
  <si>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</si>
  <si>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</si>
  <si>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</si>
  <si>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</si>
  <si>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</si>
  <si>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</si>
  <si>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</si>
  <si>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</si>
  <si>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</si>
  <si>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</si>
  <si>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</si>
  <si>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</si>
  <si>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</si>
  <si>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</si>
  <si>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</si>
  <si>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</si>
  <si>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</si>
  <si>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</si>
  <si>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</si>
  <si>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</si>
  <si>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</si>
  <si>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</si>
  <si>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</si>
  <si>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</si>
  <si>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</si>
  <si>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</si>
  <si>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</si>
  <si>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</si>
  <si>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</si>
  <si>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</si>
  <si>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</si>
  <si>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</si>
  <si>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</si>
  <si>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</si>
  <si>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</si>
  <si>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</si>
  <si>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</si>
  <si>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</si>
  <si>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</si>
  <si>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</si>
  <si>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</si>
  <si>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</si>
  <si>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</si>
  <si>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</si>
  <si>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</si>
  <si>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</si>
  <si>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</si>
  <si>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</si>
  <si>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</si>
  <si>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</si>
  <si>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</si>
  <si>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</si>
  <si>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</si>
  <si>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</si>
  <si>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</si>
  <si>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</si>
  <si>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</si>
  <si>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</si>
  <si>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</si>
  <si>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</si>
  <si>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</si>
  <si>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</si>
  <si>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</si>
  <si>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</si>
  <si>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</si>
  <si>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</si>
  <si>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</si>
  <si>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</si>
  <si>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</si>
  <si>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</si>
  <si>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</si>
  <si>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</si>
  <si>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</si>
  <si>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</si>
  <si>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</si>
  <si>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</si>
  <si>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</si>
  <si>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</si>
  <si>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</si>
  <si>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</si>
  <si>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</si>
  <si>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</si>
  <si>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</si>
  <si>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</si>
  <si>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</si>
  <si>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</si>
  <si>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</si>
  <si>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</si>
  <si>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</si>
  <si>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</si>
  <si>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</si>
  <si>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</si>
  <si>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</si>
  <si>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</si>
  <si>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</si>
  <si>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</si>
  <si>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</si>
  <si>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</si>
  <si>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</si>
  <si>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</si>
  <si>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</si>
  <si>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</si>
  <si>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</si>
  <si>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</si>
  <si>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</si>
  <si>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</si>
  <si>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</si>
  <si>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</si>
  <si>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</si>
  <si>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</si>
  <si>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</si>
  <si>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</si>
  <si>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</si>
  <si>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</si>
  <si>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</si>
  <si>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</si>
  <si>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</si>
  <si>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</si>
  <si>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</si>
  <si>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</si>
  <si>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</si>
  <si>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</si>
  <si>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</si>
  <si>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</si>
  <si>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</si>
  <si>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</si>
  <si>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</si>
  <si>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</si>
  <si>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</si>
  <si>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</si>
  <si>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</si>
  <si>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</si>
  <si>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</si>
  <si>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</si>
  <si>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</si>
  <si>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</si>
  <si>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</si>
  <si>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</si>
  <si>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</si>
  <si>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</si>
  <si>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</si>
  <si>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</si>
  <si>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</si>
  <si>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</si>
  <si>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</si>
  <si>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</si>
  <si>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</si>
  <si>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</si>
  <si>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</si>
  <si>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</si>
  <si>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</si>
  <si>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</si>
  <si>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</si>
  <si>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</si>
  <si>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</si>
  <si>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</si>
  <si>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</si>
  <si>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</si>
  <si>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</si>
  <si>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</si>
  <si>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</si>
  <si>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</si>
  <si>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</si>
  <si>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</si>
  <si>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</si>
  <si>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</si>
  <si>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</si>
  <si>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</si>
  <si>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</si>
  <si>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</si>
  <si>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</si>
  <si>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</si>
  <si>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</si>
  <si>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</si>
  <si>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</si>
  <si>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</si>
  <si>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</si>
  <si>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</si>
  <si>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</si>
  <si>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</si>
  <si>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</si>
  <si>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</si>
  <si>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</si>
  <si>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</si>
  <si>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</si>
  <si>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</si>
  <si>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</si>
  <si>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</si>
  <si>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</si>
  <si>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</si>
  <si>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</si>
  <si>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</si>
  <si>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</si>
  <si>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</si>
  <si>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</si>
  <si>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</si>
  <si>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</si>
  <si>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</si>
  <si>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</si>
  <si>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</si>
  <si>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</si>
  <si>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</si>
  <si>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</si>
  <si>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</si>
  <si>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</si>
  <si>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</si>
  <si>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</si>
  <si>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</si>
  <si>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</si>
  <si>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</si>
  <si>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</si>
  <si>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</si>
  <si>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</si>
  <si>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</si>
  <si>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</si>
  <si>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</si>
  <si>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</si>
  <si>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</si>
  <si>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</si>
  <si>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</si>
  <si>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</si>
  <si>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</si>
  <si>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</si>
  <si>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</si>
  <si>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</si>
  <si>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</si>
  <si>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</si>
  <si>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</si>
  <si>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</si>
  <si>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</si>
  <si>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</si>
  <si>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</si>
  <si>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</si>
  <si>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</si>
  <si>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</si>
  <si>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</si>
  <si>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</si>
  <si>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</si>
  <si>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</si>
  <si>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</si>
  <si>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</si>
  <si>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</si>
  <si>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</si>
  <si>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</si>
  <si>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</si>
  <si>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</si>
  <si>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</si>
  <si>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</si>
  <si>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</si>
  <si>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</si>
  <si>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</si>
  <si>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</si>
  <si>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</si>
  <si>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</si>
  <si>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</si>
  <si>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</si>
  <si>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</si>
  <si>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</si>
  <si>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</si>
  <si>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</si>
  <si>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</si>
  <si>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</si>
  <si>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</si>
  <si>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</si>
  <si>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</si>
  <si>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</si>
  <si>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</si>
  <si>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</si>
  <si>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</si>
  <si>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</si>
  <si>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</si>
  <si>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</si>
  <si>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</si>
  <si>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</si>
  <si>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</si>
  <si>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</si>
  <si>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</si>
  <si>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</si>
  <si>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</si>
  <si>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</si>
  <si>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</si>
  <si>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</si>
  <si>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</si>
  <si>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</si>
  <si>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</si>
  <si>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</si>
  <si>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</si>
  <si>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</si>
  <si>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</si>
  <si>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</si>
  <si>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</si>
  <si>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</si>
  <si>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</si>
  <si>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</si>
  <si>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</si>
  <si>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</si>
  <si>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</si>
  <si>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</si>
  <si>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</si>
  <si>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</si>
  <si>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</si>
  <si>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</si>
  <si>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</si>
  <si>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</si>
  <si>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</si>
  <si>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</si>
  <si>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</si>
  <si>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</si>
  <si>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</si>
  <si>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</si>
  <si>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</si>
  <si>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</si>
  <si>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</si>
  <si>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</si>
  <si>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</si>
  <si>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</si>
  <si>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</si>
  <si>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</si>
  <si>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</si>
  <si>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</si>
  <si>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</si>
  <si>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</si>
  <si>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</si>
  <si>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</si>
  <si>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</si>
  <si>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</si>
  <si>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</si>
  <si>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</si>
  <si>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</si>
  <si>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</si>
  <si>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</si>
  <si>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</si>
  <si>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</si>
  <si>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</si>
  <si>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</si>
  <si>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</si>
  <si>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</si>
  <si>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</si>
  <si>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</si>
  <si>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</si>
  <si>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</si>
  <si>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</si>
  <si>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</si>
  <si>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</si>
  <si>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</si>
  <si>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</si>
  <si>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</si>
  <si>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</si>
  <si>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</si>
  <si>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</si>
  <si>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</si>
  <si>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</si>
  <si>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</si>
  <si>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</si>
  <si>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</si>
  <si>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</si>
  <si>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</si>
  <si>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</si>
  <si>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</si>
  <si>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</si>
  <si>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</si>
  <si>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</si>
  <si>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</si>
  <si>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</si>
  <si>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</si>
  <si>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</si>
  <si>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</si>
  <si>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</si>
  <si>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</si>
  <si>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</si>
  <si>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</si>
  <si>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</si>
  <si>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</si>
  <si>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</si>
  <si>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</si>
  <si>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</si>
  <si>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</si>
  <si>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</si>
  <si>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</si>
  <si>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</si>
  <si>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</si>
  <si>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</si>
  <si>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</si>
  <si>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</si>
  <si>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</si>
  <si>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</si>
  <si>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</si>
  <si>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</si>
  <si>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</si>
  <si>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</si>
  <si>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</si>
  <si>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</si>
  <si>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</si>
  <si>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</si>
  <si>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</si>
  <si>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</si>
  <si>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</si>
  <si>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</si>
  <si>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</si>
  <si>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</si>
  <si>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</si>
  <si>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</si>
  <si>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</si>
  <si>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</si>
  <si>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</si>
  <si>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</si>
  <si>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</si>
  <si>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</si>
  <si>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</si>
  <si>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</si>
  <si>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</si>
  <si>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</si>
  <si>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</si>
  <si>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</si>
  <si>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</si>
  <si>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</si>
  <si>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</si>
  <si>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</si>
  <si>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</si>
  <si>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</si>
  <si>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</si>
  <si>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</si>
  <si>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</si>
  <si>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</si>
  <si>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</si>
  <si>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</si>
  <si>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</si>
  <si>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</si>
  <si>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</si>
  <si>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</si>
  <si>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</si>
  <si>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</si>
  <si>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</si>
  <si>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</si>
  <si>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</si>
  <si>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</si>
  <si>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</si>
  <si>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</si>
  <si>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</si>
  <si>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</si>
  <si>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</si>
  <si>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</si>
  <si>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</si>
  <si>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</si>
  <si>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</si>
  <si>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</si>
  <si>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</si>
  <si>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</si>
  <si>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</si>
  <si>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</si>
  <si>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</si>
  <si>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</si>
  <si>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</si>
  <si>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</si>
  <si>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</si>
  <si>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</si>
  <si>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</si>
  <si>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</si>
  <si>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</si>
  <si>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</si>
  <si>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</si>
  <si>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</si>
  <si>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</si>
  <si>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</si>
  <si>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</si>
  <si>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</si>
  <si>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</si>
  <si>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</si>
  <si>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</si>
  <si>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</si>
  <si>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</si>
  <si>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</si>
  <si>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</si>
  <si>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</si>
  <si>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</si>
  <si>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</si>
  <si>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</si>
  <si>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</si>
  <si>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</si>
  <si>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</si>
  <si>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</si>
  <si>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</si>
  <si>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</si>
  <si>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</si>
  <si>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</si>
  <si>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</si>
  <si>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</si>
  <si>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</si>
  <si>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</si>
  <si>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</si>
  <si>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</si>
  <si>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</si>
  <si>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</si>
  <si>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</si>
  <si>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</si>
  <si>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</si>
  <si>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</si>
  <si>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</si>
  <si>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</si>
  <si>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</si>
  <si>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</si>
  <si>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</si>
  <si>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</si>
  <si>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</si>
  <si>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</si>
  <si>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</si>
  <si>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</si>
  <si>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</si>
  <si>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</si>
  <si>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</si>
  <si>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</si>
  <si>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</si>
  <si>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</si>
  <si>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</si>
  <si>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</si>
  <si>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</si>
  <si>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</si>
  <si>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</si>
  <si>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</si>
  <si>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</si>
  <si>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</si>
  <si>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</si>
  <si>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</si>
  <si>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</si>
  <si>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</si>
  <si>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</si>
  <si>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</si>
  <si>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</si>
  <si>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</si>
  <si>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</si>
  <si>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</si>
  <si>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</si>
  <si>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</si>
  <si>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</si>
  <si>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</si>
  <si>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</si>
  <si>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</si>
  <si>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</si>
  <si>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</si>
  <si>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</si>
  <si>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</si>
  <si>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</si>
  <si>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</si>
  <si>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</si>
  <si>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</si>
  <si>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</si>
  <si>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</si>
  <si>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</si>
  <si>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</si>
  <si>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</si>
  <si>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</si>
  <si>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</si>
  <si>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</si>
  <si>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</si>
  <si>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</si>
  <si>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</si>
  <si>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</si>
  <si>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</si>
  <si>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</si>
  <si>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</si>
  <si>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</si>
  <si>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</si>
  <si>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</si>
  <si>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</si>
  <si>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</si>
  <si>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</si>
  <si>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</si>
  <si>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</si>
  <si>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</si>
  <si>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</si>
  <si>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</si>
  <si>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</si>
  <si>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</si>
  <si>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</si>
  <si>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</si>
  <si>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</si>
  <si>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</si>
  <si>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</si>
  <si>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</si>
  <si>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</si>
  <si>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</si>
  <si>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</si>
  <si>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</si>
  <si>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</si>
  <si>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</si>
  <si>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</si>
  <si>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</si>
  <si>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</si>
  <si>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</si>
  <si>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</si>
  <si>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</si>
  <si>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</si>
  <si>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</si>
  <si>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</si>
  <si>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</si>
  <si>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</si>
  <si>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</si>
  <si>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</si>
  <si>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</si>
  <si>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</si>
  <si>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</si>
  <si>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</si>
  <si>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</si>
  <si>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</si>
  <si>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</si>
  <si>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</si>
  <si>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</si>
  <si>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</si>
  <si>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</si>
  <si>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</si>
  <si>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</si>
  <si>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</si>
  <si>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</si>
  <si>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</si>
  <si>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</si>
  <si>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</si>
  <si>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</si>
  <si>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</si>
  <si>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</si>
  <si>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</si>
  <si>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</si>
  <si>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</si>
  <si>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</si>
  <si>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</si>
  <si>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</si>
  <si>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</si>
  <si>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</si>
  <si>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</si>
  <si>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</si>
  <si>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</si>
  <si>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</si>
  <si>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</si>
  <si>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</si>
  <si>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</si>
  <si>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</si>
  <si>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</si>
  <si>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</si>
  <si>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</si>
  <si>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</si>
  <si>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</si>
  <si>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</si>
  <si>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</si>
  <si>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</si>
  <si>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</si>
  <si>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</si>
  <si>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</si>
  <si>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</si>
  <si>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</si>
  <si>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</si>
  <si>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</si>
  <si>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</si>
  <si>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</si>
  <si>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</si>
  <si>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</si>
  <si>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</si>
  <si>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</si>
  <si>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</si>
  <si>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</si>
  <si>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</si>
  <si>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</si>
  <si>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</si>
  <si>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</si>
  <si>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</si>
  <si>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</si>
  <si>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</si>
  <si>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</si>
  <si>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</si>
  <si>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</si>
  <si>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</si>
  <si>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</si>
  <si>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</si>
  <si>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</si>
  <si>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</si>
  <si>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</si>
  <si>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</si>
  <si>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</si>
  <si>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</si>
  <si>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</si>
  <si>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</si>
  <si>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</si>
  <si>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</si>
  <si>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</si>
  <si>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</si>
  <si>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</si>
  <si>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</si>
  <si>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</si>
  <si>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</si>
  <si>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</si>
  <si>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</si>
  <si>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</si>
  <si>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</si>
  <si>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</si>
  <si>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</si>
  <si>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</si>
  <si>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</si>
  <si>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</si>
  <si>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</si>
  <si>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</si>
  <si>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</si>
  <si>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</si>
  <si>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</si>
  <si>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</si>
  <si>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</si>
  <si>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</si>
  <si>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</si>
  <si>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</si>
  <si>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</si>
  <si>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</si>
  <si>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</si>
  <si>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</si>
  <si>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</si>
  <si>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</si>
  <si>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</si>
  <si>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</si>
  <si>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</si>
  <si>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</si>
  <si>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</si>
  <si>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</si>
  <si>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</si>
  <si>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</si>
  <si>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</si>
  <si>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</si>
  <si>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</si>
  <si>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</si>
  <si>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</si>
  <si>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</si>
  <si>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</si>
  <si>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</si>
  <si>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</si>
  <si>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</si>
  <si>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</si>
  <si>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</si>
  <si>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</si>
  <si>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</si>
  <si>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</si>
  <si>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</si>
  <si>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</si>
  <si>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</si>
  <si>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</si>
  <si>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</si>
  <si>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</si>
  <si>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</si>
  <si>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</si>
  <si>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</si>
  <si>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</si>
  <si>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</si>
  <si>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</si>
  <si>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</si>
  <si>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</si>
  <si>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</si>
  <si>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</si>
  <si>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</si>
  <si>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</si>
  <si>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</si>
  <si>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</si>
  <si>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</si>
  <si>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</si>
  <si>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</si>
  <si>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</si>
  <si>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</si>
  <si>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</si>
  <si>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</si>
  <si>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</si>
  <si>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</si>
  <si>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</si>
  <si>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</si>
  <si>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</si>
  <si>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</si>
  <si>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</si>
  <si>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</si>
  <si>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</si>
  <si>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</si>
  <si>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</si>
  <si>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</si>
  <si>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</si>
  <si>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</si>
  <si>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</si>
  <si>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</si>
  <si>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</si>
  <si>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</si>
  <si>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</si>
  <si>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</si>
  <si>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</si>
  <si>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</si>
  <si>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</si>
  <si>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</si>
  <si>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</si>
  <si>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</si>
  <si>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</si>
  <si>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</si>
  <si>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</si>
  <si>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</si>
  <si>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</si>
  <si>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</si>
  <si>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</si>
  <si>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</si>
  <si>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</si>
  <si>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</si>
  <si>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</si>
  <si>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</si>
  <si>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</si>
  <si>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</si>
  <si>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</si>
  <si>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</si>
  <si>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</si>
  <si>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</si>
  <si>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</si>
  <si>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</si>
  <si>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</si>
  <si>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</si>
  <si>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</si>
  <si>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</si>
  <si>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</si>
  <si>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</si>
  <si>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</si>
  <si>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</si>
  <si>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</si>
  <si>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</si>
  <si>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</si>
  <si>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</si>
  <si>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</si>
  <si>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</si>
  <si>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</si>
  <si>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</si>
  <si>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</si>
  <si>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</si>
  <si>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</si>
  <si>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</si>
  <si>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</si>
  <si>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</si>
  <si>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</si>
  <si>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</si>
  <si>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</si>
  <si>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</si>
  <si>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</si>
  <si>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</si>
  <si>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</si>
  <si>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</si>
  <si>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</si>
  <si>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</si>
  <si>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</si>
  <si>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</si>
  <si>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</si>
  <si>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</si>
  <si>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</si>
  <si>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</si>
  <si>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</si>
  <si>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</si>
  <si>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</si>
  <si>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</si>
  <si>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</si>
  <si>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</si>
  <si>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</si>
  <si>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</si>
  <si>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</si>
  <si>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</si>
  <si>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</si>
  <si>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</si>
  <si>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</si>
  <si>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</si>
  <si>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</si>
  <si>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</si>
  <si>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</si>
  <si>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</si>
  <si>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</si>
  <si>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</si>
  <si>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</si>
  <si>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</si>
  <si>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</si>
  <si>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</si>
  <si>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</si>
  <si>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</si>
  <si>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</si>
  <si>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</si>
  <si>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</si>
  <si>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</si>
  <si>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</si>
  <si>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</si>
  <si>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</si>
  <si>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</si>
  <si>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</si>
  <si>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</si>
  <si>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</si>
  <si>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</si>
  <si>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</si>
  <si>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</si>
  <si>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</si>
  <si>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</si>
  <si>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</si>
  <si>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</si>
  <si>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</si>
  <si>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</si>
  <si>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</si>
  <si>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</si>
  <si>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</si>
  <si>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</si>
  <si>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</si>
  <si>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</si>
  <si>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</si>
  <si>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</si>
  <si>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</si>
  <si>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</si>
  <si>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</si>
  <si>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</si>
  <si>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</si>
  <si>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</si>
  <si>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</si>
  <si>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</si>
  <si>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</si>
  <si>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</si>
  <si>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</si>
  <si>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</si>
  <si>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</si>
  <si>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</si>
  <si>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</si>
  <si>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</si>
  <si>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</si>
  <si>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</si>
  <si>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</si>
  <si>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</si>
  <si>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</si>
  <si>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</si>
  <si>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</si>
  <si>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</si>
  <si>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</si>
  <si>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</si>
  <si>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</si>
  <si>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</si>
  <si>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</si>
  <si>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</si>
  <si>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</si>
  <si>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</si>
  <si>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</si>
  <si>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</si>
  <si>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</si>
  <si>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</si>
  <si>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</si>
  <si>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</si>
  <si>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</si>
  <si>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</si>
  <si>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</si>
  <si>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</si>
  <si>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</si>
  <si>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</si>
  <si>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</si>
  <si>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</si>
  <si>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</si>
  <si>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</si>
  <si>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</si>
  <si>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</si>
  <si>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</si>
  <si>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</si>
  <si>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</si>
  <si>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</si>
  <si>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</si>
  <si>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</si>
  <si>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</si>
  <si>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</si>
  <si>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</si>
  <si>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</si>
  <si>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</si>
  <si>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</si>
  <si>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</si>
  <si>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</si>
  <si>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</si>
  <si>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</si>
  <si>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</si>
  <si>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</si>
  <si>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</si>
  <si>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</si>
  <si>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</si>
  <si>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</si>
  <si>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</si>
  <si>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</si>
  <si>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</si>
  <si>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</si>
  <si>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</si>
  <si>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</si>
  <si>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</si>
  <si>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</si>
  <si>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</si>
  <si>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</si>
  <si>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</si>
  <si>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</si>
  <si>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</si>
  <si>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</si>
  <si>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</si>
  <si>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</si>
  <si>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</si>
  <si>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</si>
  <si>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</si>
  <si>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</si>
  <si>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</si>
  <si>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</si>
  <si>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</si>
  <si>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</si>
  <si>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</si>
  <si>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</si>
  <si>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</si>
  <si>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</si>
  <si>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</si>
  <si>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</si>
  <si>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</si>
  <si>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</si>
  <si>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</si>
  <si>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</si>
  <si>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</si>
  <si>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</si>
  <si>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</si>
  <si>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</si>
  <si>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</si>
  <si>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</si>
  <si>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</si>
  <si>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</si>
  <si>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</si>
  <si>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</si>
  <si>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</si>
  <si>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</si>
  <si>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</si>
  <si>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</si>
  <si>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</si>
  <si>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</si>
  <si>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</si>
  <si>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</si>
  <si>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</si>
  <si>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</si>
  <si>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</si>
  <si>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</si>
  <si>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</si>
  <si>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</si>
  <si>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</si>
  <si>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</si>
  <si>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</si>
  <si>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</si>
  <si>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</si>
  <si>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</si>
  <si>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</si>
  <si>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</si>
  <si>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</si>
  <si>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</si>
  <si>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</si>
  <si>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</si>
  <si>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</si>
  <si>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</si>
  <si>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</si>
  <si>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</si>
  <si>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</si>
  <si>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</si>
  <si>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</si>
  <si>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</si>
  <si>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</si>
  <si>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</si>
  <si>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</si>
  <si>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</si>
  <si>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</si>
  <si>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</si>
  <si>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</si>
  <si>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</si>
  <si>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</si>
  <si>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</si>
  <si>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</si>
  <si>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</si>
  <si>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</si>
  <si>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</si>
  <si>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</si>
  <si>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</si>
  <si>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</si>
  <si>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</si>
  <si>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</si>
  <si>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</si>
  <si>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</si>
  <si>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</si>
  <si>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</si>
  <si>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</si>
  <si>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</si>
  <si>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</si>
  <si>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</si>
  <si>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</si>
  <si>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</si>
  <si>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</si>
  <si>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</si>
  <si>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</si>
  <si>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</si>
  <si>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</si>
  <si>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</si>
  <si>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</si>
  <si>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</si>
  <si>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</si>
  <si>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</si>
  <si>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</si>
  <si>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</si>
  <si>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</si>
  <si>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</si>
  <si>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</si>
  <si>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</si>
  <si>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</si>
  <si>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</si>
  <si>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</si>
  <si>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</si>
  <si>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</si>
  <si>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</si>
  <si>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</si>
  <si>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</si>
  <si>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</si>
  <si>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</si>
  <si>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</si>
  <si>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</si>
  <si>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</si>
  <si>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</si>
  <si>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</si>
  <si>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</si>
  <si>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</si>
  <si>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</si>
  <si>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</si>
  <si>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</si>
  <si>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</si>
  <si>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</si>
  <si>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</si>
  <si>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</si>
  <si>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</si>
  <si>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</si>
  <si>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</si>
  <si>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</si>
  <si>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</si>
  <si>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</si>
  <si>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</si>
  <si>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</si>
  <si>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</si>
  <si>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</si>
  <si>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</si>
  <si>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</si>
  <si>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</si>
  <si>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</si>
  <si>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</si>
  <si>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</si>
  <si>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</si>
  <si>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</si>
  <si>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</si>
  <si>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</si>
  <si>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</si>
  <si>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</si>
  <si>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</si>
  <si>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</si>
  <si>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</si>
  <si>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</si>
  <si>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</si>
  <si>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</si>
  <si>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</si>
  <si>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</si>
  <si>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</si>
  <si>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</si>
  <si>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</si>
  <si>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</si>
  <si>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</si>
  <si>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</si>
  <si>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</si>
  <si>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</si>
  <si>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</si>
  <si>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</si>
  <si>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</si>
  <si>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</si>
  <si>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</si>
  <si>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</si>
  <si>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</si>
  <si>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</si>
  <si>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</si>
  <si>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</si>
  <si>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</si>
  <si>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</si>
  <si>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</si>
  <si>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</si>
  <si>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</si>
  <si>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</si>
  <si>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</si>
  <si>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</si>
  <si>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</si>
  <si>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</si>
  <si>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</si>
  <si>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</si>
  <si>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</si>
  <si>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</si>
  <si>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</si>
  <si>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</si>
  <si>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</si>
  <si>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</si>
  <si>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</si>
  <si>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</si>
  <si>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</si>
  <si>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</si>
  <si>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</si>
  <si>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</si>
  <si>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</si>
  <si>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</si>
  <si>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</si>
  <si>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</si>
  <si>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</si>
  <si>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</si>
  <si>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</si>
  <si>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</si>
  <si>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</si>
  <si>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</si>
  <si>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</si>
  <si>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</si>
  <si>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</si>
  <si>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</si>
  <si>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</si>
  <si>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</si>
  <si>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</si>
  <si>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</si>
  <si>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</si>
  <si>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</si>
  <si>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</si>
  <si>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</si>
  <si>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</si>
  <si>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</si>
  <si>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</si>
  <si>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</si>
  <si>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</si>
  <si>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</si>
  <si>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</si>
  <si>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</si>
  <si>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</si>
  <si>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</si>
  <si>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</si>
  <si>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</si>
  <si>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</si>
  <si>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</si>
  <si>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</si>
  <si>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</si>
  <si>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</si>
  <si>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</si>
  <si>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</si>
  <si>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</si>
  <si>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</si>
  <si>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</si>
  <si>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</si>
  <si>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</si>
  <si>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</si>
  <si>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</si>
  <si>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</si>
  <si>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</si>
  <si>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</si>
  <si>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</si>
  <si>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</si>
  <si>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</si>
  <si>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</si>
  <si>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</si>
  <si>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</si>
  <si>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</si>
  <si>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</si>
  <si>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</si>
  <si>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</si>
  <si>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</si>
  <si>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</si>
  <si>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</si>
  <si>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</si>
  <si>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</si>
  <si>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</si>
  <si>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</si>
  <si>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</si>
  <si>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</si>
  <si>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</si>
  <si>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</si>
  <si>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</si>
  <si>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</si>
  <si>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</si>
  <si>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</si>
  <si>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</si>
  <si>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</si>
  <si>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</si>
  <si>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</si>
  <si>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</si>
  <si>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</si>
  <si>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</si>
  <si>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</si>
  <si>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</si>
  <si>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</si>
  <si>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</si>
  <si>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</si>
  <si>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</si>
  <si>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</si>
  <si>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</si>
  <si>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</si>
  <si>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</si>
  <si>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</si>
  <si>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</si>
  <si>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</si>
  <si>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</si>
  <si>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</si>
  <si>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</si>
  <si>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</si>
  <si>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</si>
  <si>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</si>
  <si>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</si>
  <si>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</si>
  <si>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</si>
  <si>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</si>
  <si>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</si>
  <si>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</si>
  <si>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</si>
  <si>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</si>
  <si>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</si>
  <si>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</si>
  <si>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</si>
  <si>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</si>
  <si>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</si>
  <si>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</si>
  <si>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</si>
  <si>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</si>
  <si>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</si>
  <si>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</si>
  <si>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</si>
  <si>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</si>
  <si>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</si>
  <si>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</si>
  <si>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</si>
  <si>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</si>
  <si>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</si>
  <si>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</si>
  <si>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</si>
  <si>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</si>
  <si>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</si>
  <si>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</si>
  <si>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</si>
  <si>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</si>
  <si>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</si>
  <si>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</si>
  <si>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</si>
  <si>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</si>
  <si>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</si>
  <si>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</si>
  <si>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</si>
  <si>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</si>
  <si>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</si>
  <si>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</si>
  <si>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</si>
  <si>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</si>
  <si>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</si>
  <si>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</si>
  <si>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</si>
  <si>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</si>
  <si>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</si>
  <si>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</si>
  <si>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</si>
  <si>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</si>
  <si>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</si>
  <si>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</si>
  <si>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</si>
  <si>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</si>
  <si>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</si>
  <si>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</si>
  <si>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</si>
  <si>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</si>
  <si>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</si>
  <si>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</si>
  <si>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</si>
  <si>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</si>
  <si>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</si>
  <si>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</si>
  <si>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</si>
  <si>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</si>
  <si>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</si>
  <si>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</si>
  <si>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</si>
  <si>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</si>
  <si>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</si>
  <si>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</si>
  <si>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</si>
  <si>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</si>
  <si>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</si>
  <si>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</si>
  <si>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</si>
  <si>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</si>
  <si>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</si>
  <si>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</si>
  <si>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</si>
  <si>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</si>
  <si>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</si>
  <si>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</si>
  <si>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</si>
  <si>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</si>
  <si>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</si>
  <si>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</si>
  <si>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</si>
  <si>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</si>
  <si>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</si>
  <si>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</si>
  <si>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</si>
  <si>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</si>
  <si>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</si>
  <si>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</si>
  <si>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</si>
  <si>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</si>
  <si>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</si>
  <si>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</si>
  <si>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</si>
  <si>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</si>
  <si>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</si>
  <si>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</si>
  <si>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</si>
  <si>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</si>
  <si>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</si>
  <si>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</si>
  <si>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</si>
  <si>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</si>
  <si>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</si>
  <si>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</si>
  <si>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</si>
  <si>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</si>
  <si>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</si>
  <si>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</si>
  <si>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</si>
  <si>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</si>
  <si>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</si>
  <si>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</si>
  <si>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</si>
  <si>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</si>
  <si>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</si>
  <si>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</si>
  <si>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</si>
  <si>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</si>
  <si>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</si>
  <si>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</si>
  <si>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</si>
  <si>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</si>
  <si>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</si>
  <si>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</si>
  <si>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</si>
  <si>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</si>
  <si>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</si>
  <si>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</si>
  <si>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</si>
  <si>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</si>
  <si>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</si>
  <si>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</si>
  <si>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</si>
  <si>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</si>
  <si>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</si>
  <si>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</si>
  <si>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</si>
  <si>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</si>
  <si>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</si>
  <si>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</si>
  <si>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</si>
  <si>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</si>
  <si>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</si>
  <si>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</si>
  <si>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</si>
  <si>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</si>
  <si>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</si>
  <si>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</si>
  <si>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</si>
  <si>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</si>
  <si>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</si>
  <si>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</si>
  <si>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</si>
  <si>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</si>
  <si>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</si>
  <si>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</si>
  <si>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</si>
  <si>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</si>
  <si>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</si>
  <si>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</si>
  <si>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</si>
  <si>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</si>
  <si>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</si>
  <si>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</si>
  <si>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</si>
  <si>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</si>
  <si>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</si>
  <si>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</si>
  <si>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</si>
  <si>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</si>
  <si>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</si>
  <si>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</si>
  <si>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</si>
  <si>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</si>
  <si>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</si>
  <si>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</si>
  <si>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</si>
  <si>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</si>
  <si>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</si>
  <si>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</si>
  <si>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</si>
  <si>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</si>
  <si>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</si>
  <si>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</si>
  <si>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</si>
  <si>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</si>
  <si>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</si>
  <si>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</si>
  <si>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</si>
  <si>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</si>
  <si>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</si>
  <si>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</si>
  <si>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</si>
  <si>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</si>
  <si>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</si>
  <si>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</si>
  <si>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</si>
  <si>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</si>
  <si>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</si>
  <si>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</si>
  <si>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</si>
  <si>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</si>
  <si>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</si>
  <si>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</si>
  <si>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</si>
  <si>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</si>
  <si>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</si>
  <si>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</si>
  <si>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</si>
  <si>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</si>
  <si>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</si>
  <si>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</si>
  <si>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</si>
  <si>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</si>
  <si>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</si>
  <si>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</si>
  <si>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</si>
  <si>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</si>
  <si>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</si>
  <si>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</si>
  <si>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</si>
  <si>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</si>
  <si>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</si>
  <si>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</si>
  <si>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</si>
  <si>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</si>
  <si>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</si>
  <si>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</si>
  <si>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</si>
  <si>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</si>
  <si>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</si>
  <si>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</si>
  <si>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</si>
  <si>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</si>
  <si>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</si>
  <si>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</si>
  <si>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</si>
  <si>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</si>
  <si>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</si>
  <si>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</si>
  <si>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</si>
  <si>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</si>
  <si>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</si>
  <si>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</si>
  <si>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</si>
  <si>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</si>
  <si>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</si>
  <si>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</si>
  <si>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</si>
  <si>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</si>
  <si>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</si>
  <si>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</si>
  <si>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</si>
  <si>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</si>
  <si>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</si>
  <si>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</si>
  <si>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</si>
  <si>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</si>
  <si>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</si>
  <si>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</si>
  <si>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</si>
  <si>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</si>
  <si>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</si>
  <si>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</si>
  <si>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</si>
  <si>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</si>
  <si>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</si>
  <si>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</si>
  <si>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</si>
  <si>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</si>
  <si>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</si>
  <si>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</si>
  <si>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</si>
  <si>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</si>
  <si>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</si>
  <si>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</si>
  <si>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</si>
  <si>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</si>
  <si>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</si>
  <si>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</si>
  <si>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</si>
  <si>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</si>
  <si>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</si>
  <si>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</si>
  <si>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</si>
  <si>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</si>
  <si>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</si>
  <si>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</si>
  <si>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</si>
  <si>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</si>
  <si>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</si>
  <si>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</si>
  <si>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</si>
  <si>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</si>
  <si>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</si>
  <si>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</si>
  <si>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</si>
  <si>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</si>
  <si>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</si>
  <si>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</si>
  <si>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</si>
  <si>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</si>
  <si>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</si>
  <si>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</si>
  <si>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</si>
  <si>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</si>
  <si>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</si>
  <si>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</si>
  <si>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</si>
  <si>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</si>
  <si>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</si>
  <si>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</si>
  <si>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</si>
  <si>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</si>
  <si>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</si>
  <si>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</si>
  <si>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</si>
  <si>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</si>
  <si>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</si>
  <si>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</si>
  <si>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</si>
  <si>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</si>
  <si>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</si>
  <si>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</si>
  <si>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</si>
  <si>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</si>
  <si>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</si>
  <si>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</si>
  <si>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</si>
  <si>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</si>
  <si>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</si>
  <si>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</si>
  <si>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</si>
  <si>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</si>
  <si>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</si>
  <si>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</si>
  <si>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</si>
  <si>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</si>
  <si>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</si>
  <si>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</si>
  <si>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</si>
  <si>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</si>
  <si>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</si>
  <si>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</si>
  <si>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</si>
  <si>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</si>
  <si>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</si>
  <si>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</si>
  <si>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</si>
  <si>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</si>
  <si>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</si>
  <si>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</si>
  <si>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</si>
  <si>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</si>
  <si>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</si>
  <si>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</si>
  <si>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</si>
  <si>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</si>
  <si>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</si>
  <si>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</si>
  <si>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</si>
  <si>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</si>
  <si>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</si>
  <si>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</si>
  <si>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</si>
  <si>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</si>
  <si>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</si>
  <si>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</si>
  <si>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</si>
  <si>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</si>
  <si>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</si>
  <si>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</si>
  <si>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</si>
  <si>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</si>
  <si>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</si>
  <si>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</si>
  <si>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</si>
  <si>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</si>
  <si>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</si>
  <si>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</si>
  <si>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</si>
  <si>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</si>
  <si>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</si>
  <si>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</si>
  <si>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</si>
  <si>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</si>
  <si>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</si>
  <si>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</si>
  <si>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</si>
  <si>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</si>
  <si>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</si>
  <si>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</si>
  <si>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</si>
  <si>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</si>
  <si>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</si>
  <si>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</si>
  <si>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</si>
  <si>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</si>
  <si>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</si>
  <si>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</si>
  <si>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</si>
  <si>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</si>
  <si>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</si>
  <si>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</si>
  <si>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</si>
  <si>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</si>
  <si>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</si>
  <si>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</si>
  <si>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</si>
  <si>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</si>
  <si>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</si>
  <si>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</si>
  <si>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</si>
  <si>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</si>
  <si>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</si>
  <si>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</si>
  <si>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</si>
  <si>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</si>
  <si>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</si>
  <si>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</si>
  <si>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</si>
  <si>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</si>
  <si>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</si>
  <si>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</si>
  <si>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</si>
  <si>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</si>
  <si>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</si>
  <si>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</si>
  <si>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441299#4</t>
  </si>
  <si>
    <t>maquiprocesos</t>
  </si>
  <si>
    <t>2446667#2</t>
  </si>
  <si>
    <t>Industrias Altos Sociedad Anonima Cerrada</t>
  </si>
  <si>
    <t>4294850#1</t>
  </si>
  <si>
    <t>INTEGRA RETAIL</t>
  </si>
  <si>
    <t>4546586#1</t>
  </si>
  <si>
    <t>Kaizen360pe</t>
  </si>
  <si>
    <t>2145417#1</t>
  </si>
  <si>
    <t>Ultramodular</t>
  </si>
  <si>
    <t>878469#1</t>
  </si>
  <si>
    <t>Miranda Arquitectos</t>
  </si>
  <si>
    <t>4615441#1</t>
  </si>
  <si>
    <t>Prodemco</t>
  </si>
  <si>
    <t>1714541#1</t>
  </si>
  <si>
    <t>Thomasjefferson</t>
  </si>
  <si>
    <t>4609791#1</t>
  </si>
  <si>
    <t>Wave Arquitectura</t>
  </si>
  <si>
    <t>610537#1</t>
  </si>
  <si>
    <t>Tecinci</t>
  </si>
  <si>
    <t>1347373#1</t>
  </si>
  <si>
    <t>Bioquimica.cl</t>
  </si>
  <si>
    <t>2392382#1</t>
  </si>
  <si>
    <t>Cobitat</t>
  </si>
  <si>
    <t>3867287#1</t>
  </si>
  <si>
    <t>Gomez Roco</t>
  </si>
  <si>
    <t>1329080#1</t>
  </si>
  <si>
    <t>EXO S.A. - Soluciones Tecnológicas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</si>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</sst>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b41b1d0b-7fa2-4162-a90f-e7e02efb0bf7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m/>
      </sharedItems>
    </cacheField>
    <cacheField name="Country" numFmtId="0">
      <sharedItems containsBlank="1">
        <s v="Mexico"/>
        <s v="Nicaragua"/>
        <s v="Belize"/>
        <s v="Honduras"/>
        <s v="Costa Rica"/>
        <s v="Panama"/>
        <s v="Guatemala"/>
        <m/>
      </sharedItems>
    </cacheField>
    <cacheField name="Investigator" numFmtId="0">
      <sharedItems containsBlank="1">
        <s v="Francisco"/>
        <s v="Maria Celeste"/>
        <s v="Noel"/>
        <s v="Antonel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ountry" axis="axisRow" dataField="1" compact="0" outline="0" multipleItemSelectionAllowed="1" showAll="0" sortType="ascending">
      <items>
        <item x="7"/>
        <item x="2"/>
        <item x="4"/>
        <item x="6"/>
        <item x="3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4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b41b1d0b-7fa2-4162-a90f-e7e02efb0bf7}" id="{527451df-c090-4773-b06b-253073d95178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15</v>
      </c>
      <c r="F19" s="246">
        <f t="shared" ref="F19:F21" si="1">C19-E19</f>
        <v>15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14</v>
      </c>
      <c r="L19" s="33">
        <f t="shared" ref="L19:L23" si="2">I19-K19</f>
        <v>-9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</v>
      </c>
      <c r="F20" s="246">
        <f t="shared" si="1"/>
        <v>13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7</v>
      </c>
      <c r="F21" s="246">
        <f t="shared" si="1"/>
        <v>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6</v>
      </c>
      <c r="L21" s="33">
        <f t="shared" si="2"/>
        <v>14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17</v>
      </c>
      <c r="L22" s="33">
        <f t="shared" si="2"/>
        <v>-2</v>
      </c>
    </row>
    <row r="23" outlineLevel="1">
      <c r="D23" s="10"/>
      <c r="E23" s="37" t="s">
        <v>41</v>
      </c>
      <c r="F23" s="38">
        <f>SUM(F19:F21)</f>
        <v>36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3</v>
      </c>
      <c r="L23" s="33">
        <f t="shared" si="2"/>
        <v>7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16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 t="s">
        <v>22</v>
      </c>
      <c r="F16" s="402" t="s">
        <v>2344</v>
      </c>
      <c r="G16" s="61"/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/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 t="s">
        <v>16</v>
      </c>
      <c r="F20" s="274" t="s">
        <v>2344</v>
      </c>
      <c r="G20" s="61"/>
      <c r="H20" s="269"/>
      <c r="J20" s="382">
        <v>46174.0</v>
      </c>
      <c r="K20" s="273" t="s">
        <v>3745</v>
      </c>
      <c r="L20" s="273" t="s">
        <v>3746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3747</v>
      </c>
      <c r="D21" s="430" t="s">
        <v>3748</v>
      </c>
      <c r="E21" s="431" t="s">
        <v>22</v>
      </c>
      <c r="F21" s="58" t="s">
        <v>12</v>
      </c>
      <c r="G21" s="61"/>
      <c r="H21" s="269"/>
      <c r="J21" s="380">
        <v>46174.0</v>
      </c>
      <c r="K21" s="294" t="s">
        <v>3749</v>
      </c>
      <c r="L21" s="294" t="s">
        <v>3750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3751</v>
      </c>
      <c r="D22" s="477" t="s">
        <v>3752</v>
      </c>
      <c r="E22" s="58" t="s">
        <v>22</v>
      </c>
      <c r="F22" s="58" t="s">
        <v>2349</v>
      </c>
      <c r="G22" s="61"/>
      <c r="H22" s="269"/>
      <c r="J22" s="382">
        <v>46174.0</v>
      </c>
      <c r="K22" s="273" t="s">
        <v>3753</v>
      </c>
      <c r="L22" s="273" t="s">
        <v>3754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3755</v>
      </c>
      <c r="D23" s="405" t="s">
        <v>3756</v>
      </c>
      <c r="E23" s="478" t="s">
        <v>22</v>
      </c>
      <c r="F23" s="58" t="s">
        <v>12</v>
      </c>
      <c r="G23" s="61"/>
      <c r="H23" s="269"/>
      <c r="J23" s="403">
        <v>46175.0</v>
      </c>
      <c r="K23" s="294" t="s">
        <v>3757</v>
      </c>
      <c r="L23" s="294" t="s">
        <v>3758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3759</v>
      </c>
      <c r="D24" s="373" t="s">
        <v>3760</v>
      </c>
      <c r="E24" s="58" t="s">
        <v>32</v>
      </c>
      <c r="F24" s="58" t="s">
        <v>2349</v>
      </c>
      <c r="G24" s="109"/>
      <c r="H24" s="269"/>
      <c r="J24" s="401">
        <v>46175.0</v>
      </c>
      <c r="K24" s="273" t="s">
        <v>3761</v>
      </c>
      <c r="L24" s="273" t="s">
        <v>3762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3763</v>
      </c>
      <c r="D25" s="430" t="s">
        <v>3764</v>
      </c>
      <c r="E25" s="431" t="s">
        <v>32</v>
      </c>
      <c r="F25" s="58" t="s">
        <v>12</v>
      </c>
      <c r="G25" s="61"/>
      <c r="H25" s="269"/>
      <c r="J25" s="403">
        <v>46175.0</v>
      </c>
      <c r="K25" s="294" t="s">
        <v>3765</v>
      </c>
      <c r="L25" s="294" t="s">
        <v>3766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344"/>
      <c r="G26" s="61"/>
      <c r="H26" s="269"/>
      <c r="J26" s="401">
        <v>46175.0</v>
      </c>
      <c r="K26" s="273" t="s">
        <v>3767</v>
      </c>
      <c r="L26" s="273" t="s">
        <v>3768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344"/>
      <c r="G27" s="61"/>
      <c r="H27" s="269"/>
      <c r="J27" s="403">
        <v>46175.0</v>
      </c>
      <c r="K27" s="294" t="s">
        <v>3769</v>
      </c>
      <c r="L27" s="294" t="s">
        <v>3770</v>
      </c>
      <c r="M27" s="391" t="s">
        <v>23</v>
      </c>
      <c r="N27" s="391" t="s">
        <v>2337</v>
      </c>
      <c r="O27" s="61"/>
      <c r="P27" s="269"/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344"/>
      <c r="G28" s="61"/>
      <c r="H28" s="269"/>
      <c r="J28" s="401">
        <v>46175.0</v>
      </c>
      <c r="K28" s="273" t="s">
        <v>3771</v>
      </c>
      <c r="L28" s="273" t="s">
        <v>3772</v>
      </c>
      <c r="M28" s="402" t="s">
        <v>23</v>
      </c>
      <c r="N28" s="402" t="s">
        <v>2337</v>
      </c>
      <c r="O28" s="61"/>
      <c r="P28" s="269"/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344"/>
      <c r="G29" s="61"/>
      <c r="H29" s="269"/>
      <c r="J29" s="403">
        <v>46175.0</v>
      </c>
      <c r="K29" s="294" t="s">
        <v>3773</v>
      </c>
      <c r="L29" s="294" t="s">
        <v>3774</v>
      </c>
      <c r="M29" s="391" t="s">
        <v>23</v>
      </c>
      <c r="N29" s="391" t="s">
        <v>2337</v>
      </c>
      <c r="O29" s="61"/>
      <c r="P29" s="269"/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344"/>
      <c r="G30" s="109"/>
      <c r="H30" s="269"/>
      <c r="J30" s="401">
        <v>46175.0</v>
      </c>
      <c r="K30" s="273" t="s">
        <v>3775</v>
      </c>
      <c r="L30" s="273" t="s">
        <v>3776</v>
      </c>
      <c r="M30" s="402" t="s">
        <v>23</v>
      </c>
      <c r="N30" s="402" t="s">
        <v>2337</v>
      </c>
      <c r="O30" s="61"/>
      <c r="P30" s="269"/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/>
      <c r="C31" s="109"/>
      <c r="D31" s="373"/>
      <c r="E31" s="58"/>
      <c r="F31" s="344"/>
      <c r="G31" s="61"/>
      <c r="H31" s="269"/>
      <c r="J31" s="382">
        <v>46175.0</v>
      </c>
      <c r="K31" s="273" t="s">
        <v>3777</v>
      </c>
      <c r="L31" s="273" t="s">
        <v>3778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/>
      <c r="C32" s="109"/>
      <c r="D32" s="373"/>
      <c r="E32" s="58"/>
      <c r="F32" s="344"/>
      <c r="G32" s="61"/>
      <c r="H32" s="269"/>
      <c r="J32" s="380">
        <v>46175.0</v>
      </c>
      <c r="K32" s="294" t="s">
        <v>3779</v>
      </c>
      <c r="L32" s="294" t="s">
        <v>3780</v>
      </c>
      <c r="M32" s="396" t="s">
        <v>23</v>
      </c>
      <c r="N32" s="391" t="s">
        <v>2338</v>
      </c>
      <c r="O32" s="61"/>
      <c r="P32" s="269"/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344"/>
      <c r="G33" s="109"/>
      <c r="H33" s="269"/>
      <c r="J33" s="382">
        <v>46175.0</v>
      </c>
      <c r="K33" s="273" t="s">
        <v>3781</v>
      </c>
      <c r="L33" s="273" t="s">
        <v>3782</v>
      </c>
      <c r="M33" s="398" t="s">
        <v>23</v>
      </c>
      <c r="N33" s="431" t="s">
        <v>2338</v>
      </c>
      <c r="O33" s="61"/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344"/>
      <c r="G34" s="61"/>
      <c r="H34" s="269"/>
      <c r="J34" s="380">
        <v>46175.0</v>
      </c>
      <c r="K34" s="294" t="s">
        <v>3783</v>
      </c>
      <c r="L34" s="294" t="s">
        <v>3784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344"/>
      <c r="G35" s="61"/>
      <c r="H35" s="269"/>
      <c r="J35" s="382">
        <v>46175.0</v>
      </c>
      <c r="K35" s="273" t="s">
        <v>3785</v>
      </c>
      <c r="L35" s="273" t="s">
        <v>3786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380">
        <v>46175.0</v>
      </c>
      <c r="K36" s="294" t="s">
        <v>3787</v>
      </c>
      <c r="L36" s="294" t="s">
        <v>3788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>
        <v>46175.0</v>
      </c>
      <c r="K37" s="109" t="s">
        <v>3789</v>
      </c>
      <c r="L37" s="109" t="s">
        <v>3790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>
        <v>46175.0</v>
      </c>
      <c r="K38" s="109" t="s">
        <v>3791</v>
      </c>
      <c r="L38" s="109" t="s">
        <v>3792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>
        <v>46175.0</v>
      </c>
      <c r="K39" s="109" t="s">
        <v>3793</v>
      </c>
      <c r="L39" s="109" t="s">
        <v>3794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>
        <v>46175.0</v>
      </c>
      <c r="K40" s="109" t="s">
        <v>3795</v>
      </c>
      <c r="L40" s="109" t="s">
        <v>3796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3797</v>
      </c>
      <c r="L41" s="109" t="s">
        <v>3798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3799</v>
      </c>
      <c r="L42" s="109" t="s">
        <v>3800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3801</v>
      </c>
      <c r="L43" s="109" t="s">
        <v>3802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3803</v>
      </c>
      <c r="L44" s="109" t="s">
        <v>3804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3805</v>
      </c>
      <c r="L45" s="109" t="s">
        <v>3806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2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3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2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/>
      <c r="K52" s="109"/>
      <c r="L52" s="109"/>
      <c r="M52" s="58"/>
      <c r="N52" s="58"/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3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2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270"/>
      <c r="K54" s="109"/>
      <c r="L54" s="297"/>
      <c r="M54" s="58"/>
      <c r="N54" s="58"/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270"/>
      <c r="K55" s="109"/>
      <c r="L55" s="109"/>
      <c r="M55" s="58"/>
      <c r="N55" s="58"/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344"/>
      <c r="V57" s="58"/>
      <c r="W57" s="494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5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