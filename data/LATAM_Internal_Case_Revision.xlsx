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tc={35ca218e-57a5-47b8-aeed-34518bad99e3}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5ca218e-57a5-47b8-aeed-34518bad99e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<sst xmlns="http://schemas.openxmlformats.org/spreadsheetml/2006/main" count="8411" uniqueCount="3738">
  <si>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</si>
  <si>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</si>
  <si>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</si>
  <si>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</si>
  <si>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</si>
  <si>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</si>
  <si>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</si>
  <si>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</si>
  <si>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</si>
  <si>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</si>
  <si>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</si>
  <si>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</si>
  <si>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</si>
  <si>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</si>
  <si>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</si>
  <si>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</si>
  <si>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</si>
  <si>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</si>
  <si>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</si>
  <si>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</si>
  <si>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</si>
  <si>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</si>
  <si>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</si>
  <si>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</si>
  <si>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</si>
  <si>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</si>
  <si>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</si>
  <si>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</si>
  <si>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</si>
  <si>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</si>
  <si>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</si>
  <si>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</si>
  <si>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</si>
  <si>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</si>
  <si>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</si>
  <si>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</si>
  <si>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</si>
  <si>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</si>
  <si>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</si>
  <si>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</si>
  <si>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</si>
  <si>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</si>
  <si>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</si>
  <si>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</si>
  <si>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</si>
  <si>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</si>
  <si>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</si>
  <si>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</si>
  <si>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</si>
  <si>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</si>
  <si>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</si>
  <si>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</si>
  <si>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</si>
  <si>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</si>
  <si>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</si>
  <si>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</si>
  <si>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</si>
  <si>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</si>
  <si>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</si>
  <si>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</si>
  <si>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</si>
  <si>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</si>
  <si>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</si>
  <si>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</si>
  <si>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</si>
  <si>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</si>
  <si>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</si>
  <si>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</si>
  <si>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</si>
  <si>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</si>
  <si>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</si>
  <si>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</si>
  <si>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</si>
  <si>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</si>
  <si>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</si>
  <si>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</si>
  <si>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</si>
  <si>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</si>
  <si>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</si>
  <si>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</si>
  <si>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</si>
  <si>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</si>
  <si>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</si>
  <si>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</si>
  <si>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</si>
  <si>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</si>
  <si>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</si>
  <si>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</si>
  <si>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</si>
  <si>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</si>
  <si>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</si>
  <si>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</si>
  <si>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</si>
  <si>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</si>
  <si>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</si>
  <si>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</si>
  <si>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</si>
  <si>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</si>
  <si>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</si>
  <si>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</si>
  <si>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</si>
  <si>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</si>
  <si>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</si>
  <si>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</si>
  <si>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</si>
  <si>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</si>
  <si>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</si>
  <si>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</si>
  <si>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</si>
  <si>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</si>
  <si>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</si>
  <si>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</si>
  <si>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</si>
  <si>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</si>
  <si>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</si>
  <si>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</si>
  <si>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</si>
  <si>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</si>
  <si>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</si>
  <si>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</si>
  <si>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</si>
  <si>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</si>
  <si>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</si>
  <si>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</si>
  <si>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</si>
  <si>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</si>
  <si>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</si>
  <si>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</si>
  <si>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</si>
  <si>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</si>
  <si>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</si>
  <si>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</si>
  <si>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</si>
  <si>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</si>
  <si>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</si>
  <si>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</si>
  <si>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</si>
  <si>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</si>
  <si>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</si>
  <si>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</si>
  <si>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</si>
  <si>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</si>
  <si>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</si>
  <si>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</si>
  <si>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</si>
  <si>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</si>
  <si>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</si>
  <si>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</si>
  <si>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</si>
  <si>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</si>
  <si>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</si>
  <si>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</si>
  <si>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</si>
  <si>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</si>
  <si>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</si>
  <si>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</si>
  <si>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</si>
  <si>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</si>
  <si>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</si>
  <si>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</si>
  <si>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</si>
  <si>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</si>
  <si>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</si>
  <si>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</si>
  <si>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</si>
  <si>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</si>
  <si>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</si>
  <si>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</si>
  <si>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</si>
  <si>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</si>
  <si>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</si>
  <si>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</si>
  <si>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</si>
  <si>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</si>
  <si>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</si>
  <si>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</si>
  <si>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</si>
  <si>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</si>
  <si>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</si>
  <si>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</si>
  <si>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</si>
  <si>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</si>
  <si>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</si>
  <si>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</si>
  <si>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</si>
  <si>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</si>
  <si>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</si>
  <si>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</si>
  <si>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</si>
  <si>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</si>
  <si>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</si>
  <si>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</si>
  <si>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</si>
  <si>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</si>
  <si>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</si>
  <si>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</si>
  <si>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</si>
  <si>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</si>
  <si>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</si>
  <si>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</si>
  <si>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</si>
  <si>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</si>
  <si>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</si>
  <si>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</si>
  <si>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</si>
  <si>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</si>
  <si>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</si>
  <si>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</si>
  <si>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</si>
  <si>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</si>
  <si>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</si>
  <si>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</si>
  <si>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</si>
  <si>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</si>
  <si>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</si>
  <si>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</si>
  <si>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</si>
  <si>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</si>
  <si>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</si>
  <si>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</si>
  <si>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</si>
  <si>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</si>
  <si>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</si>
  <si>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</si>
  <si>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</si>
  <si>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</si>
  <si>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</si>
  <si>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</si>
  <si>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</si>
  <si>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</si>
  <si>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</si>
  <si>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</si>
  <si>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</si>
  <si>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</si>
  <si>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</si>
  <si>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</si>
  <si>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</si>
  <si>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</si>
  <si>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</si>
  <si>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</si>
  <si>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</si>
  <si>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</si>
  <si>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</si>
  <si>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</si>
  <si>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</si>
  <si>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</si>
  <si>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</si>
  <si>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</si>
  <si>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</si>
  <si>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</si>
  <si>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</si>
  <si>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</si>
  <si>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</si>
  <si>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</si>
  <si>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</si>
  <si>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</si>
  <si>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</si>
  <si>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</si>
  <si>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</si>
  <si>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</si>
  <si>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</si>
  <si>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</si>
  <si>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</si>
  <si>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</si>
  <si>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</si>
  <si>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</si>
  <si>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</si>
  <si>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</si>
  <si>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</si>
  <si>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</si>
  <si>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</si>
  <si>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</si>
  <si>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</si>
  <si>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</si>
  <si>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</si>
  <si>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</si>
  <si>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</si>
  <si>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</si>
  <si>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</si>
  <si>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</si>
  <si>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</si>
  <si>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</si>
  <si>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</si>
  <si>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</si>
  <si>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</si>
  <si>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</si>
  <si>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</si>
  <si>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</si>
  <si>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</si>
  <si>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</si>
  <si>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</si>
  <si>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</si>
  <si>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</si>
  <si>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</si>
  <si>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</si>
  <si>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</si>
  <si>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</si>
  <si>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</si>
  <si>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</si>
  <si>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</si>
  <si>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</si>
  <si>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</si>
  <si>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</si>
  <si>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</si>
  <si>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</si>
  <si>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</si>
  <si>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</si>
  <si>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</si>
  <si>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</si>
  <si>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</si>
  <si>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</si>
  <si>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</si>
  <si>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</si>
  <si>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</si>
  <si>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</si>
  <si>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</si>
  <si>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</si>
  <si>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</si>
  <si>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</si>
  <si>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</si>
  <si>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</si>
  <si>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</si>
  <si>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</si>
  <si>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</si>
  <si>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</si>
  <si>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</si>
  <si>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</si>
  <si>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</si>
  <si>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</si>
  <si>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</si>
  <si>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</si>
  <si>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</si>
  <si>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</si>
  <si>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</si>
  <si>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</si>
  <si>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</si>
  <si>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</si>
  <si>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</si>
  <si>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</si>
  <si>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</si>
  <si>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</si>
  <si>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</si>
  <si>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</si>
  <si>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</si>
  <si>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</si>
  <si>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</si>
  <si>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</si>
  <si>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</si>
  <si>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</si>
  <si>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</si>
  <si>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</si>
  <si>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</si>
  <si>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</si>
  <si>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</si>
  <si>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</si>
  <si>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</si>
  <si>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</si>
  <si>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</si>
  <si>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</si>
  <si>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</si>
  <si>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</si>
  <si>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</si>
  <si>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</si>
  <si>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</si>
  <si>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</si>
  <si>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</si>
  <si>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</si>
  <si>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</si>
  <si>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</si>
  <si>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</si>
  <si>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</si>
  <si>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</si>
  <si>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</si>
  <si>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</si>
  <si>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</si>
  <si>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</si>
  <si>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</si>
  <si>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</si>
  <si>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</si>
  <si>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</si>
  <si>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</si>
  <si>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</si>
  <si>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</si>
  <si>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</si>
  <si>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</si>
  <si>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</si>
  <si>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</si>
  <si>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</si>
  <si>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</si>
  <si>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</si>
  <si>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</si>
  <si>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</si>
  <si>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</si>
  <si>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</si>
  <si>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</si>
  <si>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</si>
  <si>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</si>
  <si>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</si>
  <si>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</si>
  <si>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</si>
  <si>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</si>
  <si>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</si>
  <si>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</si>
  <si>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</si>
  <si>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</si>
  <si>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</si>
  <si>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</si>
  <si>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</si>
  <si>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</si>
  <si>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</si>
  <si>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</si>
  <si>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</si>
  <si>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</si>
  <si>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</si>
  <si>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</si>
  <si>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</si>
  <si>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</si>
  <si>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</si>
  <si>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</si>
  <si>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</si>
  <si>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</si>
  <si>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</si>
  <si>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</si>
  <si>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</si>
  <si>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</si>
  <si>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</si>
  <si>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</si>
  <si>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</si>
  <si>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</si>
  <si>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</si>
  <si>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</si>
  <si>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</si>
  <si>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</si>
  <si>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</si>
  <si>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</si>
  <si>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</si>
  <si>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</si>
  <si>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</si>
  <si>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</si>
  <si>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</si>
  <si>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</si>
  <si>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</si>
  <si>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</si>
  <si>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</si>
  <si>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</si>
  <si>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</si>
  <si>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</si>
  <si>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</si>
  <si>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</si>
  <si>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</si>
  <si>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</si>
  <si>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</si>
  <si>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</si>
  <si>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</si>
  <si>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</si>
  <si>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</si>
  <si>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</si>
  <si>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</si>
  <si>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</si>
  <si>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</si>
  <si>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</si>
  <si>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</si>
  <si>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</si>
  <si>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</si>
  <si>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</si>
  <si>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</si>
  <si>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</si>
  <si>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</si>
  <si>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</si>
  <si>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</si>
  <si>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</si>
  <si>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</si>
  <si>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</si>
  <si>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</si>
  <si>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</si>
  <si>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</si>
  <si>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</si>
  <si>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</si>
  <si>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</si>
  <si>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</si>
  <si>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</si>
  <si>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</si>
  <si>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</si>
  <si>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</si>
  <si>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</si>
  <si>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</si>
  <si>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</si>
  <si>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</si>
  <si>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</si>
  <si>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</si>
  <si>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</si>
  <si>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</si>
  <si>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</si>
  <si>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</si>
  <si>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</si>
  <si>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</si>
  <si>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</si>
  <si>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</si>
  <si>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</si>
  <si>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</si>
  <si>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</si>
  <si>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</si>
  <si>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</si>
  <si>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</si>
  <si>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</si>
  <si>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</si>
  <si>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</si>
  <si>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</si>
  <si>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</si>
  <si>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</si>
  <si>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</si>
  <si>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</si>
  <si>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</si>
  <si>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</si>
  <si>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</si>
  <si>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</si>
  <si>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</si>
  <si>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</si>
  <si>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</si>
  <si>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</si>
  <si>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</si>
  <si>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</si>
  <si>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</si>
  <si>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</si>
  <si>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</si>
  <si>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</si>
  <si>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</si>
  <si>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</si>
  <si>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</si>
  <si>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</si>
  <si>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</si>
  <si>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</si>
  <si>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</si>
  <si>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</si>
  <si>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</si>
  <si>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</si>
  <si>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</si>
  <si>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</si>
  <si>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</si>
  <si>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</si>
  <si>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</si>
  <si>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</si>
  <si>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</si>
  <si>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</si>
  <si>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</si>
  <si>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</si>
  <si>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</si>
  <si>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</si>
  <si>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</si>
  <si>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</si>
  <si>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</si>
  <si>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</si>
  <si>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</si>
  <si>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</si>
  <si>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</si>
  <si>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</si>
  <si>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</si>
  <si>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</si>
  <si>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</si>
  <si>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</si>
  <si>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</si>
  <si>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</si>
  <si>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</si>
  <si>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</si>
  <si>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</si>
  <si>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</si>
  <si>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</si>
  <si>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</si>
  <si>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</si>
  <si>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</si>
  <si>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</si>
  <si>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</si>
  <si>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</si>
  <si>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</si>
  <si>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</si>
  <si>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</si>
  <si>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</si>
  <si>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</si>
  <si>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</si>
  <si>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</si>
  <si>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</si>
  <si>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</si>
  <si>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</si>
  <si>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</si>
  <si>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</si>
  <si>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</si>
  <si>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</si>
  <si>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</si>
  <si>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</si>
  <si>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</si>
  <si>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</si>
  <si>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</si>
  <si>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</si>
  <si>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</si>
  <si>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</si>
  <si>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</si>
  <si>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</si>
  <si>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</si>
  <si>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</si>
  <si>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</si>
  <si>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</si>
  <si>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</si>
  <si>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</si>
  <si>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</si>
  <si>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</si>
  <si>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</si>
  <si>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</si>
  <si>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</si>
  <si>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</si>
  <si>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</si>
  <si>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</si>
  <si>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</si>
  <si>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</si>
  <si>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</si>
  <si>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</si>
  <si>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</si>
  <si>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</si>
  <si>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</si>
  <si>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</si>
  <si>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</si>
  <si>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</si>
  <si>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</si>
  <si>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</si>
  <si>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</si>
  <si>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</si>
  <si>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</si>
  <si>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</si>
  <si>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</si>
  <si>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</si>
  <si>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</si>
  <si>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</si>
  <si>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</si>
  <si>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</si>
  <si>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</si>
  <si>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</si>
  <si>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</si>
  <si>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</si>
  <si>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</si>
  <si>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</si>
  <si>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</si>
  <si>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</si>
  <si>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</si>
  <si>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</si>
  <si>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</si>
  <si>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</si>
  <si>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</si>
  <si>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</si>
  <si>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</si>
  <si>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</si>
  <si>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</si>
  <si>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</si>
  <si>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</si>
  <si>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</si>
  <si>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</si>
  <si>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</si>
  <si>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</si>
  <si>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</si>
  <si>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</si>
  <si>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</si>
  <si>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</si>
  <si>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</si>
  <si>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</si>
  <si>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</si>
  <si>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</si>
  <si>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</si>
  <si>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</si>
  <si>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</si>
  <si>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</si>
  <si>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</si>
  <si>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</si>
  <si>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</si>
  <si>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</si>
  <si>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</si>
  <si>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</si>
  <si>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</si>
  <si>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</si>
  <si>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</si>
  <si>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</si>
  <si>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</si>
  <si>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</si>
  <si>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</si>
  <si>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</si>
  <si>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</si>
  <si>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</si>
  <si>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</si>
  <si>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</si>
  <si>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</si>
  <si>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</si>
  <si>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</si>
  <si>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</si>
  <si>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</si>
  <si>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</si>
  <si>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</si>
  <si>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</si>
  <si>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</si>
  <si>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</si>
  <si>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</si>
  <si>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</si>
  <si>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</si>
  <si>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</si>
  <si>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</si>
  <si>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</si>
  <si>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</si>
  <si>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</si>
  <si>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</si>
  <si>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</si>
  <si>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</si>
  <si>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</si>
  <si>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</si>
  <si>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</si>
  <si>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</si>
  <si>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</si>
  <si>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</si>
  <si>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</si>
  <si>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</si>
  <si>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</si>
  <si>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</si>
  <si>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</si>
  <si>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</si>
  <si>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</si>
  <si>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</si>
  <si>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</si>
  <si>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</si>
  <si>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</si>
  <si>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</si>
  <si>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</si>
  <si>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</si>
  <si>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</si>
  <si>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</si>
  <si>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</si>
  <si>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</si>
  <si>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</si>
  <si>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</si>
  <si>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</si>
  <si>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</si>
  <si>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</si>
  <si>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</si>
  <si>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</si>
  <si>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</si>
  <si>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</si>
  <si>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</si>
  <si>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</si>
  <si>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</si>
  <si>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</si>
  <si>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</si>
  <si>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</si>
  <si>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</si>
  <si>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</si>
  <si>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</si>
  <si>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</si>
  <si>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</si>
  <si>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</si>
  <si>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</si>
  <si>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</si>
  <si>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</si>
  <si>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</si>
  <si>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</si>
  <si>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</si>
  <si>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</si>
  <si>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</si>
  <si>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</si>
  <si>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</si>
  <si>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</si>
  <si>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</si>
  <si>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</si>
  <si>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</si>
  <si>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</si>
  <si>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</si>
  <si>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</si>
  <si>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</si>
  <si>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</si>
  <si>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</si>
  <si>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</si>
  <si>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</si>
  <si>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</si>
  <si>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</si>
  <si>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</si>
  <si>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</si>
  <si>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</si>
  <si>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</si>
  <si>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</si>
  <si>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</si>
  <si>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</si>
  <si>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</si>
  <si>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</si>
  <si>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</si>
  <si>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</si>
  <si>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</si>
  <si>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</si>
  <si>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</si>
  <si>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</si>
  <si>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</si>
  <si>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</si>
  <si>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</si>
  <si>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</si>
  <si>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</si>
  <si>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</si>
  <si>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</si>
  <si>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</si>
  <si>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</si>
  <si>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</si>
  <si>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</si>
  <si>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</si>
  <si>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</si>
  <si>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</si>
  <si>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</si>
  <si>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</si>
  <si>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</si>
  <si>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</si>
  <si>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</si>
  <si>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</si>
  <si>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</si>
  <si>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</si>
  <si>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</si>
  <si>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</si>
  <si>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</si>
  <si>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</si>
  <si>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</si>
  <si>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</si>
  <si>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</si>
  <si>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</si>
  <si>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</si>
  <si>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</si>
  <si>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</si>
  <si>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</si>
  <si>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</si>
  <si>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</si>
  <si>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</si>
  <si>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</si>
  <si>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</si>
  <si>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</si>
  <si>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</si>
  <si>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</si>
  <si>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</si>
  <si>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</si>
  <si>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</si>
  <si>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</si>
  <si>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</si>
  <si>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</si>
  <si>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</si>
  <si>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</si>
  <si>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</si>
  <si>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</si>
  <si>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</si>
  <si>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</si>
  <si>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</si>
  <si>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</si>
  <si>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</si>
  <si>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</si>
  <si>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</si>
  <si>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</si>
  <si>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</si>
  <si>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</si>
  <si>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</si>
  <si>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</si>
  <si>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</si>
  <si>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</si>
  <si>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</si>
  <si>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</si>
  <si>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</si>
  <si>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</si>
  <si>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</si>
  <si>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</si>
  <si>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</si>
  <si>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</si>
  <si>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</si>
  <si>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</si>
  <si>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</si>
  <si>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</si>
  <si>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</si>
  <si>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</si>
  <si>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</si>
  <si>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</si>
  <si>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</si>
  <si>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</si>
  <si>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</si>
  <si>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</si>
  <si>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</si>
  <si>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</si>
  <si>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</si>
  <si>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</si>
  <si>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</si>
  <si>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</si>
  <si>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</si>
  <si>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</si>
  <si>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</si>
  <si>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</si>
  <si>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</si>
  <si>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</si>
  <si>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</si>
  <si>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</si>
  <si>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</si>
  <si>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</si>
  <si>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</si>
  <si>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</si>
  <si>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</si>
  <si>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</si>
  <si>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</si>
  <si>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</si>
  <si>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</si>
  <si>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</si>
  <si>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</si>
  <si>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</si>
  <si>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</si>
  <si>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</si>
  <si>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</si>
  <si>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</si>
  <si>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</si>
  <si>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</si>
  <si>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</si>
  <si>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</si>
  <si>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</si>
  <si>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</si>
  <si>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</si>
  <si>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</si>
  <si>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</si>
  <si>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</si>
  <si>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</si>
  <si>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</si>
  <si>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</si>
  <si>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</si>
  <si>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</si>
  <si>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</si>
  <si>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</si>
  <si>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</si>
  <si>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</si>
  <si>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</si>
  <si>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</si>
  <si>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</si>
  <si>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</si>
  <si>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</si>
  <si>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</si>
  <si>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</si>
  <si>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</si>
  <si>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</si>
  <si>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</si>
  <si>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</si>
  <si>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</si>
  <si>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</si>
  <si>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</si>
  <si>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</si>
  <si>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</si>
  <si>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</si>
  <si>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</si>
  <si>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</si>
  <si>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</si>
  <si>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</si>
  <si>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</si>
  <si>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</si>
  <si>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</si>
  <si>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</si>
  <si>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</si>
  <si>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</si>
  <si>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</si>
  <si>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</si>
  <si>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</si>
  <si>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</si>
  <si>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</si>
  <si>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</si>
  <si>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</si>
  <si>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</si>
  <si>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</si>
  <si>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</si>
  <si>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</si>
  <si>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</si>
  <si>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</si>
  <si>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</si>
  <si>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</si>
  <si>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</si>
  <si>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</si>
  <si>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</si>
  <si>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</si>
  <si>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</si>
  <si>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</si>
  <si>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</si>
  <si>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</si>
  <si>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</si>
  <si>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</si>
  <si>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</si>
  <si>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</si>
  <si>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</si>
  <si>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</si>
  <si>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</si>
  <si>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</si>
  <si>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</si>
  <si>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</si>
  <si>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</si>
  <si>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</si>
  <si>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</si>
  <si>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</si>
  <si>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</si>
  <si>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</si>
  <si>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</si>
  <si>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</si>
  <si>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</si>
  <si>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</si>
  <si>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</si>
  <si>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</si>
  <si>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</si>
  <si>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</si>
  <si>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</si>
  <si>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</si>
  <si>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</si>
  <si>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</si>
  <si>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</si>
  <si>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</si>
  <si>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</si>
  <si>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</si>
  <si>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</si>
  <si>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</si>
  <si>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</si>
  <si>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</si>
  <si>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</si>
  <si>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</si>
  <si>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</si>
  <si>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</si>
  <si>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</si>
  <si>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</si>
  <si>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</si>
  <si>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</si>
  <si>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</si>
  <si>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</si>
  <si>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</si>
  <si>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</si>
  <si>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</si>
  <si>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</si>
  <si>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</si>
  <si>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</si>
  <si>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</si>
  <si>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</si>
  <si>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</si>
  <si>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</si>
  <si>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</si>
  <si>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</si>
  <si>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</si>
  <si>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</si>
  <si>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</si>
  <si>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</si>
  <si>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</si>
  <si>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</si>
  <si>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</si>
  <si>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</si>
  <si>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</si>
  <si>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</si>
  <si>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</si>
  <si>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</si>
  <si>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</si>
  <si>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</si>
  <si>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</si>
  <si>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</si>
  <si>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</si>
  <si>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</si>
  <si>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</si>
  <si>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</si>
  <si>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</si>
  <si>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</si>
  <si>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</si>
  <si>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</si>
  <si>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</si>
  <si>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</si>
  <si>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</si>
  <si>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</si>
  <si>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</si>
  <si>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</si>
  <si>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</si>
  <si>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</si>
  <si>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</si>
  <si>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</si>
  <si>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</si>
  <si>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</si>
  <si>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</si>
  <si>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</si>
  <si>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</si>
  <si>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</si>
  <si>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</si>
  <si>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</si>
  <si>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</si>
  <si>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</si>
  <si>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</si>
  <si>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</si>
  <si>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</si>
  <si>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</si>
  <si>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</si>
  <si>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</si>
  <si>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</si>
  <si>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</si>
  <si>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</si>
  <si>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</si>
  <si>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</si>
  <si>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</si>
  <si>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</si>
  <si>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</si>
  <si>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</si>
  <si>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</si>
  <si>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</si>
  <si>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</si>
  <si>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</si>
  <si>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</si>
  <si>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</si>
  <si>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</si>
  <si>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</si>
  <si>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</si>
  <si>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</si>
  <si>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</si>
  <si>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</si>
  <si>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</si>
  <si>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</si>
  <si>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</si>
  <si>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</si>
  <si>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</si>
  <si>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</si>
  <si>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</si>
  <si>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</si>
  <si>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</si>
  <si>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</si>
  <si>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</si>
  <si>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</si>
  <si>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</si>
  <si>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</si>
  <si>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</si>
  <si>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</si>
  <si>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</si>
  <si>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</si>
  <si>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</si>
  <si>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</si>
  <si>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</si>
  <si>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</si>
  <si>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</si>
  <si>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</si>
  <si>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</si>
  <si>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</si>
  <si>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</si>
  <si>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</si>
  <si>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</si>
  <si>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</si>
  <si>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</si>
  <si>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</si>
  <si>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</si>
  <si>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</si>
  <si>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</si>
  <si>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</si>
  <si>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</si>
  <si>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</si>
  <si>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</si>
  <si>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</si>
  <si>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</si>
  <si>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</si>
  <si>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</si>
  <si>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</si>
  <si>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</si>
  <si>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</si>
  <si>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</si>
  <si>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</si>
  <si>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</si>
  <si>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</si>
  <si>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</si>
  <si>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</si>
  <si>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</si>
  <si>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</si>
  <si>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</si>
  <si>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</si>
  <si>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</si>
  <si>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</si>
  <si>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</si>
  <si>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</si>
  <si>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</si>
  <si>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</si>
  <si>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</si>
  <si>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</si>
  <si>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</si>
  <si>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</si>
  <si>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</si>
  <si>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</si>
  <si>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</si>
  <si>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</si>
  <si>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</si>
  <si>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</si>
  <si>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</si>
  <si>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</si>
  <si>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</si>
  <si>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</si>
  <si>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</si>
  <si>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</si>
  <si>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</si>
  <si>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</si>
  <si>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</si>
  <si>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</si>
  <si>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</si>
  <si>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</si>
  <si>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</si>
  <si>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</si>
  <si>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</si>
  <si>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</si>
  <si>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</si>
  <si>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</si>
  <si>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</si>
  <si>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</si>
  <si>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</si>
  <si>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</si>
  <si>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</si>
  <si>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</si>
  <si>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</si>
  <si>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</si>
  <si>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</si>
  <si>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</si>
  <si>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</si>
  <si>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</si>
  <si>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</si>
  <si>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</si>
  <si>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</si>
  <si>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</si>
  <si>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</si>
  <si>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</si>
  <si>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</si>
  <si>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</si>
  <si>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</si>
  <si>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</si>
  <si>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</si>
  <si>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</si>
  <si>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</si>
  <si>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</si>
  <si>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</si>
  <si>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</si>
  <si>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</si>
  <si>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</si>
  <si>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</si>
  <si>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</si>
  <si>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</si>
  <si>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</si>
  <si>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</si>
  <si>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</si>
  <si>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</si>
  <si>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</si>
  <si>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</si>
  <si>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</si>
  <si>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</si>
  <si>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</si>
  <si>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</si>
  <si>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</si>
  <si>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</si>
  <si>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</si>
  <si>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</si>
  <si>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</si>
  <si>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</si>
  <si>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</si>
  <si>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</si>
  <si>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</si>
  <si>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</si>
  <si>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</si>
  <si>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</si>
  <si>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</si>
  <si>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</si>
  <si>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</si>
  <si>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</si>
  <si>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</si>
  <si>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</si>
  <si>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</si>
  <si>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</si>
  <si>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</si>
  <si>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</si>
  <si>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</si>
  <si>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</si>
  <si>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</si>
  <si>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</si>
  <si>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</si>
  <si>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</si>
  <si>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</si>
  <si>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</si>
  <si>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</si>
  <si>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</si>
  <si>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</si>
  <si>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</si>
  <si>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</si>
  <si>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</si>
  <si>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</si>
  <si>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</si>
  <si>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</si>
  <si>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</si>
  <si>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</si>
  <si>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</si>
  <si>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</si>
  <si>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</si>
  <si>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</si>
  <si>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</si>
  <si>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</si>
  <si>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</si>
  <si>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</si>
  <si>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</si>
  <si>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</si>
  <si>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</si>
  <si>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</si>
  <si>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</si>
  <si>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</si>
  <si>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</si>
  <si>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</si>
  <si>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</si>
  <si>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</si>
  <si>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</si>
  <si>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</si>
  <si>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</si>
  <si>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</si>
  <si>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</si>
  <si>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</si>
  <si>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</si>
  <si>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</si>
  <si>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</si>
  <si>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</si>
  <si>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</si>
  <si>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</si>
  <si>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</si>
  <si>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</si>
  <si>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</si>
  <si>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</si>
  <si>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</si>
  <si>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</si>
  <si>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</si>
  <si>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</si>
  <si>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</si>
  <si>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</si>
  <si>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</si>
  <si>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</si>
  <si>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</si>
  <si>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</si>
  <si>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</si>
  <si>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</si>
  <si>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</si>
  <si>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</si>
  <si>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</si>
  <si>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</si>
  <si>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</si>
  <si>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</si>
  <si>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</si>
  <si>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</si>
  <si>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</si>
  <si>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</si>
  <si>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</si>
  <si>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</si>
  <si>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</si>
  <si>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</si>
  <si>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</si>
  <si>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</si>
  <si>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</si>
  <si>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</si>
  <si>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</si>
  <si>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</si>
  <si>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</si>
  <si>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</si>
  <si>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</si>
  <si>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</si>
  <si>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</si>
  <si>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</si>
  <si>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</si>
  <si>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</si>
  <si>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</si>
  <si>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</si>
  <si>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</si>
  <si>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</si>
  <si>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</si>
  <si>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</si>
  <si>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</si>
  <si>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</si>
  <si>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</si>
  <si>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</si>
  <si>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</si>
  <si>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</si>
  <si>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</si>
  <si>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</si>
  <si>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</si>
  <si>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</si>
  <si>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</si>
  <si>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</si>
  <si>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</si>
  <si>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</si>
  <si>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</si>
  <si>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</si>
  <si>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</si>
  <si>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</si>
  <si>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</si>
  <si>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</si>
  <si>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</si>
  <si>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</si>
  <si>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</si>
  <si>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</si>
  <si>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</si>
  <si>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</si>
  <si>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</si>
  <si>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</si>
  <si>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</si>
  <si>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</si>
  <si>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</si>
  <si>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</si>
  <si>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</si>
  <si>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</si>
  <si>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</si>
  <si>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</si>
  <si>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</si>
  <si>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</si>
  <si>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</si>
  <si>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</si>
  <si>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</si>
  <si>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</si>
  <si>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</si>
  <si>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</si>
  <si>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</si>
  <si>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</si>
  <si>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</si>
  <si>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</si>
  <si>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</si>
  <si>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</si>
  <si>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</si>
  <si>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</si>
  <si>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</si>
  <si>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</si>
  <si>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</si>
  <si>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</si>
  <si>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</si>
  <si>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</si>
  <si>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</si>
  <si>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</si>
  <si>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</si>
  <si>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</si>
  <si>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</si>
  <si>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</si>
  <si>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</si>
  <si>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</si>
  <si>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</si>
  <si>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</si>
  <si>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</si>
  <si>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</si>
  <si>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</si>
  <si>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</si>
  <si>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</si>
  <si>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</si>
  <si>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</si>
  <si>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</si>
  <si>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</si>
  <si>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</si>
  <si>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</si>
  <si>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</si>
  <si>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</si>
  <si>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</si>
  <si>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</si>
  <si>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</si>
  <si>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</si>
  <si>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</si>
  <si>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</si>
  <si>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</si>
  <si>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</si>
  <si>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</si>
  <si>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</si>
  <si>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</si>
  <si>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</si>
  <si>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</si>
  <si>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</si>
  <si>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</si>
  <si>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</si>
  <si>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</si>
  <si>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</si>
  <si>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</si>
  <si>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</si>
  <si>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</si>
  <si>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</si>
  <si>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</si>
  <si>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</si>
  <si>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</si>
  <si>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</si>
  <si>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</si>
  <si>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</si>
  <si>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</si>
  <si>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</si>
  <si>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</si>
  <si>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</si>
  <si>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</si>
  <si>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</si>
  <si>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</si>
  <si>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</si>
  <si>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</si>
  <si>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</si>
  <si>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</si>
  <si>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</si>
  <si>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</si>
  <si>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</si>
  <si>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</si>
  <si>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</si>
  <si>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</si>
  <si>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</si>
  <si>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</si>
  <si>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</si>
  <si>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</si>
  <si>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</si>
  <si>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</si>
  <si>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</si>
  <si>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</si>
  <si>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</si>
  <si>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</si>
  <si>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</si>
  <si>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</si>
  <si>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</si>
  <si>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</si>
  <si>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</si>
  <si>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</si>
  <si>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</si>
  <si>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</si>
  <si>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</si>
  <si>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</si>
  <si>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</si>
  <si>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</si>
  <si>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</si>
  <si>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</si>
  <si>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</si>
  <si>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</si>
  <si>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</si>
  <si>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</si>
  <si>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</si>
  <si>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</si>
  <si>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</si>
  <si>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</si>
  <si>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</si>
  <si>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</si>
  <si>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</si>
  <si>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</si>
  <si>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</si>
  <si>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</si>
  <si>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</si>
  <si>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</si>
  <si>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</si>
  <si>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</si>
  <si>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</si>
  <si>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</si>
  <si>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</si>
  <si>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</si>
  <si>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</si>
  <si>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</si>
  <si>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</si>
  <si>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</si>
  <si>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</si>
  <si>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</si>
  <si>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</si>
  <si>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</si>
  <si>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</si>
  <si>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</si>
  <si>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</si>
  <si>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</si>
  <si>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</si>
  <si>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</si>
  <si>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</si>
  <si>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</si>
  <si>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</si>
  <si>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</si>
  <si>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</si>
  <si>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</si>
  <si>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</si>
  <si>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</si>
  <si>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</si>
  <si>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</si>
  <si>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</si>
  <si>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</si>
  <si>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</si>
  <si>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</si>
  <si>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</si>
  <si>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</si>
  <si>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</si>
  <si>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</si>
  <si>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</si>
  <si>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</si>
  <si>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</si>
  <si>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</si>
  <si>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</si>
  <si>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</si>
  <si>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</si>
  <si>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</si>
  <si>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</si>
  <si>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</si>
  <si>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</si>
  <si>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</si>
  <si>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</si>
  <si>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</si>
  <si>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</si>
  <si>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</si>
  <si>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</si>
  <si>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</si>
  <si>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</si>
  <si>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</si>
  <si>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</si>
  <si>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</si>
  <si>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</si>
  <si>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</si>
  <si>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</si>
  <si>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</si>
  <si>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</si>
  <si>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</si>
  <si>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</si>
  <si>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</si>
  <si>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</si>
  <si>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</si>
  <si>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</si>
  <si>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</si>
  <si>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</si>
  <si>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</si>
  <si>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</si>
  <si>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</si>
  <si>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</si>
  <si>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</si>
  <si>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</si>
  <si>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</si>
  <si>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</si>
  <si>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</si>
  <si>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</si>
  <si>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</si>
  <si>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</si>
  <si>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</si>
  <si>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</si>
  <si>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</si>
  <si>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</si>
  <si>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</si>
  <si>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</si>
  <si>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</si>
  <si>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</si>
  <si>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</si>
  <si>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</si>
  <si>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</si>
  <si>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</si>
  <si>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</si>
  <si>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</si>
  <si>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</si>
  <si>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</si>
  <si>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</si>
  <si>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</si>
  <si>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</si>
  <si>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</si>
  <si>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</si>
  <si>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</si>
  <si>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</si>
  <si>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</si>
  <si>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</si>
  <si>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</si>
  <si>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</si>
  <si>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</si>
  <si>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</si>
  <si>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</si>
  <si>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</si>
  <si>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</si>
  <si>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</si>
  <si>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</si>
  <si>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</si>
  <si>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</si>
  <si>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</si>
  <si>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</si>
  <si>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</si>
  <si>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</si>
  <si>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</si>
  <si>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</si>
  <si>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</si>
  <si>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</si>
  <si>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</si>
  <si>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</si>
  <si>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</si>
  <si>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</si>
  <si>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</si>
  <si>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</si>
  <si>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</si>
  <si>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</si>
  <si>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</si>
  <si>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</si>
  <si>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</si>
  <si>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</si>
  <si>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</si>
  <si>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</si>
  <si>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</si>
  <si>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</si>
  <si>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</si>
  <si>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</si>
  <si>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</si>
  <si>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</si>
  <si>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</si>
  <si>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</si>
  <si>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</si>
  <si>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</si>
  <si>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</si>
  <si>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</si>
  <si>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</si>
  <si>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</si>
  <si>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</si>
  <si>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</si>
  <si>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</si>
  <si>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</si>
  <si>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</si>
  <si>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</si>
  <si>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</si>
  <si>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</si>
  <si>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</si>
  <si>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</si>
  <si>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</si>
  <si>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</si>
  <si>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</si>
  <si>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</si>
  <si>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</si>
  <si>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</si>
  <si>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</si>
  <si>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</si>
  <si>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</si>
  <si>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</si>
  <si>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</si>
  <si>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</si>
  <si>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</si>
  <si>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</si>
  <si>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</si>
  <si>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</si>
  <si>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</si>
  <si>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</si>
  <si>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</si>
  <si>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</si>
  <si>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</si>
  <si>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</si>
  <si>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</si>
  <si>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</si>
  <si>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</si>
  <si>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</si>
  <si>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</si>
  <si>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</si>
  <si>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</si>
  <si>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</si>
  <si>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</si>
  <si>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</si>
  <si>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</si>
  <si>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</si>
  <si>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</si>
  <si>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</si>
  <si>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</si>
  <si>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</si>
  <si>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</si>
  <si>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</si>
  <si>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</si>
  <si>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</si>
  <si>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</si>
  <si>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</si>
  <si>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</si>
  <si>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</si>
  <si>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</si>
  <si>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</si>
  <si>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</si>
  <si>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</si>
  <si>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</si>
  <si>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</si>
  <si>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</si>
  <si>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</si>
  <si>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</si>
  <si>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</si>
  <si>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</si>
  <si>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</si>
  <si>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</si>
  <si>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</si>
  <si>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</si>
  <si>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</si>
  <si>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</si>
  <si>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</si>
  <si>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</si>
  <si>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</si>
  <si>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</si>
  <si>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</si>
  <si>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</si>
  <si>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</si>
  <si>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</si>
  <si>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</si>
  <si>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</si>
  <si>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</si>
  <si>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</si>
  <si>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</si>
  <si>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</si>
  <si>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</si>
  <si>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</si>
  <si>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</si>
  <si>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</si>
  <si>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</si>
  <si>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</si>
  <si>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</si>
  <si>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</si>
  <si>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</si>
  <si>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</si>
  <si>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</si>
  <si>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</si>
  <si>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</si>
  <si>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</si>
  <si>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</si>
  <si>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</si>
  <si>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</si>
  <si>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</si>
  <si>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</si>
  <si>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</si>
  <si>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</si>
  <si>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</si>
  <si>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</si>
  <si>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</si>
  <si>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</si>
  <si>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</si>
  <si>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</si>
  <si>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</si>
  <si>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</si>
  <si>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</si>
  <si>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</si>
  <si>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</si>
  <si>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</si>
  <si>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</si>
  <si>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</si>
  <si>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</si>
  <si>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</si>
  <si>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</si>
  <si>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</si>
  <si>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</si>
  <si>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</si>
  <si>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</si>
  <si>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</si>
  <si>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</si>
  <si>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</si>
  <si>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</si>
  <si>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</si>
  <si>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</si>
  <si>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</si>
  <si>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</si>
  <si>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</si>
  <si>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</si>
  <si>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</si>
  <si>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</si>
  <si>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</si>
  <si>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</si>
  <si>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</si>
  <si>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</si>
  <si>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</si>
  <si>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</si>
  <si>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</si>
  <si>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</si>
  <si>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</si>
  <si>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</si>
  <si>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</si>
  <si>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</si>
  <si>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</si>
  <si>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</si>
  <si>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</si>
  <si>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</si>
  <si>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</si>
  <si>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</si>
  <si>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</si>
  <si>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</si>
  <si>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</si>
  <si>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</si>
  <si>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</si>
  <si>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</si>
  <si>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</si>
  <si>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</si>
  <si>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</si>
  <si>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</si>
  <si>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</si>
  <si>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</si>
  <si>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</si>
  <si>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</si>
  <si>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</si>
  <si>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</si>
  <si>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</si>
  <si>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</si>
  <si>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</si>
  <si>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</si>
  <si>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</si>
  <si>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</si>
  <si>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</si>
  <si>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</si>
  <si>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</si>
  <si>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</si>
  <si>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</si>
  <si>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</si>
  <si>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</si>
  <si>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</si>
  <si>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</si>
  <si>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</si>
  <si>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</si>
  <si>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</si>
  <si>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</si>
  <si>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</si>
  <si>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</si>
  <si>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</si>
  <si>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</si>
  <si>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</si>
  <si>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</si>
  <si>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</si>
  <si>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</si>
  <si>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</si>
  <si>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</si>
  <si>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</si>
  <si>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</si>
  <si>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</si>
  <si>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</si>
  <si>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</si>
  <si>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</si>
  <si>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</si>
  <si>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</si>
  <si>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</si>
  <si>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</si>
  <si>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</si>
  <si>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</si>
  <si>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</si>
  <si>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</si>
  <si>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</si>
  <si>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</si>
  <si>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</si>
  <si>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</si>
  <si>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</si>
  <si>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</si>
  <si>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</si>
  <si>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</si>
  <si>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</si>
  <si>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</si>
  <si>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</si>
  <si>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</si>
  <si>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</si>
  <si>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</si>
  <si>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</si>
  <si>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</si>
  <si>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</si>
  <si>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</si>
  <si>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</si>
  <si>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</si>
  <si>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</si>
  <si>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</si>
  <si>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</si>
  <si>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</si>
  <si>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</si>
  <si>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</si>
  <si>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</si>
  <si>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</si>
  <si>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</si>
  <si>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</si>
  <si>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</si>
  <si>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</si>
  <si>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</si>
  <si>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</si>
  <si>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</si>
  <si>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</si>
  <si>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</si>
  <si>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</si>
  <si>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</si>
  <si>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</si>
  <si>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</si>
  <si>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</si>
  <si>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</si>
  <si>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</si>
  <si>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</si>
  <si>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</si>
  <si>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</si>
  <si>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</si>
  <si>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</si>
  <si>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</si>
  <si>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</si>
  <si>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</si>
  <si>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</si>
  <si>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</si>
  <si>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</si>
  <si>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</si>
  <si>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</si>
  <si>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</si>
  <si>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</si>
  <si>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</si>
  <si>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</si>
  <si>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</si>
  <si>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</si>
  <si>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</si>
  <si>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</si>
  <si>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</si>
  <si>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</si>
  <si>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</si>
  <si>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</si>
  <si>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</si>
  <si>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</si>
  <si>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</si>
  <si>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</si>
  <si>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</si>
  <si>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</si>
  <si>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</si>
  <si>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</si>
  <si>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</si>
  <si>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</si>
  <si>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</si>
  <si>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</si>
  <si>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</si>
  <si>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</si>
  <si>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</si>
  <si>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</si>
  <si>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</si>
  <si>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</si>
  <si>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</si>
  <si>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</si>
  <si>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</si>
  <si>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</si>
  <si>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</si>
  <si>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</si>
  <si>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</si>
  <si>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</si>
  <si>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</si>
  <si>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</si>
  <si>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</si>
  <si>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</si>
  <si>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</si>
  <si>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</si>
  <si>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</si>
  <si>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</si>
  <si>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</si>
  <si>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</si>
  <si>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</si>
  <si>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</si>
  <si>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</si>
  <si>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</si>
  <si>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</si>
  <si>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</si>
  <si>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</si>
  <si>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</si>
  <si>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</si>
  <si>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</si>
  <si>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</si>
  <si>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</si>
  <si>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</si>
  <si>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</si>
  <si>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</si>
  <si>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</si>
  <si>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</si>
  <si>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</si>
  <si>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</si>
  <si>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</si>
  <si>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</si>
  <si>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</si>
  <si>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</si>
  <si>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</si>
  <si>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</si>
  <si>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</si>
  <si>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</si>
  <si>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</si>
  <si>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</si>
  <si>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</si>
  <si>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</si>
  <si>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</si>
  <si>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</si>
  <si>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</si>
  <si>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</si>
  <si>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</si>
  <si>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</si>
  <si>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</si>
  <si>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</si>
  <si>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</si>
  <si>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</si>
  <si>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</si>
  <si>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</si>
  <si>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</si>
  <si>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</si>
  <si>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</si>
  <si>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</si>
  <si>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</si>
  <si>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</si>
  <si>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</si>
  <si>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</si>
  <si>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</si>
  <si>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</si>
  <si>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</si>
  <si>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</si>
  <si>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</si>
  <si>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</si>
  <si>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</si>
  <si>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</si>
  <si>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</si>
  <si>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</si>
  <si>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</si>
  <si>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</si>
  <si>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</si>
  <si>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</si>
  <si>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</si>
  <si>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</si>
  <si>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</si>
  <si>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</si>
  <si>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</si>
  <si>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</si>
  <si>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</si>
  <si>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</si>
  <si>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</si>
  <si>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</si>
  <si>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</si>
  <si>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</si>
  <si>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</si>
  <si>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</si>
  <si>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</si>
  <si>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</si>
  <si>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</si>
  <si>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</si>
  <si>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</si>
  <si>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</si>
  <si>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</si>
  <si>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</si>
  <si>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</si>
  <si>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</si>
  <si>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</si>
  <si>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</si>
  <si>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</si>
  <si>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</si>
  <si>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</si>
  <si>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</si>
  <si>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</si>
  <si>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</si>
  <si>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</si>
  <si>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</si>
  <si>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</si>
  <si>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</si>
  <si>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</si>
  <si>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</si>
  <si>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</si>
  <si>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</si>
  <si>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</si>
  <si>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</si>
  <si>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</si>
  <si>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</si>
  <si>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</si>
  <si>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</si>
  <si>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</si>
  <si>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</si>
  <si>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</si>
  <si>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</si>
  <si>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</si>
  <si>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</si>
  <si>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</si>
  <si>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</si>
  <si>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</si>
  <si>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</si>
  <si>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</si>
  <si>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</si>
  <si>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</si>
  <si>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</si>
  <si>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</si>
  <si>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</si>
  <si>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</si>
  <si>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</si>
  <si>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</si>
  <si>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</si>
  <si>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</si>
  <si>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</si>
  <si>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</si>
  <si>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</si>
  <si>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</si>
  <si>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</si>
  <si>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</si>
  <si>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</si>
  <si>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</si>
  <si>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</si>
  <si>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</si>
  <si>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</si>
  <si>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</si>
  <si>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</si>
  <si>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</si>
  <si>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</si>
  <si>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</si>
  <si>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</si>
  <si>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</si>
  <si>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</si>
  <si>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</si>
  <si>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</si>
  <si>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</si>
  <si>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</si>
  <si>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</si>
  <si>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</si>
  <si>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</si>
  <si>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</si>
  <si>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</si>
  <si>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</si>
  <si>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</si>
  <si>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</si>
  <si>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</si>
  <si>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</si>
  <si>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</si>
  <si>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</si>
  <si>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</si>
  <si>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</si>
  <si>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</si>
  <si>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</si>
  <si>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</si>
  <si>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</si>
  <si>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</si>
  <si>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</si>
  <si>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</si>
  <si>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</si>
  <si>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</si>
  <si>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</si>
  <si>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</si>
  <si>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</si>
  <si>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</si>
  <si>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</si>
  <si>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</si>
  <si>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</si>
  <si>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</si>
  <si>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</si>
  <si>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</si>
  <si>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</si>
  <si>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</si>
  <si>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</si>
  <si>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</si>
  <si>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</si>
  <si>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</si>
  <si>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</si>
  <si>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</si>
  <si>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</si>
  <si>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</si>
  <si>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</si>
  <si>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</si>
  <si>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</si>
  <si>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</si>
  <si>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</si>
  <si>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</si>
  <si>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</si>
  <si>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</si>
  <si>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</si>
  <si>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</si>
  <si>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</si>
  <si>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</si>
  <si>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</si>
  <si>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</si>
  <si>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</si>
  <si>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</si>
  <si>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</si>
  <si>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</si>
  <si>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</si>
  <si>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</si>
  <si>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</si>
  <si>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</si>
  <si>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</si>
  <si>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</si>
  <si>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</si>
  <si>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</si>
  <si>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</si>
  <si>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</si>
  <si>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</si>
  <si>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</si>
  <si>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</si>
  <si>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</si>
  <si>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</si>
  <si>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</si>
  <si>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</si>
  <si>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</si>
  <si>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</si>
  <si>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</si>
  <si>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</si>
  <si>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</si>
  <si>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</si>
  <si>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</si>
  <si>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</si>
  <si>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</si>
  <si>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</si>
  <si>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</si>
  <si>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</si>
  <si>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</si>
  <si>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</si>
  <si>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</si>
  <si>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</si>
  <si>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</si>
  <si>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</si>
  <si>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</si>
  <si>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</si>
  <si>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</si>
  <si>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</si>
  <si>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</si>
  <si>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</si>
  <si>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</si>
  <si>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</si>
  <si>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</si>
  <si>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</si>
  <si>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</si>
  <si>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</si>
  <si>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</si>
  <si>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</si>
  <si>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</si>
  <si>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</si>
  <si>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</si>
  <si>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</si>
  <si>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</si>
  <si>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</si>
  <si>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</si>
  <si>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</si>
  <si>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</si>
  <si>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</si>
  <si>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</si>
  <si>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</si>
  <si>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</si>
  <si>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</si>
  <si>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</si>
  <si>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</si>
  <si>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</si>
  <si>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</si>
  <si>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</si>
  <si>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</si>
  <si>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</si>
  <si>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</si>
  <si>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</si>
  <si>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</si>
  <si>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</si>
  <si>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</si>
  <si>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</si>
  <si>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</si>
  <si>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</si>
  <si>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</si>
  <si>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</si>
  <si>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</si>
  <si>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</si>
  <si>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</si>
  <si>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</si>
  <si>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</si>
  <si>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</si>
  <si>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</si>
  <si>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</si>
  <si>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</si>
  <si>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</si>
  <si>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</si>
  <si>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</si>
  <si>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</si>
  <si>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</si>
  <si>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</si>
  <si>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</si>
  <si>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</si>
  <si>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</si>
  <si>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</si>
  <si>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</si>
  <si>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</si>
  <si>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</si>
  <si>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</si>
  <si>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</si>
  <si>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</si>
  <si>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</si>
  <si>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</si>
  <si>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</si>
  <si>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</si>
  <si>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</si>
  <si>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</si>
  <si>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</si>
  <si>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</si>
  <si>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</si>
  <si>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</si>
  <si>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</si>
  <si>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</si>
  <si>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</si>
  <si>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</si>
  <si>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</si>
  <si>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</si>
  <si>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</si>
  <si>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</si>
  <si>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</si>
  <si>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</si>
  <si>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</si>
  <si>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</si>
  <si>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</si>
  <si>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</si>
  <si>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</si>
  <si>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</si>
  <si>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</si>
  <si>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</si>
  <si>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</si>
  <si>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</si>
  <si>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</si>
  <si>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</si>
  <si>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</si>
  <si>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</si>
  <si>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</si>
  <si>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</si>
  <si>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</si>
  <si>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</si>
  <si>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</si>
  <si>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</si>
  <si>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</si>
  <si>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</si>
  <si>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</si>
  <si>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</si>
  <si>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</si>
  <si>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</si>
  <si>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</si>
  <si>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</si>
  <si>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</si>
  <si>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</si>
  <si>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</si>
  <si>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</si>
  <si>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</si>
  <si>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</si>
  <si>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</si>
  <si>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</si>
  <si>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</si>
  <si>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</si>
  <si>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</si>
  <si>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</si>
  <si>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</si>
  <si>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</si>
  <si>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</si>
  <si>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</si>
  <si>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</si>
  <si>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</si>
  <si>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</si>
  <si>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</si>
  <si>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</si>
  <si>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</si>
  <si>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</si>
  <si>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</si>
  <si>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</si>
  <si>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</si>
  <si>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</si>
  <si>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</si>
  <si>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</si>
  <si>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</si>
  <si>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</si>
  <si>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</si>
  <si>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</si>
  <si>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</si>
  <si>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</si>
  <si>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</si>
  <si>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</si>
  <si>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</si>
  <si>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</si>
  <si>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</si>
  <si>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</si>
  <si>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</si>
  <si>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</si>
  <si>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</si>
  <si>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</si>
  <si>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</si>
  <si>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</si>
  <si>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</si>
  <si>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</si>
  <si>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</si>
  <si>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</si>
  <si>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</si>
  <si>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</si>
  <si>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</si>
  <si>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</si>
  <si>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</si>
  <si>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</si>
  <si>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</si>
  <si>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</si>
  <si>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</si>
  <si>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</si>
  <si>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</si>
  <si>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</si>
  <si>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</si>
  <si>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</si>
  <si>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</si>
  <si>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</si>
  <si>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</si>
  <si>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</si>
  <si>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</si>
  <si>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</si>
  <si>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</si>
  <si>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</si>
  <si>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</si>
  <si>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</si>
  <si>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</si>
  <si>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</si>
  <si>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</si>
  <si>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</si>
  <si>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</si>
  <si>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</si>
  <si>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</si>
  <si>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</si>
  <si>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</si>
  <si>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</si>
  <si>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</si>
  <si>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</si>
  <si>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</si>
  <si>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</si>
  <si>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</si>
  <si>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</si>
  <si>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</si>
  <si>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</si>
  <si>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</si>
  <si>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</si>
  <si>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</si>
  <si>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</si>
  <si>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</si>
  <si>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</si>
  <si>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</si>
  <si>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</si>
  <si>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</si>
  <si>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</si>
  <si>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</si>
  <si>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</si>
  <si>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</si>
  <si>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</si>
  <si>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</si>
  <si>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</si>
  <si>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</si>
  <si>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</si>
  <si>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</si>
  <si>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</si>
  <si>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</si>
  <si>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</si>
  <si>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</si>
  <si>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</si>
  <si>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</si>
  <si>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</si>
  <si>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</si>
  <si>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</si>
  <si>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</si>
  <si>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</si>
  <si>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</si>
  <si>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</si>
  <si>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</si>
  <si>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</si>
  <si>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</si>
  <si>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</si>
  <si>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</si>
  <si>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</si>
  <si>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</si>
  <si>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</si>
  <si>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</si>
  <si>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</si>
  <si>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</si>
  <si>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</si>
  <si>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</si>
  <si>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</si>
  <si>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</si>
  <si>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</si>
  <si>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</si>
  <si>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</si>
  <si>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</si>
  <si>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</si>
  <si>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</si>
  <si>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</si>
  <si>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</si>
  <si>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</si>
  <si>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</si>
  <si>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</si>
  <si>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</si>
  <si>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</si>
  <si>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</si>
  <si>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</si>
  <si>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</si>
  <si>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</si>
  <si>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</si>
  <si>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</si>
  <si>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</si>
  <si>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</si>
  <si>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</si>
  <si>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</si>
  <si>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</si>
  <si>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</si>
  <si>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</si>
  <si>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</si>
  <si>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</si>
  <si>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</si>
  <si>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</si>
  <si>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</si>
  <si>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</si>
  <si>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</si>
  <si>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</si>
  <si>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</si>
  <si>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</si>
  <si>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</si>
  <si>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</si>
  <si>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</si>
  <si>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</si>
  <si>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</si>
  <si>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</si>
  <si>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</si>
  <si>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</si>
  <si>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</si>
  <si>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</si>
  <si>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</si>
  <si>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</si>
  <si>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</si>
  <si>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</si>
  <si>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</si>
  <si>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</si>
  <si>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</si>
  <si>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</si>
  <si>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</si>
  <si>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</si>
  <si>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</si>
  <si>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</si>
  <si>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</si>
  <si>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</si>
  <si>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</si>
  <si>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</si>
  <si>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</si>
  <si>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</si>
  <si>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</si>
  <si>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</si>
  <si>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</si>
  <si>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</si>
  <si>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</si>
  <si>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</si>
  <si>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</si>
  <si>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</si>
  <si>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</si>
  <si>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</si>
  <si>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</si>
  <si>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</si>
  <si>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</si>
  <si>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</si>
  <si>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</si>
  <si>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</si>
  <si>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</si>
  <si>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</si>
  <si>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</si>
  <si>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</si>
  <si>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</si>
  <si>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</si>
  <si>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</si>
  <si>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</si>
  <si>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</si>
  <si>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</si>
  <si>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</si>
  <si>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</si>
  <si>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</si>
  <si>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</si>
  <si>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</si>
  <si>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</si>
  <si>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</si>
  <si>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</si>
  <si>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</si>
  <si>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</si>
  <si>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</si>
  <si>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</si>
  <si>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</si>
  <si>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</si>
  <si>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</si>
  <si>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</si>
  <si>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</si>
  <si>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</si>
  <si>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</si>
  <si>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</si>
  <si>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</si>
  <si>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</si>
  <si>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</si>
  <si>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</si>
  <si>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</si>
  <si>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</si>
  <si>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</si>
  <si>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</si>
  <si>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</si>
  <si>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</si>
  <si>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</si>
  <si>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</si>
  <si>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</si>
  <si>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</si>
  <si>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</si>
  <si>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</si>
  <si>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</si>
  <si>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</si>
  <si>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</si>
  <si>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</si>
  <si>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</si>
  <si>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</si>
  <si>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</si>
  <si>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</si>
  <si>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</si>
  <si>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</si>
  <si>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</si>
  <si>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</si>
  <si>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</si>
  <si>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</si>
  <si>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</si>
  <si>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</si>
  <si>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</si>
  <si>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</si>
  <si>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</si>
  <si>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</si>
  <si>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</si>
  <si>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</si>
  <si>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</si>
  <si>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</si>
  <si>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</si>
  <si>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</si>
  <si>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</si>
  <si>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</si>
  <si>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</si>
  <si>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</si>
  <si>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</si>
  <si>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</si>
  <si>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</si>
  <si>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</si>
  <si>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</si>
  <si>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</si>
  <si>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</si>
  <si>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</si>
  <si>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</si>
  <si>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</si>
  <si>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</si>
  <si>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</si>
  <si>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</si>
  <si>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</si>
  <si>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</si>
  <si>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</si>
  <si>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</si>
  <si>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</si>
  <si>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</si>
  <si>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</si>
  <si>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</si>
  <si>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</si>
  <si>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</si>
  <si>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</si>
  <si>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</si>
  <si>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</si>
  <si>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</si>
  <si>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</si>
  <si>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</si>
  <si>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</si>
  <si>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</si>
  <si>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</si>
  <si>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</si>
  <si>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</si>
  <si>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</si>
  <si>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</si>
  <si>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</si>
  <si>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</si>
  <si>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</si>
  <si>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</si>
  <si>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</si>
  <si>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</si>
  <si>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</si>
  <si>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</si>
  <si>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</si>
  <si>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</si>
  <si>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</si>
  <si>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</si>
  <si>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</si>
  <si>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</si>
  <si>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</si>
  <si>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</si>
  <si>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</si>
  <si>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</si>
  <si>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</si>
  <si>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</si>
  <si>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</si>
  <si>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</si>
  <si>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</si>
  <si>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</si>
  <si>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</si>
  <si>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</si>
  <si>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</si>
  <si>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</si>
  <si>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</si>
  <si>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</si>
  <si>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</si>
  <si>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</si>
  <si>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</si>
  <si>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</si>
  <si>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</si>
  <si>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</si>
  <si>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</si>
  <si>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</si>
  <si>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</si>
  <si>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</si>
  <si>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</si>
  <si>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</si>
  <si>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</si>
  <si>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</si>
  <si>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</si>
  <si>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</si>
  <si>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</si>
  <si>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</si>
  <si>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</si>
  <si>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</si>
  <si>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</si>
  <si>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</si>
  <si>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</si>
  <si>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</si>
  <si>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</si>
  <si>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</si>
  <si>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</si>
  <si>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</si>
  <si>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</si>
  <si>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</si>
  <si>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</si>
  <si>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</si>
  <si>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</si>
  <si>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</si>
  <si>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</si>
  <si>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</si>
  <si>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</si>
  <si>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</si>
  <si>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</si>
  <si>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</si>
  <si>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</si>
  <si>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</si>
  <si>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</si>
  <si>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</si>
  <si>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</si>
  <si>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</si>
  <si>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</si>
  <si>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</si>
  <si>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</si>
  <si>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</si>
  <si>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</si>
  <si>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</si>
  <si>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</si>
  <si>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</si>
  <si>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</si>
  <si>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</si>
  <si>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</si>
  <si>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</si>
  <si>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</si>
  <si>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</si>
  <si>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</si>
  <si>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</si>
  <si>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</si>
  <si>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</si>
  <si>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</si>
  <si>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</si>
  <si>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</si>
  <si>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</si>
  <si>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</si>
  <si>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</si>
  <si>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</si>
  <si>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</si>
  <si>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</si>
  <si>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</si>
  <si>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</si>
  <si>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</si>
  <si>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</si>
  <si>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</si>
  <si>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</si>
  <si>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</si>
  <si>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</si>
  <si>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</si>
  <si>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</si>
  <si>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</si>
  <si>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</si>
  <si>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</si>
  <si>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</si>
  <si>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</si>
  <si>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</si>
  <si>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</si>
  <si>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</si>
  <si>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</si>
  <si>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</si>
  <si>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</si>
  <si>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</si>
  <si>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</si>
  <si>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</si>
  <si>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</si>
  <si>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</si>
  <si>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</si>
  <si>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</si>
  <si>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</si>
  <si>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</si>
  <si>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</si>
  <si>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</si>
  <si>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</si>
  <si>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</si>
  <si>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</si>
  <si>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</si>
  <si>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</si>
  <si>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</si>
  <si>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</si>
  <si>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</si>
  <si>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</si>
  <si>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</si>
  <si>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</si>
  <si>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</si>
  <si>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</si>
  <si>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</si>
  <si>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</si>
  <si>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</si>
  <si>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</si>
  <si>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</si>
  <si>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</si>
  <si>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</si>
  <si>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</si>
  <si>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</si>
  <si>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</si>
  <si>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</si>
  <si>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</si>
  <si>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</si>
  <si>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</si>
  <si>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</si>
  <si>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</si>
  <si>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</si>
  <si>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</si>
  <si>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</si>
  <si>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</si>
  <si>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</si>
  <si>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</si>
  <si>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</si>
  <si>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</si>
  <si>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</si>
  <si>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</si>
  <si>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</si>
  <si>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</si>
  <si>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</si>
  <si>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</si>
  <si>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</si>
  <si>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</si>
  <si>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</si>
  <si>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</si>
  <si>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</si>
  <si>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</si>
  <si>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</si>
  <si>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</si>
  <si>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</si>
  <si>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</si>
  <si>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</si>
  <si>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</si>
  <si>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</si>
  <si>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</si>
  <si>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</si>
  <si>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</si>
  <si>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</si>
  <si>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</si>
  <si>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</si>
  <si>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</si>
  <si>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</si>
  <si>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</si>
  <si>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</si>
  <si>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</si>
  <si>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</si>
  <si>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</si>
  <si>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</si>
  <si>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</si>
  <si>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</si>
  <si>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</si>
  <si>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</si>
  <si>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</si>
  <si>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</si>
  <si>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</si>
  <si>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</si>
  <si>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</si>
  <si>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</si>
  <si>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</si>
  <si>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</si>
  <si>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</si>
  <si>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</si>
  <si>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</si>
  <si>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</si>
  <si>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</si>
  <si>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</si>
  <si>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</si>
  <si>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</si>
  <si>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</si>
  <si>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</si>
  <si>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</si>
  <si>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</si>
  <si>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</si>
  <si>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</si>
  <si>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</si>
  <si>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</si>
  <si>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</si>
  <si>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</si>
  <si>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</si>
  <si>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</si>
  <si>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</si>
  <si>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</si>
  <si>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</si>
  <si>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</si>
  <si>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</si>
  <si>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</si>
  <si>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</si>
  <si>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</si>
  <si>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</si>
  <si>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</si>
  <si>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</si>
  <si>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</si>
  <si>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</si>
  <si>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</si>
  <si>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</si>
  <si>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</si>
  <si>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</si>
  <si>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</si>
  <si>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</si>
  <si>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</si>
  <si>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</si>
  <si>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</si>
  <si>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</si>
  <si>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</si>
  <si>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</si>
  <si>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</si>
  <si>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</si>
  <si>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</si>
  <si>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</si>
  <si>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</si>
  <si>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</si>
  <si>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</si>
  <si>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</si>
  <si>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</si>
  <si>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</si>
  <si>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</si>
  <si>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</si>
  <si>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</si>
  <si>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</si>
  <si>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</si>
  <si>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</si>
  <si>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</si>
  <si>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</si>
  <si>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</si>
  <si>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</si>
  <si>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</si>
  <si>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</si>
  <si>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</si>
  <si>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</si>
  <si>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</si>
  <si>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</si>
  <si>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</si>
  <si>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</si>
  <si>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</si>
  <si>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</si>
  <si>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</si>
  <si>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</si>
  <si>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</si>
  <si>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</si>
  <si>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</si>
  <si>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</si>
  <si>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</si>
  <si>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</si>
  <si>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</si>
  <si>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</si>
  <si>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</si>
  <si>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</si>
  <si>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</si>
  <si>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</si>
  <si>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</si>
  <si>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</si>
  <si>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</si>
  <si>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</si>
  <si>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</si>
  <si>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</si>
  <si>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</si>
  <si>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</si>
  <si>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</si>
  <si>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</si>
  <si>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</si>
  <si>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</si>
  <si>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</si>
  <si>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</si>
  <si>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</si>
  <si>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</si>
  <si>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</si>
  <si>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</si>
  <si>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</si>
  <si>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</si>
  <si>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</si>
  <si>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</si>
  <si>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</si>
  <si>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</si>
  <si>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</si>
  <si>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</si>
  <si>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</si>
  <si>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</si>
  <si>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</si>
  <si>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</si>
  <si>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</si>
  <si>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</si>
  <si>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</si>
  <si>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</si>
  <si>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</si>
  <si>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</si>
  <si>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</si>
  <si>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</si>
  <si>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</si>
  <si>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</si>
  <si>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</si>
  <si>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</si>
  <si>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</si>
  <si>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</si>
  <si>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</si>
  <si>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</si>
  <si>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</si>
  <si>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</si>
  <si>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</si>
  <si>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</si>
  <si>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</si>
  <si>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</si>
  <si>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</si>
  <si>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</si>
  <si>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</si>
  <si>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</si>
  <si>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</si>
  <si>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</si>
  <si>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</si>
  <si>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</si>
  <si>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</si>
  <si>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</si>
  <si>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</si>
  <si>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</si>
  <si>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</si>
  <si>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</si>
  <si>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</si>
  <si>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</si>
  <si>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</si>
  <si>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</si>
  <si>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</si>
  <si>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</si>
  <si>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</si>
  <si>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</si>
  <si>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</si>
  <si>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</si>
  <si>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</si>
  <si>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</si>
  <si>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</si>
  <si>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</si>
  <si>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</si>
  <si>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</si>
  <si>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</si>
  <si>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</si>
  <si>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</si>
  <si>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</si>
  <si>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</si>
  <si>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</si>
  <si>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</si>
  <si>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</si>
  <si>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</si>
  <si>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</si>
  <si>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</si>
  <si>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</si>
  <si>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</si>
  <si>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</si>
  <si>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</si>
  <si>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</si>
  <si>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</si>
  <si>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</si>
  <si>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</si>
  <si>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</si>
  <si>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</si>
  <si>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</si>
  <si>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</si>
  <si>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</si>
  <si>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</si>
  <si>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</si>
  <si>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</si>
  <si>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</si>
  <si>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</si>
  <si>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</si>
  <si>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</si>
  <si>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</si>
  <si>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</si>
  <si>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</si>
  <si>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</si>
  <si>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</si>
  <si>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</si>
  <si>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</si>
  <si>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</si>
  <si>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</si>
  <si>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</si>
  <si>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</si>
  <si>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</si>
  <si>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</si>
  <si>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</si>
  <si>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</si>
  <si>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</si>
  <si>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</si>
  <si>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</si>
  <si>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</si>
  <si>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</si>
  <si>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</si>
  <si>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</si>
  <si>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</si>
  <si>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</si>
  <si>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</si>
  <si>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</si>
  <si>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</si>
  <si>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</si>
  <si>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</si>
  <si>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</si>
  <si>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</si>
  <si>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</si>
  <si>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</si>
  <si>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</si>
  <si>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</si>
  <si>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</si>
  <si>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</si>
  <si>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</si>
  <si>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</si>
  <si>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</si>
  <si>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</si>
  <si>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</si>
  <si>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</si>
  <si>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</si>
  <si>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</si>
  <si>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</si>
  <si>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</si>
  <si>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</si>
  <si>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</si>
  <si>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</si>
  <si>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</si>
  <si>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</si>
  <si>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</si>
  <si>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</si>
  <si>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</si>
  <si>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</si>
  <si>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</si>
  <si>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</si>
  <si>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</si>
  <si>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</si>
  <si>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</si>
  <si>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</si>
  <si>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</si>
  <si>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</si>
  <si>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</si>
  <si>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</si>
  <si>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</si>
  <si>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</si>
  <si>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</si>
  <si>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</si>
  <si>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</si>
  <si>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</si>
  <si>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</si>
  <si>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</si>
  <si>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</si>
  <si>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</si>
  <si>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</si>
  <si>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</si>
  <si>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</si>
  <si>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</si>
  <si>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</si>
  <si>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</si>
  <si>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</si>
  <si>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</si>
  <si>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</si>
  <si>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</si>
  <si>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</si>
  <si>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</si>
  <si>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</si>
  <si>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</si>
  <si>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</si>
  <si>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</si>
  <si>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</si>
  <si>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</si>
  <si>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</si>
  <si>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</si>
  <si>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</si>
  <si>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</si>
  <si>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</si>
  <si>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</si>
  <si>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</si>
  <si>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</si>
  <si>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</si>
  <si>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</si>
  <si>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</si>
  <si>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</si>
  <si>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</si>
  <si>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</si>
  <si>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</si>
  <si>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</si>
  <si>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</si>
  <si>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</si>
  <si>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</si>
  <si>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</si>
  <si>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</si>
  <si>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</si>
  <si>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</si>
  <si>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</si>
  <si>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</si>
  <si>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</si>
  <si>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</si>
  <si>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</si>
  <si>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</si>
  <si>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</si>
  <si>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</si>
  <si>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</si>
  <si>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</si>
  <si>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</si>
  <si>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</si>
  <si>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</si>
  <si>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</si>
  <si>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</si>
  <si>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</si>
  <si>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</si>
  <si>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</si>
  <si>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</si>
  <si>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</si>
  <si>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</si>
  <si>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</si>
  <si>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</si>
  <si>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</si>
  <si>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</si>
  <si>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</si>
  <si>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</si>
  <si>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</si>
  <si>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</si>
  <si>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</si>
  <si>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</si>
  <si>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</si>
  <si>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</si>
  <si>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</si>
  <si>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</si>
  <si>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</si>
  <si>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</si>
  <si>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</si>
  <si>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</si>
  <si>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</si>
  <si>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</si>
  <si>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</si>
  <si>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</si>
  <si>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</si>
  <si>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</si>
  <si>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</si>
  <si>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</si>
  <si>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</si>
  <si>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</si>
  <si>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</si>
  <si>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</si>
  <si>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</si>
  <si>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</si>
  <si>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</si>
  <si>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</si>
  <si>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</si>
  <si>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</si>
  <si>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</si>
  <si>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</si>
  <si>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</si>
  <si>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</si>
  <si>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</si>
  <si>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</si>
  <si>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</si>
  <si>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</si>
  <si>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</si>
  <si>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</si>
  <si>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</si>
  <si>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</si>
  <si>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</si>
  <si>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</si>
  <si>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</si>
  <si>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</si>
  <si>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</si>
  <si>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</si>
  <si>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</si>
  <si>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</si>
  <si>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</si>
  <si>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</si>
  <si>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</si>
  <si>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</si>
  <si>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</si>
  <si>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</si>
  <si>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</si>
  <si>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</si>
  <si>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</si>
  <si>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</si>
  <si>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</si>
  <si>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</si>
  <si>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</si>
  <si>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</si>
  <si>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</si>
  <si>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</si>
  <si>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</si>
  <si>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</si>
  <si>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</si>
  <si>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</si>
  <si>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</si>
  <si>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</si>
  <si>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</si>
  <si>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</si>
  <si>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</si>
  <si>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</si>
  <si>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</si>
  <si>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</si>
  <si>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</si>
  <si>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</si>
  <si>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</si>
  <si>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</si>
  <si>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</si>
  <si>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</si>
  <si>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</si>
  <si>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</si>
  <si>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</si>
  <si>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</si>
  <si>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</si>
  <si>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</si>
  <si>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</si>
  <si>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</si>
  <si>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</si>
  <si>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</si>
  <si>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</si>
  <si>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</si>
  <si>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</si>
  <si>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</si>
  <si>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</si>
  <si>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</si>
  <si>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</si>
  <si>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</si>
  <si>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</si>
  <si>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</si>
  <si>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</si>
  <si>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</si>
  <si>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</si>
  <si>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</si>
  <si>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</si>
  <si>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</si>
  <si>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</si>
  <si>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</si>
  <si>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</si>
  <si>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</si>
  <si>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</si>
  <si>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</si>
  <si>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</si>
  <si>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</si>
  <si>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</si>
  <si>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</si>
  <si>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</si>
  <si>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</si>
  <si>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</si>
  <si>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</si>
  <si>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</si>
  <si>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</si>
  <si>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</si>
  <si>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</si>
  <si>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</si>
  <si>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</si>
  <si>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</si>
  <si>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</si>
  <si>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</si>
  <si>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</si>
  <si>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</si>
  <si>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</si>
  <si>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</si>
  <si>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</si>
  <si>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</si>
  <si>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</si>
  <si>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</si>
  <si>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</si>
  <si>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</si>
  <si>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</si>
  <si>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</si>
  <si>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</si>
  <si>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</si>
  <si>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</si>
  <si>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</si>
  <si>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</si>
  <si>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</si>
  <si>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</si>
  <si>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</si>
  <si>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</si>
  <si>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</si>
  <si>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</si>
  <si>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</si>
  <si>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</si>
  <si>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</si>
  <si>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</si>
  <si>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</si>
  <si>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</si>
  <si>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</si>
  <si>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</si>
  <si>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</si>
  <si>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</si>
  <si>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</si>
  <si>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</si>
  <si>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</si>
  <si>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</si>
  <si>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</si>
  <si>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</si>
  <si>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</si>
  <si>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</si>
  <si>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</si>
  <si>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</si>
  <si>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</si>
  <si>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</si>
  <si>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</si>
  <si>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</si>
  <si>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</si>
  <si>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</si>
  <si>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</si>
  <si>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</si>
  <si>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</si>
  <si>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</si>
  <si>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</si>
  <si>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</si>
  <si>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</si>
  <si>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</si>
  <si>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</si>
  <si>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</si>
  <si>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</si>
  <si>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</si>
  <si>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</si>
  <si>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</si>
  <si>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</si>
  <si>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</si>
  <si>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</si>
  <si>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</si>
  <si>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</si>
  <si>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</si>
  <si>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</si>
  <si>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</si>
  <si>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</si>
  <si>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</si>
  <si>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</si>
  <si>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</si>
  <si>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</si>
  <si>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</si>
  <si>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</si>
  <si>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</si>
  <si>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</si>
  <si>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</si>
  <si>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</si>
  <si>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</si>
  <si>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</si>
  <si>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</si>
  <si>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</si>
  <si>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</si>
  <si>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</si>
  <si>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</si>
  <si>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</si>
  <si>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</si>
  <si>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</si>
  <si>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</si>
  <si>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</si>
  <si>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</si>
  <si>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</si>
  <si>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</si>
  <si>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</si>
  <si>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</si>
  <si>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</si>
  <si>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</si>
  <si>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</si>
  <si>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</si>
  <si>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</si>
  <si>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</si>
  <si>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</si>
  <si>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</si>
  <si>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</si>
  <si>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</si>
  <si>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</si>
  <si>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</si>
  <si>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</si>
  <si>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</si>
  <si>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</si>
  <si>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</si>
  <si>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</si>
  <si>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</si>
  <si>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</si>
  <si>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</si>
  <si>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</si>
  <si>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</si>
  <si>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</si>
  <si>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</si>
  <si>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</si>
  <si>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</si>
  <si>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</si>
  <si>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</si>
  <si>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</si>
  <si>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</si>
  <si>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</si>
  <si>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</si>
  <si>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</si>
  <si>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</si>
  <si>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</si>
  <si>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</si>
  <si>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</si>
  <si>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</si>
  <si>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</si>
  <si>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</si>
  <si>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</si>
  <si>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</si>
  <si>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</si>
  <si>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</si>
  <si>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</si>
  <si>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</si>
  <si>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</si>
  <si>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</si>
  <si>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</si>
  <si>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</si>
  <si>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</si>
  <si>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</si>
  <si>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</si>
  <si>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</si>
  <si>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</si>
  <si>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</si>
  <si>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</si>
  <si>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</si>
  <si>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</si>
  <si>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</si>
  <si>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</si>
  <si>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</si>
  <si>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</si>
  <si>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</si>
  <si>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</si>
  <si>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</si>
  <si>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</si>
  <si>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</si>
  <si>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</si>
  <si>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</si>
  <si>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</si>
  <si>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</si>
  <si>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</si>
  <si>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</si>
  <si>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</si>
  <si>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</si>
  <si>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</si>
  <si>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</si>
  <si>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</si>
  <si>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</si>
  <si>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</si>
  <si>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</si>
  <si>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</si>
  <si>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</si>
  <si>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</si>
  <si>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</si>
  <si>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</si>
  <si>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</si>
  <si>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</si>
  <si>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</si>
  <si>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</si>
  <si>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</si>
  <si>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</si>
  <si>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</si>
  <si>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</si>
  <si>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</si>
  <si>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</si>
  <si>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</si>
  <si>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</si>
  <si>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</si>
  <si>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</si>
  <si>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</si>
  <si>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</si>
  <si>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</si>
  <si>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</si>
  <si>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</si>
  <si>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</si>
  <si>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</si>
  <si>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</si>
  <si>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</si>
  <si>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</si>
  <si>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</si>
  <si>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</si>
  <si>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</si>
  <si>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</si>
  <si>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</si>
  <si>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</si>
  <si>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</si>
  <si>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</si>
  <si>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</si>
  <si>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</si>
  <si>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</si>
  <si>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</si>
  <si>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</si>
  <si>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</si>
  <si>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</si>
  <si>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</si>
  <si>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</si>
  <si>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</si>
  <si>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</si>
  <si>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</si>
  <si>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</si>
  <si>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</si>
  <si>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</si>
  <si>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</si>
  <si>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</si>
  <si>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</si>
  <si>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</si>
  <si>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</si>
  <si>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</si>
  <si>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</si>
  <si>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</si>
  <si>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</si>
  <si>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</si>
  <si>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</si>
  <si>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</si>
  <si>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</si>
  <si>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</si>
  <si>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</si>
  <si>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</si>
  <si>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</si>
  <si>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</si>
  <si>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</si>
  <si>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</si>
  <si>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</si>
  <si>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</si>
  <si>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</si>
  <si>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</si>
  <si>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</si>
  <si>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</si>
  <si>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</si>
  <si>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</si>
  <si>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</si>
  <si>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</si>
  <si>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</si>
  <si>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</si>
  <si>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</si>
  <si>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</si>
  <si>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</si>
  <si>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</si>
  <si>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</si>
  <si>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</si>
  <si>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</si>
  <si>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</si>
  <si>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</si>
  <si>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</si>
  <si>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</si>
  <si>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</si>
  <si>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</si>
  <si>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</si>
  <si>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</si>
  <si>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</si>
  <si>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</si>
  <si>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</si>
  <si>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</si>
  <si>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</si>
  <si>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</si>
  <si>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</si>
  <si>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</si>
  <si>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</si>
  <si>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</si>
  <si>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</si>
  <si>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</si>
  <si>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</si>
  <si>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</si>
  <si>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</si>
  <si>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</si>
  <si>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</si>
  <si>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</si>
  <si>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</si>
  <si>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</si>
  <si>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</si>
  <si>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</si>
  <si>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</si>
  <si>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</si>
  <si>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</si>
  <si>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</si>
  <si>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</si>
  <si>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</si>
  <si>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</si>
  <si>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</si>
  <si>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</si>
  <si>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</si>
  <si>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</si>
  <si>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</si>
  <si>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</si>
  <si>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</si>
  <si>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</si>
  <si>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</si>
  <si>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</si>
  <si>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</si>
  <si>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4568128#1</t>
  </si>
  <si>
    <t>Arteplac</t>
  </si>
  <si>
    <t>4547359#1</t>
  </si>
  <si>
    <t>As269898</t>
  </si>
  <si>
    <t>4529979#1</t>
  </si>
  <si>
    <t>Omnitracssa</t>
  </si>
  <si>
    <t>4571015#1</t>
  </si>
  <si>
    <t>Ceciliademadonna</t>
  </si>
  <si>
    <t>4478992#1</t>
  </si>
  <si>
    <t>Jvconstructor</t>
  </si>
  <si>
    <t>4448312#1</t>
  </si>
  <si>
    <t>Lagunasnorte</t>
  </si>
  <si>
    <t>4504033#1</t>
  </si>
  <si>
    <t>Probela La Molina</t>
  </si>
  <si>
    <t>1840584#1</t>
  </si>
  <si>
    <t>Trucks tract USA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</si>
</sst>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6546014-de82-4fe6-8b7c-7bd3c8e83a2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6546014-de82-4fe6-8b7c-7bd3c8e83a2b}" id="{35ca218e-57a5-47b8-aeed-34518bad99e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9</v>
      </c>
      <c r="F19" s="246">
        <f t="shared" ref="F19:F21" si="1">C19-E19</f>
        <v>21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6</v>
      </c>
      <c r="L19" s="33">
        <f t="shared" ref="L19:L23" si="2">I19-K19</f>
        <v>-1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</v>
      </c>
      <c r="F20" s="246">
        <f t="shared" si="1"/>
        <v>14</v>
      </c>
      <c r="G20" s="10"/>
      <c r="H20" s="22" t="s">
        <v>18</v>
      </c>
      <c r="I20" s="36">
        <v>10.0</v>
      </c>
      <c r="J20" s="10"/>
      <c r="K20" s="33">
        <f>SUMIF($K$4:$K$17, H20,$L$4:$L$17)</f>
        <v>3</v>
      </c>
      <c r="L20" s="33">
        <f t="shared" si="2"/>
        <v>7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</v>
      </c>
      <c r="F21" s="246">
        <f t="shared" si="1"/>
        <v>12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5</v>
      </c>
      <c r="L21" s="33">
        <f t="shared" si="2"/>
        <v>15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5</v>
      </c>
      <c r="L22" s="33">
        <f t="shared" si="2"/>
        <v>10</v>
      </c>
    </row>
    <row r="23" outlineLevel="1">
      <c r="D23" s="10"/>
      <c r="E23" s="37" t="s">
        <v>41</v>
      </c>
      <c r="F23" s="38">
        <f>SUM(F19:F21)</f>
        <v>47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2</v>
      </c>
      <c r="L23" s="33">
        <f t="shared" si="2"/>
        <v>8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39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403">
        <v>46174.0</v>
      </c>
      <c r="K15" s="294" t="s">
        <v>3722</v>
      </c>
      <c r="L15" s="294" t="s">
        <v>3723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401">
        <v>46174.0</v>
      </c>
      <c r="K16" s="273" t="s">
        <v>3724</v>
      </c>
      <c r="L16" s="273" t="s">
        <v>3725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380">
        <v>46174.0</v>
      </c>
      <c r="K17" s="294" t="s">
        <v>3726</v>
      </c>
      <c r="L17" s="294" t="s">
        <v>3727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382">
        <v>46174.0</v>
      </c>
      <c r="K18" s="273" t="s">
        <v>3728</v>
      </c>
      <c r="L18" s="273" t="s">
        <v>3729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380">
        <v>46174.0</v>
      </c>
      <c r="K19" s="294" t="s">
        <v>3730</v>
      </c>
      <c r="L19" s="294" t="s">
        <v>3731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382">
        <v>46174.0</v>
      </c>
      <c r="K20" s="273" t="s">
        <v>3732</v>
      </c>
      <c r="L20" s="273" t="s">
        <v>3733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380">
        <v>46174.0</v>
      </c>
      <c r="K21" s="294" t="s">
        <v>3734</v>
      </c>
      <c r="L21" s="294" t="s">
        <v>3735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382">
        <v>46174.0</v>
      </c>
      <c r="K22" s="273" t="s">
        <v>3736</v>
      </c>
      <c r="L22" s="273" t="s">
        <v>3737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109"/>
      <c r="H24" s="269"/>
      <c r="J24" s="270"/>
      <c r="K24" s="109"/>
      <c r="L24" s="109"/>
      <c r="M24" s="58"/>
      <c r="N24" s="58"/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61"/>
      <c r="H25" s="269"/>
      <c r="J25" s="270"/>
      <c r="K25" s="109"/>
      <c r="L25" s="109"/>
      <c r="M25" s="58"/>
      <c r="N25" s="58"/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78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109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79"/>
      <c r="AV30" s="298"/>
      <c r="AX30" s="270"/>
      <c r="AY30" s="453"/>
      <c r="AZ30" s="478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58"/>
      <c r="G31" s="61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0"/>
      <c r="AV31" s="269"/>
      <c r="AX31" s="270"/>
      <c r="AY31" s="450"/>
      <c r="AZ31" s="47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39"/>
      <c r="U32" s="58"/>
      <c r="V32" s="58"/>
      <c r="W32" s="61"/>
      <c r="X32" s="269"/>
      <c r="Z32" s="481"/>
      <c r="AA32" s="482"/>
      <c r="AB32" s="483"/>
      <c r="AC32" s="484"/>
      <c r="AD32" s="485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8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109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86"/>
      <c r="U33" s="58"/>
      <c r="V33" s="58"/>
      <c r="W33" s="61"/>
      <c r="X33" s="269"/>
      <c r="Z33" s="481"/>
      <c r="AA33" s="482"/>
      <c r="AB33" s="482"/>
      <c r="AC33" s="487"/>
      <c r="AD33" s="488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9"/>
      <c r="AV33" s="298"/>
      <c r="AX33" s="270"/>
      <c r="AY33" s="450"/>
      <c r="AZ33" s="47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61"/>
      <c r="H34" s="269"/>
      <c r="J34" s="270"/>
      <c r="K34" s="109"/>
      <c r="L34" s="109"/>
      <c r="M34" s="58"/>
      <c r="N34" s="58"/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8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8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109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58"/>
      <c r="G38" s="61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8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7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109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8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61"/>
      <c r="H41" s="269"/>
      <c r="J41" s="270"/>
      <c r="K41" s="109"/>
      <c r="L41" s="109"/>
      <c r="M41" s="58"/>
      <c r="N41" s="58"/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7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109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8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61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109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69"/>
      <c r="AL49" s="455"/>
      <c r="AM49" s="61"/>
      <c r="AN49" s="269"/>
      <c r="AP49" s="449"/>
      <c r="AQ49" s="450"/>
      <c r="AR49" s="483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6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58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493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4"/>
      <c r="AA83" s="483"/>
      <c r="AB83" s="483"/>
      <c r="AC83" s="495"/>
      <c r="AD83" s="496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70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70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436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3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70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3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F2:F1002">
      <formula1>"Luis,Jesus,Clara,Noel,Daniela,Mariadelaida,Eduardo,Alexis,Diana,Enrique,Rafael,Francisco"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