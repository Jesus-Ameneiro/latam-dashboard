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tc={c043ba68-94e0-41e8-a69f-c7a4e62fef17}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c043ba68-94e0-41e8-a69f-c7a4e62fef17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<sst xmlns="http://schemas.openxmlformats.org/spreadsheetml/2006/main" count="9264" uniqueCount="4154">
  <si>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</si>
  <si>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</si>
  <si>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</si>
  <si>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</si>
  <si>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</si>
  <si>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</si>
  <si>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</si>
  <si>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</si>
  <si>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</si>
  <si>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</si>
  <si>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</si>
  <si>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</si>
  <si>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</si>
  <si>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</si>
  <si>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</si>
  <si>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</si>
  <si>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</si>
  <si>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</si>
  <si>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</si>
  <si>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</si>
  <si>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</si>
  <si>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</si>
  <si>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</si>
  <si>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</si>
  <si>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</si>
  <si>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</si>
  <si>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</si>
  <si>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</si>
  <si>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</si>
  <si>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</si>
  <si>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</si>
  <si>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</si>
  <si>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</si>
  <si>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</si>
  <si>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</si>
  <si>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</si>
  <si>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</si>
  <si>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</si>
  <si>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</si>
  <si>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</si>
  <si>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</si>
  <si>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</si>
  <si>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</si>
  <si>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</si>
  <si>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</si>
  <si>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</si>
  <si>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</si>
  <si>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</si>
  <si>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</si>
  <si>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</si>
  <si>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</si>
  <si>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</si>
  <si>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</si>
  <si>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</si>
  <si>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</si>
  <si>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</si>
  <si>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</si>
  <si>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</si>
  <si>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</si>
  <si>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</si>
  <si>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</si>
  <si>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</si>
  <si>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</si>
  <si>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</si>
  <si>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</si>
  <si>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</si>
  <si>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</si>
  <si>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</si>
  <si>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</si>
  <si>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</si>
  <si>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</si>
  <si>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</si>
  <si>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</si>
  <si>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</si>
  <si>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</si>
  <si>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</si>
  <si>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</si>
  <si>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</si>
  <si>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</si>
  <si>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</si>
  <si>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</si>
  <si>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</si>
  <si>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</si>
  <si>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</si>
  <si>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</si>
  <si>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</si>
  <si>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</si>
  <si>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</si>
  <si>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</si>
  <si>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</si>
  <si>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</si>
  <si>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</si>
  <si>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</si>
  <si>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</si>
  <si>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</si>
  <si>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</si>
  <si>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</si>
  <si>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</si>
  <si>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</si>
  <si>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</si>
  <si>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</si>
  <si>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</si>
  <si>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</si>
  <si>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</si>
  <si>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</si>
  <si>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</si>
  <si>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</si>
  <si>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</si>
  <si>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</si>
  <si>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</si>
  <si>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</si>
  <si>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</si>
  <si>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</si>
  <si>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</si>
  <si>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</si>
  <si>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</si>
  <si>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</si>
  <si>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</si>
  <si>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</si>
  <si>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</si>
  <si>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</si>
  <si>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</si>
  <si>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</si>
  <si>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</si>
  <si>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</si>
  <si>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</si>
  <si>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</si>
  <si>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</si>
  <si>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</si>
  <si>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</si>
  <si>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</si>
  <si>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</si>
  <si>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</si>
  <si>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</si>
  <si>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</si>
  <si>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</si>
  <si>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</si>
  <si>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</si>
  <si>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</si>
  <si>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</si>
  <si>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</si>
  <si>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</si>
  <si>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</si>
  <si>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</si>
  <si>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</si>
  <si>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</si>
  <si>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</si>
  <si>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</si>
  <si>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</si>
  <si>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</si>
  <si>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</si>
  <si>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</si>
  <si>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</si>
  <si>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</si>
  <si>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</si>
  <si>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</si>
  <si>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</si>
  <si>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</si>
  <si>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</si>
  <si>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</si>
  <si>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</si>
  <si>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</si>
  <si>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</si>
  <si>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</si>
  <si>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</si>
  <si>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</si>
  <si>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</si>
  <si>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</si>
  <si>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</si>
  <si>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</si>
  <si>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</si>
  <si>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</si>
  <si>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</si>
  <si>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</si>
  <si>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</si>
  <si>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</si>
  <si>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</si>
  <si>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</si>
  <si>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</si>
  <si>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</si>
  <si>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</si>
  <si>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</si>
  <si>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</si>
  <si>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</si>
  <si>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</si>
  <si>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</si>
  <si>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</si>
  <si>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</si>
  <si>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</si>
  <si>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</si>
  <si>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</si>
  <si>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</si>
  <si>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</si>
  <si>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</si>
  <si>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</si>
  <si>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</si>
  <si>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</si>
  <si>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</si>
  <si>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</si>
  <si>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</si>
  <si>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</si>
  <si>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</si>
  <si>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</si>
  <si>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</si>
  <si>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</si>
  <si>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</si>
  <si>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</si>
  <si>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</si>
  <si>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</si>
  <si>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</si>
  <si>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</si>
  <si>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</si>
  <si>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</si>
  <si>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</si>
  <si>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</si>
  <si>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</si>
  <si>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</si>
  <si>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</si>
  <si>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</si>
  <si>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</si>
  <si>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</si>
  <si>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</si>
  <si>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</si>
  <si>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</si>
  <si>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</si>
  <si>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</si>
  <si>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</si>
  <si>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</si>
  <si>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</si>
  <si>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</si>
  <si>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</si>
  <si>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</si>
  <si>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</si>
  <si>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</si>
  <si>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</si>
  <si>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</si>
  <si>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</si>
  <si>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</si>
  <si>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</si>
  <si>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</si>
  <si>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</si>
  <si>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</si>
  <si>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</si>
  <si>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</si>
  <si>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</si>
  <si>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</si>
  <si>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</si>
  <si>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</si>
  <si>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</si>
  <si>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</si>
  <si>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</si>
  <si>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</si>
  <si>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</si>
  <si>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</si>
  <si>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</si>
  <si>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</si>
  <si>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</si>
  <si>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</si>
  <si>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</si>
  <si>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</si>
  <si>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</si>
  <si>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</si>
  <si>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</si>
  <si>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</si>
  <si>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</si>
  <si>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</si>
  <si>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</si>
  <si>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</si>
  <si>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</si>
  <si>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</si>
  <si>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</si>
  <si>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</si>
  <si>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</si>
  <si>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</si>
  <si>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</si>
  <si>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</si>
  <si>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</si>
  <si>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</si>
  <si>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</si>
  <si>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</si>
  <si>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</si>
  <si>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</si>
  <si>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</si>
  <si>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</si>
  <si>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</si>
  <si>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</si>
  <si>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</si>
  <si>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</si>
  <si>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</si>
  <si>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</si>
  <si>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</si>
  <si>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</si>
  <si>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</si>
  <si>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</si>
  <si>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</si>
  <si>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</si>
  <si>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</si>
  <si>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</si>
  <si>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</si>
  <si>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</si>
  <si>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</si>
  <si>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</si>
  <si>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</si>
  <si>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</si>
  <si>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</si>
  <si>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</si>
  <si>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</si>
  <si>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</si>
  <si>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</si>
  <si>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</si>
  <si>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</si>
  <si>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</si>
  <si>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</si>
  <si>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</si>
  <si>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</si>
  <si>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</si>
  <si>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</si>
  <si>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</si>
  <si>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</si>
  <si>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</si>
  <si>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</si>
  <si>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</si>
  <si>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</si>
  <si>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</si>
  <si>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</si>
  <si>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</si>
  <si>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</si>
  <si>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</si>
  <si>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</si>
  <si>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</si>
  <si>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</si>
  <si>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</si>
  <si>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</si>
  <si>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</si>
  <si>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</si>
  <si>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</si>
  <si>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</si>
  <si>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</si>
  <si>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</si>
  <si>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</si>
  <si>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</si>
  <si>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</si>
  <si>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</si>
  <si>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</si>
  <si>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</si>
  <si>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</si>
  <si>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</si>
  <si>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</si>
  <si>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</si>
  <si>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</si>
  <si>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</si>
  <si>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</si>
  <si>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</si>
  <si>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</si>
  <si>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</si>
  <si>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</si>
  <si>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</si>
  <si>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</si>
  <si>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</si>
  <si>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</si>
  <si>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</si>
  <si>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</si>
  <si>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</si>
  <si>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</si>
  <si>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</si>
  <si>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</si>
  <si>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</si>
  <si>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</si>
  <si>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</si>
  <si>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</si>
  <si>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</si>
  <si>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</si>
  <si>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</si>
  <si>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</si>
  <si>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</si>
  <si>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</si>
  <si>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</si>
  <si>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</si>
  <si>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</si>
  <si>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</si>
  <si>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</si>
  <si>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</si>
  <si>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</si>
  <si>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</si>
  <si>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</si>
  <si>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</si>
  <si>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</si>
  <si>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</si>
  <si>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</si>
  <si>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</si>
  <si>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</si>
  <si>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</si>
  <si>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</si>
  <si>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</si>
  <si>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</si>
  <si>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</si>
  <si>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</si>
  <si>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</si>
  <si>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</si>
  <si>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</si>
  <si>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</si>
  <si>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</si>
  <si>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</si>
  <si>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</si>
  <si>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</si>
  <si>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</si>
  <si>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</si>
  <si>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</si>
  <si>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</si>
  <si>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</si>
  <si>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</si>
  <si>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</si>
  <si>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</si>
  <si>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</si>
  <si>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</si>
  <si>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</si>
  <si>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</si>
  <si>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</si>
  <si>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</si>
  <si>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</si>
  <si>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</si>
  <si>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</si>
  <si>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</si>
  <si>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</si>
  <si>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</si>
  <si>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</si>
  <si>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</si>
  <si>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</si>
  <si>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</si>
  <si>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</si>
  <si>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</si>
  <si>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</si>
  <si>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</si>
  <si>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</si>
  <si>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</si>
  <si>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</si>
  <si>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</si>
  <si>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</si>
  <si>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</si>
  <si>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</si>
  <si>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</si>
  <si>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</si>
  <si>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</si>
  <si>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</si>
  <si>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</si>
  <si>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</si>
  <si>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</si>
  <si>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</si>
  <si>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</si>
  <si>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</si>
  <si>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</si>
  <si>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</si>
  <si>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</si>
  <si>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</si>
  <si>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</si>
  <si>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</si>
  <si>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</si>
  <si>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</si>
  <si>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</si>
  <si>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</si>
  <si>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</si>
  <si>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</si>
  <si>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</si>
  <si>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</si>
  <si>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</si>
  <si>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</si>
  <si>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</si>
  <si>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</si>
  <si>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</si>
  <si>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</si>
  <si>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</si>
  <si>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</si>
  <si>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</si>
  <si>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</si>
  <si>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</si>
  <si>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</si>
  <si>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</si>
  <si>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</si>
  <si>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</si>
  <si>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</si>
  <si>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</si>
  <si>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</si>
  <si>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</si>
  <si>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</si>
  <si>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</si>
  <si>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</si>
  <si>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</si>
  <si>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</si>
  <si>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</si>
  <si>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</si>
  <si>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</si>
  <si>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</si>
  <si>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</si>
  <si>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</si>
  <si>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</si>
  <si>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</si>
  <si>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</si>
  <si>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</si>
  <si>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</si>
  <si>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</si>
  <si>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</si>
  <si>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</si>
  <si>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</si>
  <si>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</si>
  <si>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</si>
  <si>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</si>
  <si>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</si>
  <si>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</si>
  <si>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</si>
  <si>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</si>
  <si>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</si>
  <si>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</si>
  <si>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</si>
  <si>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</si>
  <si>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</si>
  <si>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</si>
  <si>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</si>
  <si>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</si>
  <si>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</si>
  <si>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</si>
  <si>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</si>
  <si>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</si>
  <si>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</si>
  <si>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</si>
  <si>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</si>
  <si>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</si>
  <si>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</si>
  <si>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</si>
  <si>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</si>
  <si>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</si>
  <si>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</si>
  <si>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</si>
  <si>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</si>
  <si>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</si>
  <si>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</si>
  <si>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</si>
  <si>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</si>
  <si>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</si>
  <si>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</si>
  <si>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</si>
  <si>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</si>
  <si>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</si>
  <si>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</si>
  <si>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</si>
  <si>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</si>
  <si>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</si>
  <si>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</si>
  <si>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</si>
  <si>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</si>
  <si>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</si>
  <si>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</si>
  <si>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</si>
  <si>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</si>
  <si>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</si>
  <si>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</si>
  <si>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</si>
  <si>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</si>
  <si>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</si>
  <si>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</si>
  <si>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</si>
  <si>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</si>
  <si>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</si>
  <si>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</si>
  <si>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</si>
  <si>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</si>
  <si>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</si>
  <si>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</si>
  <si>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</si>
  <si>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</si>
  <si>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</si>
  <si>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</si>
  <si>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</si>
  <si>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</si>
  <si>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</si>
  <si>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</si>
  <si>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</si>
  <si>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</si>
  <si>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</si>
  <si>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</si>
  <si>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</si>
  <si>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</si>
  <si>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</si>
  <si>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</si>
  <si>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</si>
  <si>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</si>
  <si>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</si>
  <si>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</si>
  <si>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</si>
  <si>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</si>
  <si>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</si>
  <si>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</si>
  <si>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</si>
  <si>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</si>
  <si>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</si>
  <si>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</si>
  <si>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</si>
  <si>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</si>
  <si>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</si>
  <si>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</si>
  <si>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</si>
  <si>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</si>
  <si>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</si>
  <si>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</si>
  <si>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</si>
  <si>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</si>
  <si>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</si>
  <si>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</si>
  <si>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</si>
  <si>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</si>
  <si>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</si>
  <si>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</si>
  <si>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</si>
  <si>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</si>
  <si>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</si>
  <si>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</si>
  <si>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</si>
  <si>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</si>
  <si>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</si>
  <si>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</si>
  <si>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</si>
  <si>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</si>
  <si>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</si>
  <si>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</si>
  <si>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</si>
  <si>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</si>
  <si>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</si>
  <si>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</si>
  <si>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</si>
  <si>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</si>
  <si>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</si>
  <si>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</si>
  <si>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</si>
  <si>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</si>
  <si>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</si>
  <si>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</si>
  <si>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</si>
  <si>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</si>
  <si>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</si>
  <si>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</si>
  <si>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</si>
  <si>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</si>
  <si>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</si>
  <si>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</si>
  <si>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</si>
  <si>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</si>
  <si>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</si>
  <si>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</si>
  <si>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</si>
  <si>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</si>
  <si>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</si>
  <si>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</si>
  <si>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</si>
  <si>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</si>
  <si>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</si>
  <si>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</si>
  <si>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</si>
  <si>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</si>
  <si>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</si>
  <si>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</si>
  <si>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</si>
  <si>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</si>
  <si>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</si>
  <si>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</si>
  <si>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</si>
  <si>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</si>
  <si>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</si>
  <si>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</si>
  <si>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</si>
  <si>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</si>
  <si>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</si>
  <si>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</si>
  <si>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</si>
  <si>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</si>
  <si>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</si>
  <si>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</si>
  <si>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</si>
  <si>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</si>
  <si>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</si>
  <si>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</si>
  <si>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</si>
  <si>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</si>
  <si>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</si>
  <si>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</si>
  <si>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</si>
  <si>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</si>
  <si>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</si>
  <si>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</si>
  <si>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</si>
  <si>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</si>
  <si>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</si>
  <si>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</si>
  <si>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</si>
  <si>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</si>
  <si>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</si>
  <si>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</si>
  <si>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</si>
  <si>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</si>
  <si>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</si>
  <si>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</si>
  <si>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</si>
  <si>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</si>
  <si>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</si>
  <si>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</si>
  <si>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</si>
  <si>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</si>
  <si>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</si>
  <si>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</si>
  <si>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</si>
  <si>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</si>
  <si>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</si>
  <si>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</si>
  <si>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</si>
  <si>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</si>
  <si>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</si>
  <si>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</si>
  <si>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</si>
  <si>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</si>
  <si>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</si>
  <si>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</si>
  <si>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</si>
  <si>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</si>
  <si>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</si>
  <si>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</si>
  <si>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</si>
  <si>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</si>
  <si>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</si>
  <si>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</si>
  <si>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</si>
  <si>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</si>
  <si>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</si>
  <si>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</si>
  <si>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</si>
  <si>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</si>
  <si>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</si>
  <si>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</si>
  <si>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</si>
  <si>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</si>
  <si>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</si>
  <si>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</si>
  <si>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</si>
  <si>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</si>
  <si>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</si>
  <si>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</si>
  <si>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</si>
  <si>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</si>
  <si>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</si>
  <si>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</si>
  <si>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</si>
  <si>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</si>
  <si>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</si>
  <si>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</si>
  <si>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</si>
  <si>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</si>
  <si>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</si>
  <si>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</si>
  <si>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</si>
  <si>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</si>
  <si>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</si>
  <si>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</si>
  <si>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</si>
  <si>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</si>
  <si>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</si>
  <si>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</si>
  <si>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</si>
  <si>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</si>
  <si>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</si>
  <si>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</si>
  <si>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</si>
  <si>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</si>
  <si>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</si>
  <si>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</si>
  <si>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</si>
  <si>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</si>
  <si>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</si>
  <si>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</si>
  <si>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</si>
  <si>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</si>
  <si>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</si>
  <si>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</si>
  <si>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</si>
  <si>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</si>
  <si>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</si>
  <si>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</si>
  <si>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</si>
  <si>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</si>
  <si>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</si>
  <si>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</si>
  <si>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</si>
  <si>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</si>
  <si>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</si>
  <si>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</si>
  <si>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</si>
  <si>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</si>
  <si>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</si>
  <si>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</si>
  <si>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</si>
  <si>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</si>
  <si>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</si>
  <si>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</si>
  <si>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</si>
  <si>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</si>
  <si>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</si>
  <si>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</si>
  <si>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</si>
  <si>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</si>
  <si>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</si>
  <si>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</si>
  <si>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</si>
  <si>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</si>
  <si>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</si>
  <si>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</si>
  <si>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</si>
  <si>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</si>
  <si>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</si>
  <si>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</si>
  <si>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</si>
  <si>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</si>
  <si>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</si>
  <si>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</si>
  <si>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</si>
  <si>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</si>
  <si>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</si>
  <si>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</si>
  <si>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</si>
  <si>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</si>
  <si>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</si>
  <si>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</si>
  <si>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</si>
  <si>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</si>
  <si>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</si>
  <si>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</si>
  <si>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</si>
  <si>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</si>
  <si>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</si>
  <si>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</si>
  <si>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</si>
  <si>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</si>
  <si>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</si>
  <si>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</si>
  <si>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</si>
  <si>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</si>
  <si>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</si>
  <si>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</si>
  <si>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</si>
  <si>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</si>
  <si>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</si>
  <si>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</si>
  <si>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</si>
  <si>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</si>
  <si>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</si>
  <si>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</si>
  <si>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</si>
  <si>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</si>
  <si>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</si>
  <si>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</si>
  <si>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</si>
  <si>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</si>
  <si>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</si>
  <si>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</si>
  <si>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</si>
  <si>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</si>
  <si>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</si>
  <si>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</si>
  <si>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</si>
  <si>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</si>
  <si>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</si>
  <si>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</si>
  <si>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</si>
  <si>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</si>
  <si>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</si>
  <si>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</si>
  <si>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</si>
  <si>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</si>
  <si>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</si>
  <si>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</si>
  <si>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</si>
  <si>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</si>
  <si>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</si>
  <si>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</si>
  <si>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</si>
  <si>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</si>
  <si>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</si>
  <si>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</si>
  <si>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</si>
  <si>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</si>
  <si>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</si>
  <si>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</si>
  <si>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</si>
  <si>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</si>
  <si>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</si>
  <si>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</si>
  <si>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</si>
  <si>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</si>
  <si>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</si>
  <si>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</si>
  <si>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</si>
  <si>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</si>
  <si>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</si>
  <si>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</si>
  <si>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</si>
  <si>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</si>
  <si>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</si>
  <si>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</si>
  <si>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</si>
  <si>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</si>
  <si>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</si>
  <si>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</si>
  <si>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</si>
  <si>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</si>
  <si>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</si>
  <si>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</si>
  <si>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</si>
  <si>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</si>
  <si>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</si>
  <si>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</si>
  <si>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</si>
  <si>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</si>
  <si>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</si>
  <si>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</si>
  <si>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</si>
  <si>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</si>
  <si>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</si>
  <si>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</si>
  <si>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</si>
  <si>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</si>
  <si>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</si>
  <si>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</si>
  <si>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</si>
  <si>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</si>
  <si>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</si>
  <si>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</si>
  <si>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</si>
  <si>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</si>
  <si>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</si>
  <si>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</si>
  <si>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</si>
  <si>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</si>
  <si>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</si>
  <si>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</si>
  <si>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</si>
  <si>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</si>
  <si>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</si>
  <si>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</si>
  <si>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</si>
  <si>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</si>
  <si>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</si>
  <si>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</si>
  <si>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</si>
  <si>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</si>
  <si>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</si>
  <si>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</si>
  <si>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</si>
  <si>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</si>
  <si>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</si>
  <si>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</si>
  <si>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</si>
  <si>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</si>
  <si>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</si>
  <si>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</si>
  <si>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</si>
  <si>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</si>
  <si>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</si>
  <si>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</si>
  <si>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</si>
  <si>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</si>
  <si>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</si>
  <si>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</si>
  <si>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</si>
  <si>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</si>
  <si>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</si>
  <si>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</si>
  <si>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</si>
  <si>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</si>
  <si>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</si>
  <si>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</si>
  <si>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</si>
  <si>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</si>
  <si>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</si>
  <si>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</si>
  <si>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</si>
  <si>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</si>
  <si>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</si>
  <si>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</si>
  <si>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</si>
  <si>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</si>
  <si>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</si>
  <si>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</si>
  <si>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</si>
  <si>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</si>
  <si>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</si>
  <si>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</si>
  <si>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</si>
  <si>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</si>
  <si>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</si>
  <si>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</si>
  <si>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</si>
  <si>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</si>
  <si>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</si>
  <si>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</si>
  <si>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</si>
  <si>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</si>
  <si>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</si>
  <si>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</si>
  <si>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</si>
  <si>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</si>
  <si>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</si>
  <si>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</si>
  <si>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</si>
  <si>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</si>
  <si>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</si>
  <si>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</si>
  <si>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</si>
  <si>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</si>
  <si>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</si>
  <si>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</si>
  <si>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</si>
  <si>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</si>
  <si>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</si>
  <si>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</si>
  <si>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</si>
  <si>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</si>
  <si>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</si>
  <si>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</si>
  <si>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</si>
  <si>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</si>
  <si>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</si>
  <si>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</si>
  <si>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</si>
  <si>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</si>
  <si>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</si>
  <si>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</si>
  <si>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</si>
  <si>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</si>
  <si>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</si>
  <si>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</si>
  <si>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</si>
  <si>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</si>
  <si>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</si>
  <si>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</si>
  <si>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</si>
  <si>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</si>
  <si>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</si>
  <si>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</si>
  <si>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</si>
  <si>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</si>
  <si>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</si>
  <si>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</si>
  <si>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</si>
  <si>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</si>
  <si>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</si>
  <si>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</si>
  <si>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</si>
  <si>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</si>
  <si>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</si>
  <si>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</si>
  <si>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</si>
  <si>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</si>
  <si>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</si>
  <si>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</si>
  <si>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</si>
  <si>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</si>
  <si>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</si>
  <si>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</si>
  <si>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</si>
  <si>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</si>
  <si>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</si>
  <si>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</si>
  <si>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</si>
  <si>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</si>
  <si>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</si>
  <si>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</si>
  <si>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</si>
  <si>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</si>
  <si>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</si>
  <si>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</si>
  <si>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</si>
  <si>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</si>
  <si>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</si>
  <si>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</si>
  <si>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</si>
  <si>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</si>
  <si>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</si>
  <si>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</si>
  <si>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</si>
  <si>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</si>
  <si>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</si>
  <si>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</si>
  <si>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</si>
  <si>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</si>
  <si>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</si>
  <si>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</si>
  <si>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</si>
  <si>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</si>
  <si>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</si>
  <si>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</si>
  <si>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</si>
  <si>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</si>
  <si>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</si>
  <si>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</si>
  <si>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</si>
  <si>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</si>
  <si>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</si>
  <si>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</si>
  <si>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</si>
  <si>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</si>
  <si>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</si>
  <si>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</si>
  <si>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</si>
  <si>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</si>
  <si>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</si>
  <si>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</si>
  <si>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</si>
  <si>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</si>
  <si>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</si>
  <si>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</si>
  <si>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</si>
  <si>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</si>
  <si>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</si>
  <si>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</si>
  <si>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</si>
  <si>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</si>
  <si>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</si>
  <si>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</si>
  <si>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</si>
  <si>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</si>
  <si>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</si>
  <si>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</si>
  <si>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</si>
  <si>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</si>
  <si>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</si>
  <si>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</si>
  <si>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</si>
  <si>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</si>
  <si>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</si>
  <si>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</si>
  <si>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</si>
  <si>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</si>
  <si>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</si>
  <si>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</si>
  <si>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</si>
  <si>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</si>
  <si>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</si>
  <si>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</si>
  <si>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</si>
  <si>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</si>
  <si>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</si>
  <si>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</si>
  <si>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</si>
  <si>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</si>
  <si>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</si>
  <si>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</si>
  <si>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</si>
  <si>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</si>
  <si>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</si>
  <si>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</si>
  <si>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</si>
  <si>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</si>
  <si>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</si>
  <si>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</si>
  <si>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</si>
  <si>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</si>
  <si>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</si>
  <si>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</si>
  <si>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</si>
  <si>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</si>
  <si>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</si>
  <si>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</si>
  <si>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</si>
  <si>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</si>
  <si>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</si>
  <si>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</si>
  <si>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</si>
  <si>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</si>
  <si>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</si>
  <si>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</si>
  <si>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</si>
  <si>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</si>
  <si>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</si>
  <si>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</si>
  <si>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</si>
  <si>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</si>
  <si>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</si>
  <si>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</si>
  <si>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</si>
  <si>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</si>
  <si>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</si>
  <si>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</si>
  <si>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</si>
  <si>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</si>
  <si>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</si>
  <si>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</si>
  <si>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</si>
  <si>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</si>
  <si>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</si>
  <si>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</si>
  <si>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</si>
  <si>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</si>
  <si>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</si>
  <si>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</si>
  <si>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</si>
  <si>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</si>
  <si>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</si>
  <si>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</si>
  <si>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</si>
  <si>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</si>
  <si>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</si>
  <si>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</si>
  <si>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</si>
  <si>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</si>
  <si>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</si>
  <si>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</si>
  <si>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</si>
  <si>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</si>
  <si>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</si>
  <si>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</si>
  <si>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</si>
  <si>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</si>
  <si>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</si>
  <si>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</si>
  <si>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</si>
  <si>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</si>
  <si>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</si>
  <si>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</si>
  <si>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</si>
  <si>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</si>
  <si>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</si>
  <si>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</si>
  <si>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</si>
  <si>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</si>
  <si>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</si>
  <si>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</si>
  <si>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</si>
  <si>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</si>
  <si>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</si>
  <si>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</si>
  <si>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</si>
  <si>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</si>
  <si>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</si>
  <si>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</si>
  <si>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</si>
  <si>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</si>
  <si>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</si>
  <si>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</si>
  <si>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</si>
  <si>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</si>
  <si>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</si>
  <si>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</si>
  <si>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</si>
  <si>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</si>
  <si>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</si>
  <si>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</si>
  <si>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</si>
  <si>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</si>
  <si>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</si>
  <si>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</si>
  <si>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</si>
  <si>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</si>
  <si>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</si>
  <si>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</si>
  <si>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</si>
  <si>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</si>
  <si>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</si>
  <si>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</si>
  <si>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</si>
  <si>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</si>
  <si>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</si>
  <si>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</si>
  <si>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</si>
  <si>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</si>
  <si>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</si>
  <si>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</si>
  <si>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</si>
  <si>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</si>
  <si>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</si>
  <si>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</si>
  <si>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</si>
  <si>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</si>
  <si>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</si>
  <si>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</si>
  <si>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</si>
  <si>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</si>
  <si>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</si>
  <si>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</si>
  <si>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</si>
  <si>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</si>
  <si>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</si>
  <si>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</si>
  <si>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</si>
  <si>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</si>
  <si>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</si>
  <si>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</si>
  <si>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</si>
  <si>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</si>
  <si>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</si>
  <si>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</si>
  <si>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</si>
  <si>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</si>
  <si>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</si>
  <si>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</si>
  <si>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</si>
  <si>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</si>
  <si>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</si>
  <si>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</si>
  <si>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</si>
  <si>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</si>
  <si>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</si>
  <si>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</si>
  <si>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</si>
  <si>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</si>
  <si>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</si>
  <si>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</si>
  <si>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</si>
  <si>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</si>
  <si>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</si>
  <si>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</si>
  <si>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</si>
  <si>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</si>
  <si>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</si>
  <si>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</si>
  <si>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</si>
  <si>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</si>
  <si>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</si>
  <si>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</si>
  <si>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</si>
  <si>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</si>
  <si>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</si>
  <si>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</si>
  <si>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</si>
  <si>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</si>
  <si>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</si>
  <si>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</si>
  <si>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</si>
  <si>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</si>
  <si>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</si>
  <si>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</si>
  <si>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</si>
  <si>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</si>
  <si>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</si>
  <si>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</si>
  <si>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</si>
  <si>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</si>
  <si>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</si>
  <si>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</si>
  <si>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</si>
  <si>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</si>
  <si>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</si>
  <si>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</si>
  <si>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</si>
  <si>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</si>
  <si>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</si>
  <si>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</si>
  <si>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</si>
  <si>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</si>
  <si>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</si>
  <si>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</si>
  <si>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</si>
  <si>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</si>
  <si>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</si>
  <si>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</si>
  <si>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</si>
  <si>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</si>
  <si>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</si>
  <si>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</si>
  <si>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</si>
  <si>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</si>
  <si>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</si>
  <si>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</si>
  <si>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</si>
  <si>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</si>
  <si>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</si>
  <si>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</si>
  <si>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</si>
  <si>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</si>
  <si>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</si>
  <si>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</si>
  <si>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</si>
  <si>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</si>
  <si>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</si>
  <si>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</si>
  <si>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</si>
  <si>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</si>
  <si>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</si>
  <si>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</si>
  <si>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</si>
  <si>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</si>
  <si>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</si>
  <si>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</si>
  <si>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</si>
  <si>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</si>
  <si>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</si>
  <si>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</si>
  <si>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</si>
  <si>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</si>
  <si>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</si>
  <si>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</si>
  <si>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</si>
  <si>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</si>
  <si>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</si>
  <si>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</si>
  <si>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</si>
  <si>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</si>
  <si>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</si>
  <si>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</si>
  <si>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</si>
  <si>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</si>
  <si>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</si>
  <si>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</si>
  <si>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</si>
  <si>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</si>
  <si>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</si>
  <si>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</si>
  <si>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</si>
  <si>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</si>
  <si>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</si>
  <si>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</si>
  <si>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</si>
  <si>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</si>
  <si>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</si>
  <si>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</si>
  <si>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</si>
  <si>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</si>
  <si>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</si>
  <si>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</si>
  <si>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</si>
  <si>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</si>
  <si>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</si>
  <si>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</si>
  <si>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</si>
  <si>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</si>
  <si>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</si>
  <si>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</si>
  <si>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</si>
  <si>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</si>
  <si>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</si>
  <si>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</si>
  <si>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</si>
  <si>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</si>
  <si>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</si>
  <si>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</si>
  <si>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</si>
  <si>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</si>
  <si>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</si>
  <si>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</si>
  <si>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</si>
  <si>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</si>
  <si>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</si>
  <si>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</si>
  <si>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</si>
  <si>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</si>
  <si>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</si>
  <si>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</si>
  <si>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</si>
  <si>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</si>
  <si>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</si>
  <si>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</si>
  <si>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</si>
  <si>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</si>
  <si>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</si>
  <si>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</si>
  <si>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</si>
  <si>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</si>
  <si>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</si>
  <si>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</si>
  <si>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</si>
  <si>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</si>
  <si>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</si>
  <si>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</si>
  <si>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</si>
  <si>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</si>
  <si>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</si>
  <si>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</si>
  <si>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</si>
  <si>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</si>
  <si>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</si>
  <si>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</si>
  <si>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</si>
  <si>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</si>
  <si>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</si>
  <si>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</si>
  <si>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</si>
  <si>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</si>
  <si>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</si>
  <si>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</si>
  <si>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</si>
  <si>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</si>
  <si>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</si>
  <si>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</si>
  <si>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</si>
  <si>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</si>
  <si>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</si>
  <si>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</si>
  <si>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</si>
  <si>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</si>
  <si>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</si>
  <si>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</si>
  <si>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</si>
  <si>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</si>
  <si>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</si>
  <si>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</si>
  <si>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</si>
  <si>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</si>
  <si>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</si>
  <si>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</si>
  <si>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</si>
  <si>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</si>
  <si>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</si>
  <si>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</si>
  <si>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</si>
  <si>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</si>
  <si>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</si>
  <si>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</si>
  <si>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</si>
  <si>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</si>
  <si>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</si>
  <si>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</si>
  <si>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</si>
  <si>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</si>
  <si>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</si>
  <si>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</si>
  <si>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</si>
  <si>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</si>
  <si>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</si>
  <si>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</si>
  <si>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</si>
  <si>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</si>
  <si>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</si>
  <si>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</si>
  <si>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</si>
  <si>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</si>
  <si>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</si>
  <si>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</si>
  <si>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</si>
  <si>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</si>
  <si>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</si>
  <si>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</si>
  <si>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</si>
  <si>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</si>
  <si>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</si>
  <si>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</si>
  <si>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</si>
  <si>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</si>
  <si>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</si>
  <si>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</si>
  <si>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</si>
  <si>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</si>
  <si>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</si>
  <si>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</si>
  <si>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</si>
  <si>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</si>
  <si>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</si>
  <si>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</si>
  <si>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</si>
  <si>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</si>
  <si>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</si>
  <si>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</si>
  <si>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</si>
  <si>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</si>
  <si>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</si>
  <si>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</si>
  <si>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</si>
  <si>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</si>
  <si>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</si>
  <si>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</si>
  <si>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</si>
  <si>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</si>
  <si>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</si>
  <si>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</si>
  <si>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</si>
  <si>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</si>
  <si>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</si>
  <si>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</si>
  <si>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</si>
  <si>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</si>
  <si>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</si>
  <si>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</si>
  <si>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</si>
  <si>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</si>
  <si>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</si>
  <si>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</si>
  <si>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</si>
  <si>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</si>
  <si>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</si>
  <si>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</si>
  <si>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</si>
  <si>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</si>
  <si>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</si>
  <si>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</si>
  <si>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</si>
  <si>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</si>
  <si>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</si>
  <si>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</si>
  <si>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</si>
  <si>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</si>
  <si>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</si>
  <si>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</si>
  <si>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</si>
  <si>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</si>
  <si>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</si>
  <si>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</si>
  <si>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</si>
  <si>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</si>
  <si>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</si>
  <si>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</si>
  <si>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</si>
  <si>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</si>
  <si>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</si>
  <si>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</si>
  <si>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</si>
  <si>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</si>
  <si>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</si>
  <si>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</si>
  <si>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</si>
  <si>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</si>
  <si>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</si>
  <si>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</si>
  <si>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</si>
  <si>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</si>
  <si>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</si>
  <si>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</si>
  <si>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</si>
  <si>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</si>
  <si>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</si>
  <si>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</si>
  <si>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</si>
  <si>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</si>
  <si>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</si>
  <si>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</si>
  <si>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</si>
  <si>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</si>
  <si>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</si>
  <si>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</si>
  <si>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</si>
  <si>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</si>
  <si>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</si>
  <si>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</si>
  <si>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</si>
  <si>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</si>
  <si>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</si>
  <si>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</si>
  <si>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</si>
  <si>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</si>
  <si>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</si>
  <si>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</si>
  <si>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</si>
  <si>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</si>
  <si>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</si>
  <si>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</si>
  <si>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</si>
  <si>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</si>
  <si>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</si>
  <si>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</si>
  <si>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</si>
  <si>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</si>
  <si>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</si>
  <si>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</si>
  <si>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</si>
  <si>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</si>
  <si>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</si>
  <si>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</si>
  <si>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</si>
  <si>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</si>
  <si>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</si>
  <si>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</si>
  <si>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</si>
  <si>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</si>
  <si>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</si>
  <si>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</si>
  <si>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</si>
  <si>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</si>
  <si>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</si>
  <si>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</si>
  <si>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</si>
  <si>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</si>
  <si>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</si>
  <si>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</si>
  <si>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</si>
  <si>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</si>
  <si>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</si>
  <si>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</si>
  <si>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</si>
  <si>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</si>
  <si>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</si>
  <si>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</si>
  <si>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</si>
  <si>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</si>
  <si>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</si>
  <si>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</si>
  <si>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</si>
  <si>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</si>
  <si>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</si>
  <si>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</si>
  <si>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</si>
  <si>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</si>
  <si>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</si>
  <si>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</si>
  <si>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</si>
  <si>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</si>
  <si>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</si>
  <si>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</si>
  <si>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</si>
  <si>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</si>
  <si>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</si>
  <si>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</si>
  <si>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</si>
  <si>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</si>
  <si>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</si>
  <si>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</si>
  <si>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</si>
  <si>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</si>
  <si>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</si>
  <si>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</si>
  <si>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</si>
  <si>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</si>
  <si>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</si>
  <si>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</si>
  <si>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</si>
  <si>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</si>
  <si>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</si>
  <si>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</si>
  <si>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</si>
  <si>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</si>
  <si>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</si>
  <si>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</si>
  <si>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</si>
  <si>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</si>
  <si>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</si>
  <si>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</si>
  <si>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</si>
  <si>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</si>
  <si>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</si>
  <si>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</si>
  <si>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</si>
  <si>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</si>
  <si>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</si>
  <si>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</si>
  <si>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</si>
  <si>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</si>
  <si>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</si>
  <si>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</si>
  <si>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</si>
  <si>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</si>
  <si>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</si>
  <si>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</si>
  <si>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</si>
  <si>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</si>
  <si>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</si>
  <si>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</si>
  <si>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</si>
  <si>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</si>
  <si>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</si>
  <si>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</si>
  <si>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</si>
  <si>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</si>
  <si>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</si>
  <si>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</si>
  <si>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</si>
  <si>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</si>
  <si>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</si>
  <si>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</si>
  <si>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</si>
  <si>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</si>
  <si>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</si>
  <si>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</si>
  <si>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</si>
  <si>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</si>
  <si>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</si>
  <si>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</si>
  <si>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</si>
  <si>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</si>
  <si>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</si>
  <si>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</si>
  <si>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</si>
  <si>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</si>
  <si>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</si>
  <si>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</si>
  <si>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</si>
  <si>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</si>
  <si>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</si>
  <si>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</si>
  <si>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</si>
  <si>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</si>
  <si>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</si>
  <si>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</si>
  <si>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</si>
  <si>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</si>
  <si>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</si>
  <si>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</si>
  <si>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</si>
  <si>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</si>
  <si>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</si>
  <si>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</si>
  <si>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</si>
  <si>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</si>
  <si>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</si>
  <si>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</si>
  <si>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</si>
  <si>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</si>
  <si>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</si>
  <si>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</si>
  <si>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</si>
  <si>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</si>
  <si>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</si>
  <si>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</si>
  <si>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</si>
  <si>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</si>
  <si>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</si>
  <si>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</si>
  <si>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</si>
  <si>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</si>
  <si>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</si>
  <si>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</si>
  <si>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</si>
  <si>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</si>
  <si>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</si>
  <si>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</si>
  <si>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</si>
  <si>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</si>
  <si>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</si>
  <si>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</si>
  <si>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</si>
  <si>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</si>
  <si>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</si>
  <si>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</si>
  <si>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</si>
  <si>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</si>
  <si>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</si>
  <si>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</si>
  <si>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</si>
  <si>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</si>
  <si>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</si>
  <si>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</si>
  <si>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</si>
  <si>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</si>
  <si>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</si>
  <si>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</si>
  <si>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</si>
  <si>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</si>
  <si>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</si>
  <si>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</si>
  <si>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</si>
  <si>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</si>
  <si>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</si>
  <si>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</si>
  <si>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</si>
  <si>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</si>
  <si>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</si>
  <si>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</si>
  <si>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</si>
  <si>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</si>
  <si>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</si>
  <si>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</si>
  <si>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</si>
  <si>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</si>
  <si>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</si>
  <si>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</si>
  <si>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</si>
  <si>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</si>
  <si>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</si>
  <si>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</si>
  <si>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</si>
  <si>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</si>
  <si>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</si>
  <si>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</si>
  <si>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</si>
  <si>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</si>
  <si>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</si>
  <si>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</si>
  <si>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</si>
  <si>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</si>
  <si>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</si>
  <si>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</si>
  <si>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</si>
  <si>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</si>
  <si>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</si>
  <si>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</si>
  <si>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</si>
  <si>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</si>
  <si>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</si>
  <si>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</si>
  <si>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</si>
  <si>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</si>
  <si>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</si>
  <si>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</si>
  <si>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</si>
  <si>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</si>
  <si>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</si>
  <si>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</si>
  <si>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</si>
  <si>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</si>
  <si>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</si>
  <si>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</si>
  <si>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</si>
  <si>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</si>
  <si>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</si>
  <si>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</si>
  <si>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</si>
  <si>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</si>
  <si>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</si>
  <si>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</si>
  <si>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</si>
  <si>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</si>
  <si>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</si>
  <si>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</si>
  <si>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</si>
  <si>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</si>
  <si>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</si>
  <si>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</si>
  <si>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</si>
  <si>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</si>
  <si>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</si>
  <si>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</si>
  <si>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</si>
  <si>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</si>
  <si>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</si>
  <si>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</si>
  <si>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</si>
  <si>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</si>
  <si>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</si>
  <si>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</si>
  <si>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</si>
  <si>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</si>
  <si>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</si>
  <si>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</si>
  <si>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</si>
  <si>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</si>
  <si>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</si>
  <si>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</si>
  <si>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</si>
  <si>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</si>
  <si>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</si>
  <si>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</si>
  <si>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</si>
  <si>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</si>
  <si>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</si>
  <si>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</si>
  <si>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</si>
  <si>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</si>
  <si>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</si>
  <si>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</si>
  <si>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</si>
  <si>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</si>
  <si>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</si>
  <si>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</si>
  <si>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</si>
  <si>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</si>
  <si>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</si>
  <si>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</si>
  <si>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</si>
  <si>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</si>
  <si>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</si>
  <si>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</si>
  <si>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</si>
  <si>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</si>
  <si>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</si>
  <si>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</si>
  <si>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</si>
  <si>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</si>
  <si>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</si>
  <si>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</si>
  <si>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</si>
  <si>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</si>
  <si>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</si>
  <si>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</si>
  <si>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</si>
  <si>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</si>
  <si>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</si>
  <si>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</si>
  <si>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</si>
  <si>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</si>
  <si>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</si>
  <si>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</si>
  <si>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</si>
  <si>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</si>
  <si>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</si>
  <si>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</si>
  <si>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</si>
  <si>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</si>
  <si>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</si>
  <si>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</si>
  <si>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</si>
  <si>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</si>
  <si>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</si>
  <si>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</si>
  <si>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</si>
  <si>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</si>
  <si>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</si>
  <si>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</si>
  <si>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</si>
  <si>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</si>
  <si>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</si>
  <si>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</si>
  <si>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</si>
  <si>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</si>
  <si>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</si>
  <si>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</si>
  <si>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</si>
  <si>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</si>
  <si>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</si>
  <si>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</si>
  <si>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</si>
  <si>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</si>
  <si>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</si>
  <si>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</si>
  <si>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</si>
  <si>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</si>
  <si>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</si>
  <si>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</si>
  <si>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</si>
  <si>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</si>
  <si>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</si>
  <si>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</si>
  <si>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</si>
  <si>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</si>
  <si>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</si>
  <si>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</si>
  <si>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</si>
  <si>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</si>
  <si>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</si>
  <si>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</si>
  <si>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</si>
  <si>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</si>
  <si>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</si>
  <si>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</si>
  <si>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</si>
  <si>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</si>
  <si>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</si>
  <si>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</si>
  <si>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</si>
  <si>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</si>
  <si>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</si>
  <si>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</si>
  <si>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</si>
  <si>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</si>
  <si>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</si>
  <si>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</si>
  <si>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</si>
  <si>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</si>
  <si>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</si>
  <si>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</si>
  <si>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</si>
  <si>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</si>
  <si>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</si>
  <si>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</si>
  <si>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</si>
  <si>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</si>
  <si>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</si>
  <si>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</si>
  <si>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</si>
  <si>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</si>
  <si>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</si>
  <si>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</si>
  <si>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</si>
  <si>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</si>
  <si>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</si>
  <si>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</si>
  <si>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</si>
  <si>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</si>
  <si>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</si>
  <si>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</si>
  <si>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</si>
  <si>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</si>
  <si>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</si>
  <si>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</si>
  <si>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</si>
  <si>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</si>
  <si>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</si>
  <si>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</si>
  <si>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</si>
  <si>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</si>
  <si>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</si>
  <si>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</si>
  <si>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</si>
  <si>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</si>
  <si>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</si>
  <si>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</si>
  <si>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</si>
  <si>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</si>
  <si>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</si>
  <si>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</si>
  <si>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</si>
  <si>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</si>
  <si>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</si>
  <si>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</si>
  <si>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</si>
  <si>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</si>
  <si>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</si>
  <si>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</si>
  <si>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</si>
  <si>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</si>
  <si>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</si>
  <si>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</si>
  <si>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</si>
  <si>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</si>
  <si>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</si>
  <si>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</si>
  <si>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</si>
  <si>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</si>
  <si>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</si>
  <si>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</si>
  <si>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</si>
  <si>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</si>
  <si>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</si>
  <si>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</si>
  <si>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</si>
  <si>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</si>
  <si>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</si>
  <si>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</si>
  <si>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</si>
  <si>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</si>
  <si>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</si>
  <si>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</si>
  <si>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</si>
  <si>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</si>
  <si>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</si>
  <si>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</si>
  <si>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</si>
  <si>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</si>
  <si>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</si>
  <si>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</si>
  <si>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</si>
  <si>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</si>
  <si>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</si>
  <si>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</si>
  <si>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</si>
  <si>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</si>
  <si>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</si>
  <si>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</si>
  <si>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</si>
  <si>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</si>
  <si>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</si>
  <si>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</si>
  <si>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</si>
  <si>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</si>
  <si>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</si>
  <si>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</si>
  <si>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</si>
  <si>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</si>
  <si>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</si>
  <si>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</si>
  <si>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</si>
  <si>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</si>
  <si>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</si>
  <si>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</si>
  <si>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</si>
  <si>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</si>
  <si>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</si>
  <si>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</si>
  <si>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</si>
  <si>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</si>
  <si>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</si>
  <si>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</si>
  <si>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</si>
  <si>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</si>
  <si>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</si>
  <si>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</si>
  <si>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</si>
  <si>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</si>
  <si>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</si>
  <si>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</si>
  <si>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</si>
  <si>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</si>
  <si>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</si>
  <si>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</si>
  <si>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</si>
  <si>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</si>
  <si>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</si>
  <si>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</si>
  <si>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</si>
  <si>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</si>
  <si>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</si>
  <si>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</si>
  <si>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</si>
  <si>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</si>
  <si>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</si>
  <si>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</si>
  <si>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</si>
  <si>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</si>
  <si>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</si>
  <si>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</si>
  <si>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</si>
  <si>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</si>
  <si>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</si>
  <si>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</si>
  <si>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</si>
  <si>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</si>
  <si>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</si>
  <si>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</si>
  <si>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</si>
  <si>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</si>
  <si>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</si>
  <si>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</si>
  <si>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</si>
  <si>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</si>
  <si>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</si>
  <si>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</si>
  <si>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</si>
  <si>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</si>
  <si>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</si>
  <si>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</si>
  <si>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</si>
  <si>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</si>
  <si>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</si>
  <si>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</si>
  <si>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</si>
  <si>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</si>
  <si>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</si>
  <si>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</si>
  <si>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</si>
  <si>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</si>
  <si>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</si>
  <si>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</si>
  <si>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</si>
  <si>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</si>
  <si>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</si>
  <si>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</si>
  <si>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</si>
  <si>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</si>
  <si>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</si>
  <si>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</si>
  <si>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</si>
  <si>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</si>
  <si>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</si>
  <si>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</si>
  <si>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</si>
  <si>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</si>
  <si>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</si>
  <si>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</si>
  <si>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</si>
  <si>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</si>
  <si>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</si>
  <si>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</si>
  <si>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</si>
  <si>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</si>
  <si>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</si>
  <si>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</si>
  <si>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</si>
  <si>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</si>
  <si>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</si>
  <si>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</si>
  <si>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</si>
  <si>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</si>
  <si>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</si>
  <si>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</si>
  <si>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</si>
  <si>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</si>
  <si>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</si>
  <si>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</si>
  <si>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</si>
  <si>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</si>
  <si>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</si>
  <si>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</si>
  <si>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</si>
  <si>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</si>
  <si>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</si>
  <si>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</si>
  <si>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</si>
  <si>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</si>
  <si>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</si>
  <si>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</si>
  <si>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</si>
  <si>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</si>
  <si>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</si>
  <si>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</si>
  <si>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</si>
  <si>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</si>
  <si>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</si>
  <si>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</si>
  <si>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</si>
  <si>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</si>
  <si>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</si>
  <si>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</si>
  <si>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</si>
  <si>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</si>
  <si>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</si>
  <si>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</si>
  <si>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</si>
  <si>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</si>
  <si>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</si>
  <si>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</si>
  <si>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</si>
  <si>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</si>
  <si>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</si>
  <si>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</si>
  <si>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</si>
  <si>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</si>
  <si>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</si>
  <si>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</si>
  <si>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</si>
  <si>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</si>
  <si>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</si>
  <si>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</si>
  <si>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</si>
  <si>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</si>
  <si>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</si>
  <si>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</si>
  <si>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</si>
  <si>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</si>
  <si>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</si>
  <si>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</si>
  <si>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</si>
  <si>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</si>
  <si>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</si>
  <si>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</si>
  <si>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</si>
  <si>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</si>
  <si>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</si>
  <si>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</si>
  <si>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</si>
  <si>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</si>
  <si>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</si>
  <si>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</si>
  <si>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</si>
  <si>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</si>
  <si>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</si>
  <si>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</si>
  <si>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</si>
  <si>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</si>
  <si>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</si>
  <si>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</si>
  <si>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</si>
  <si>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</si>
  <si>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</si>
  <si>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</si>
  <si>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</si>
  <si>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</si>
  <si>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</si>
  <si>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</si>
  <si>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</si>
  <si>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</si>
  <si>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</si>
  <si>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</si>
  <si>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</si>
  <si>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</si>
  <si>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</si>
  <si>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</si>
  <si>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</si>
  <si>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</si>
  <si>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</si>
  <si>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</si>
  <si>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</si>
  <si>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</si>
  <si>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</si>
  <si>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</si>
  <si>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</si>
  <si>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</si>
  <si>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</si>
  <si>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</si>
  <si>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</si>
  <si>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</si>
  <si>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</si>
  <si>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</si>
  <si>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</si>
  <si>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</si>
  <si>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</si>
  <si>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</si>
  <si>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</si>
  <si>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</si>
  <si>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</si>
  <si>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</si>
  <si>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</si>
  <si>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</si>
  <si>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</si>
  <si>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</si>
  <si>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</si>
  <si>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</si>
  <si>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</si>
  <si>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</si>
  <si>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</si>
  <si>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</si>
  <si>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</si>
  <si>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</si>
  <si>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</si>
  <si>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</si>
  <si>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</si>
  <si>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</si>
  <si>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</si>
  <si>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</si>
  <si>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</si>
  <si>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</si>
  <si>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</si>
  <si>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</si>
  <si>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</si>
  <si>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</si>
  <si>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</si>
  <si>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</si>
  <si>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</si>
  <si>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</si>
  <si>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</si>
  <si>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</si>
  <si>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</si>
  <si>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</si>
  <si>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</si>
  <si>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</si>
  <si>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</si>
  <si>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</si>
  <si>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</si>
  <si>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</si>
  <si>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</si>
  <si>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</si>
  <si>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</si>
  <si>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</si>
  <si>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</si>
  <si>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</si>
  <si>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</si>
  <si>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</si>
  <si>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</si>
  <si>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</si>
  <si>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</si>
  <si>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</si>
  <si>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</si>
  <si>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</si>
  <si>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</si>
  <si>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</si>
  <si>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</si>
  <si>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</si>
  <si>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</si>
  <si>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</si>
  <si>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</si>
  <si>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</si>
  <si>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</si>
  <si>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</si>
  <si>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</si>
  <si>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</si>
  <si>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</si>
  <si>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</si>
  <si>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</si>
  <si>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</si>
  <si>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</si>
  <si>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</si>
  <si>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</si>
  <si>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</si>
  <si>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</si>
  <si>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</si>
  <si>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</si>
  <si>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</si>
  <si>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</si>
  <si>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</si>
  <si>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</si>
  <si>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</si>
  <si>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</si>
  <si>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</si>
  <si>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</si>
  <si>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</si>
  <si>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</si>
  <si>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</si>
  <si>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</si>
  <si>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</si>
  <si>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</si>
  <si>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</si>
  <si>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</si>
  <si>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</si>
  <si>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</si>
  <si>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</si>
  <si>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</si>
  <si>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</si>
  <si>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</si>
  <si>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</si>
  <si>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</si>
  <si>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</si>
  <si>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</si>
  <si>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</si>
  <si>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</si>
  <si>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</si>
  <si>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</si>
  <si>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</si>
  <si>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</si>
  <si>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</si>
  <si>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</si>
  <si>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</si>
  <si>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</si>
  <si>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</si>
  <si>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</si>
  <si>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</si>
  <si>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</si>
  <si>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</si>
  <si>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</si>
  <si>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</si>
  <si>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</si>
  <si>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</si>
  <si>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</si>
  <si>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</si>
  <si>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</si>
  <si>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</si>
  <si>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</si>
  <si>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</si>
  <si>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</si>
  <si>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</si>
  <si>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</si>
  <si>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</si>
  <si>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</si>
  <si>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</si>
  <si>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</si>
  <si>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</si>
  <si>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</si>
  <si>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</si>
  <si>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</si>
  <si>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</si>
  <si>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</si>
  <si>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</si>
  <si>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</si>
  <si>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</si>
  <si>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</si>
  <si>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</si>
  <si>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</si>
  <si>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</si>
  <si>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</si>
  <si>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</si>
  <si>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</si>
  <si>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</si>
  <si>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</si>
  <si>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</si>
  <si>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</si>
  <si>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</si>
  <si>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</si>
  <si>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</si>
  <si>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</si>
  <si>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</si>
  <si>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</si>
  <si>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</si>
  <si>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</si>
  <si>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</si>
  <si>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</si>
  <si>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</si>
  <si>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</si>
  <si>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</si>
  <si>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</si>
  <si>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</si>
  <si>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</si>
  <si>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</si>
  <si>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</si>
  <si>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</si>
  <si>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</si>
  <si>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</si>
  <si>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</si>
  <si>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</si>
  <si>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</si>
  <si>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</si>
  <si>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</si>
  <si>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</si>
  <si>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</si>
  <si>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</si>
  <si>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</si>
  <si>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</si>
  <si>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</si>
  <si>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</si>
  <si>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</si>
  <si>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</si>
  <si>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</si>
  <si>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</si>
  <si>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</si>
  <si>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</si>
  <si>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</si>
  <si>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</si>
  <si>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</si>
  <si>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</si>
  <si>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</si>
  <si>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</si>
  <si>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</si>
  <si>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</si>
  <si>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</si>
  <si>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</si>
  <si>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</si>
  <si>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</si>
  <si>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</si>
  <si>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</si>
  <si>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</si>
  <si>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</si>
  <si>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</si>
  <si>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</si>
  <si>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</si>
  <si>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</si>
  <si>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</si>
  <si>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</si>
  <si>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</si>
  <si>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</si>
  <si>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</si>
  <si>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</si>
  <si>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</si>
  <si>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</si>
  <si>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</si>
  <si>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</si>
  <si>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</si>
  <si>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</si>
  <si>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</si>
  <si>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</si>
  <si>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</si>
  <si>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</si>
  <si>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</si>
  <si>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</si>
  <si>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</si>
  <si>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</si>
  <si>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</si>
  <si>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</si>
  <si>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</si>
  <si>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</si>
  <si>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</si>
  <si>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</si>
  <si>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</si>
  <si>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</si>
  <si>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</si>
  <si>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</si>
  <si>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</si>
  <si>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</si>
  <si>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</si>
  <si>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</si>
  <si>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</si>
  <si>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</si>
  <si>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</si>
  <si>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</si>
  <si>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</si>
  <si>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</si>
  <si>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</si>
  <si>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</si>
  <si>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</si>
  <si>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</si>
  <si>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</si>
  <si>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</si>
  <si>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</si>
  <si>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</si>
  <si>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</si>
  <si>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</si>
  <si>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</si>
  <si>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</si>
  <si>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</si>
  <si>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</si>
  <si>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</si>
  <si>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</si>
  <si>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</si>
  <si>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</si>
  <si>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</si>
  <si>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</si>
  <si>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</si>
  <si>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</si>
  <si>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</si>
  <si>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</si>
  <si>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</si>
  <si>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</si>
  <si>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</si>
  <si>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</si>
  <si>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</si>
  <si>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</si>
  <si>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</si>
  <si>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</si>
  <si>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</si>
  <si>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</si>
  <si>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</si>
  <si>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</si>
  <si>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</si>
  <si>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</si>
  <si>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</si>
  <si>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</si>
  <si>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</si>
  <si>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</si>
  <si>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</si>
  <si>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</si>
  <si>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</si>
  <si>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</si>
  <si>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</si>
  <si>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</si>
  <si>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</si>
  <si>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</si>
  <si>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</si>
  <si>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</si>
  <si>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</si>
  <si>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</si>
  <si>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</si>
  <si>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</si>
  <si>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</si>
  <si>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</si>
  <si>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</si>
  <si>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</si>
  <si>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</si>
  <si>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</si>
  <si>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</si>
  <si>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</si>
  <si>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</si>
  <si>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</si>
  <si>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</si>
  <si>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</si>
  <si>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</si>
  <si>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</si>
  <si>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</si>
  <si>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</si>
  <si>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</si>
  <si>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</si>
  <si>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</si>
  <si>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</si>
  <si>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</si>
  <si>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</si>
  <si>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</si>
  <si>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</si>
  <si>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</si>
  <si>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</si>
  <si>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</si>
  <si>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</si>
  <si>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</si>
  <si>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</si>
  <si>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</si>
  <si>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</si>
  <si>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</si>
  <si>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</si>
  <si>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</si>
  <si>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</si>
  <si>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</si>
  <si>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</si>
  <si>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</si>
  <si>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</si>
  <si>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</si>
  <si>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</si>
  <si>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</si>
  <si>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</si>
  <si>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</si>
  <si>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</si>
  <si>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</si>
  <si>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</si>
  <si>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</si>
  <si>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</si>
  <si>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</si>
  <si>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</si>
  <si>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</si>
  <si>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</si>
  <si>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</si>
  <si>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</si>
  <si>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</si>
  <si>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</si>
  <si>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</si>
  <si>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</si>
  <si>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</si>
  <si>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</si>
  <si>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</si>
  <si>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</si>
  <si>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</si>
  <si>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</si>
  <si>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</si>
  <si>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</si>
  <si>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</si>
  <si>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</si>
  <si>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</si>
  <si>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</si>
  <si>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</si>
  <si>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</si>
  <si>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</si>
  <si>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</si>
  <si>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</si>
  <si>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</si>
  <si>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</si>
  <si>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</si>
  <si>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</si>
  <si>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</si>
  <si>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</si>
  <si>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</si>
  <si>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</si>
  <si>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</si>
  <si>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</si>
  <si>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</si>
  <si>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</si>
  <si>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</si>
  <si>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</si>
  <si>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</si>
  <si>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</si>
  <si>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</si>
  <si>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</si>
  <si>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</si>
  <si>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</si>
  <si>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</si>
  <si>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</si>
  <si>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</si>
  <si>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</si>
  <si>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</si>
  <si>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</si>
  <si>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</si>
  <si>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</si>
  <si>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</si>
  <si>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</si>
  <si>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</si>
  <si>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</si>
  <si>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</si>
  <si>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</si>
  <si>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</si>
  <si>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</si>
  <si>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</si>
  <si>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</si>
  <si>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</si>
  <si>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</si>
  <si>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</si>
  <si>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</si>
  <si>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</si>
  <si>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</si>
  <si>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</si>
  <si>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</si>
  <si>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</si>
  <si>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</si>
  <si>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</si>
  <si>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</si>
  <si>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</si>
  <si>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</si>
  <si>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</si>
  <si>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</si>
  <si>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</si>
  <si>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</si>
  <si>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</si>
  <si>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</si>
  <si>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</si>
  <si>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</si>
  <si>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</si>
  <si>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</si>
  <si>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</si>
  <si>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</si>
  <si>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</si>
  <si>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</si>
  <si>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</si>
  <si>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</si>
  <si>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</si>
  <si>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</si>
  <si>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</si>
  <si>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</si>
  <si>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</si>
  <si>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</si>
  <si>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</si>
  <si>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</si>
  <si>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</si>
  <si>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</si>
  <si>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</si>
  <si>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</si>
  <si>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</si>
  <si>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</si>
  <si>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</si>
  <si>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</si>
  <si>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</si>
  <si>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</si>
  <si>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</si>
  <si>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</si>
  <si>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</si>
  <si>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</si>
  <si>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</si>
  <si>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</si>
  <si>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</si>
  <si>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</si>
  <si>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</si>
  <si>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</si>
  <si>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</si>
  <si>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</si>
  <si>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</si>
  <si>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</si>
  <si>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</si>
  <si>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</si>
  <si>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</si>
  <si>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</si>
  <si>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</si>
  <si>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</si>
  <si>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</si>
  <si>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</si>
  <si>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</si>
  <si>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</si>
  <si>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</si>
  <si>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</si>
  <si>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</si>
  <si>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</si>
  <si>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</si>
  <si>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</si>
  <si>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</si>
  <si>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</si>
  <si>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</si>
  <si>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</si>
  <si>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</si>
  <si>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</si>
  <si>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</si>
  <si>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</si>
  <si>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</si>
  <si>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</si>
  <si>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</si>
  <si>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</si>
  <si>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</si>
  <si>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</si>
  <si>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</si>
  <si>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</si>
  <si>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</si>
  <si>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</si>
  <si>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</si>
  <si>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</si>
  <si>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</si>
  <si>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</si>
  <si>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</si>
  <si>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</si>
  <si>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</si>
  <si>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</si>
  <si>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</si>
  <si>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</si>
  <si>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</si>
  <si>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</si>
  <si>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</si>
  <si>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</si>
  <si>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</si>
  <si>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</si>
  <si>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</si>
  <si>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</si>
  <si>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</si>
  <si>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</si>
  <si>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</si>
  <si>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</si>
  <si>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</si>
  <si>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</si>
  <si>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</si>
  <si>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</si>
  <si>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</si>
  <si>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</si>
  <si>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</si>
  <si>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</si>
  <si>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</si>
  <si>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</si>
  <si>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</si>
  <si>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</si>
  <si>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</si>
  <si>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</si>
  <si>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</si>
  <si>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</si>
  <si>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</si>
  <si>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</si>
  <si>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</si>
  <si>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</si>
  <si>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</si>
  <si>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</si>
  <si>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</si>
  <si>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</si>
  <si>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</si>
  <si>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</si>
  <si>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</si>
  <si>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</si>
  <si>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</si>
  <si>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</si>
  <si>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</si>
  <si>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</si>
  <si>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</si>
  <si>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</si>
  <si>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</si>
  <si>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</si>
  <si>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</si>
  <si>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</si>
  <si>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</si>
  <si>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</si>
  <si>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</si>
  <si>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</si>
  <si>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</si>
  <si>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</si>
  <si>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</si>
  <si>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</si>
  <si>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</si>
  <si>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</si>
  <si>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</si>
  <si>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</si>
  <si>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</si>
  <si>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</si>
  <si>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</si>
  <si>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</si>
  <si>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</si>
  <si>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</si>
  <si>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</si>
  <si>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</si>
  <si>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</si>
  <si>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</si>
  <si>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</si>
  <si>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</si>
  <si>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</si>
  <si>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</si>
  <si>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</si>
  <si>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</si>
  <si>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</si>
  <si>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</si>
  <si>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</si>
  <si>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</si>
  <si>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</si>
  <si>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</si>
  <si>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</si>
  <si>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</si>
  <si>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</si>
  <si>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</si>
  <si>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</si>
  <si>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</si>
  <si>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</si>
  <si>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</si>
  <si>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</si>
  <si>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</si>
  <si>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</si>
  <si>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</si>
  <si>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</si>
  <si>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</si>
  <si>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</si>
  <si>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</si>
  <si>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</si>
  <si>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</si>
  <si>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</si>
  <si>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</si>
  <si>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</si>
  <si>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</si>
  <si>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</si>
  <si>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</si>
  <si>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</si>
  <si>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</si>
  <si>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</si>
  <si>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</si>
  <si>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</si>
  <si>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</si>
  <si>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</si>
  <si>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</si>
  <si>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</si>
  <si>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</si>
  <si>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</si>
  <si>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</si>
  <si>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</si>
  <si>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</si>
  <si>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</si>
  <si>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</si>
  <si>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</si>
  <si>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</si>
  <si>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</si>
  <si>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</si>
  <si>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</si>
  <si>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</si>
  <si>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</si>
  <si>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</si>
  <si>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</si>
  <si>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</si>
  <si>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</si>
  <si>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</si>
  <si>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</si>
  <si>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</si>
  <si>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</si>
  <si>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</si>
  <si>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</si>
  <si>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</si>
  <si>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</si>
  <si>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</si>
  <si>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</si>
  <si>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</si>
  <si>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</si>
  <si>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</si>
  <si>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</si>
  <si>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</si>
  <si>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</si>
  <si>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</si>
  <si>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</si>
  <si>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</si>
  <si>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</si>
  <si>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</si>
  <si>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</si>
  <si>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</si>
  <si>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</si>
  <si>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</si>
  <si>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</si>
  <si>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</si>
  <si>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</si>
  <si>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</si>
  <si>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</si>
  <si>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</si>
  <si>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</si>
  <si>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</si>
  <si>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</si>
  <si>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</si>
  <si>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</si>
  <si>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</si>
  <si>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</si>
  <si>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</si>
  <si>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</si>
  <si>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</si>
  <si>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</si>
  <si>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</si>
  <si>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</si>
  <si>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</si>
  <si>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</si>
  <si>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</si>
  <si>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</si>
  <si>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</si>
  <si>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</si>
  <si>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</si>
  <si>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</si>
  <si>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</si>
  <si>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</si>
  <si>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</si>
  <si>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</si>
  <si>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</si>
  <si>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</si>
  <si>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</si>
  <si>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</si>
  <si>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</si>
  <si>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</si>
  <si>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</si>
  <si>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</si>
  <si>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</si>
  <si>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</si>
  <si>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</si>
  <si>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</si>
  <si>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</si>
  <si>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</si>
  <si>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</si>
  <si>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</si>
  <si>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</si>
  <si>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</si>
  <si>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</si>
  <si>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</si>
  <si>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</si>
  <si>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</si>
  <si>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</si>
  <si>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</si>
  <si>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</si>
  <si>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</si>
  <si>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</si>
  <si>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</si>
  <si>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</si>
  <si>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</si>
  <si>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</si>
  <si>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</si>
  <si>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</si>
  <si>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</si>
  <si>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</si>
  <si>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</si>
  <si>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</si>
  <si>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</si>
  <si>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</si>
  <si>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</si>
  <si>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</si>
  <si>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</si>
  <si>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</si>
  <si>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</si>
  <si>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</si>
  <si>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</si>
  <si>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</si>
  <si>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</si>
  <si>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</si>
  <si>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</si>
  <si>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</si>
  <si>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</si>
  <si>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</si>
  <si>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</si>
  <si>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</si>
  <si>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</si>
  <si>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</si>
  <si>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</si>
  <si>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</si>
  <si>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</si>
  <si>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</si>
  <si>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</si>
  <si>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</si>
  <si>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</si>
  <si>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</si>
  <si>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</si>
  <si>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</si>
  <si>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</si>
  <si>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</si>
  <si>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</si>
  <si>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</si>
  <si>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</si>
  <si>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</si>
  <si>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</si>
  <si>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</si>
  <si>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</si>
  <si>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</si>
  <si>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</si>
  <si>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</si>
  <si>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</si>
  <si>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</si>
  <si>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</si>
  <si>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</si>
  <si>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</si>
  <si>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</si>
  <si>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</si>
  <si>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</si>
  <si>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</si>
  <si>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</si>
  <si>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</si>
  <si>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</si>
  <si>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</si>
  <si>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</si>
  <si>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</si>
  <si>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</si>
  <si>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</si>
  <si>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</si>
  <si>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</si>
  <si>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</si>
  <si>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</si>
  <si>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</si>
  <si>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</si>
  <si>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</si>
  <si>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</si>
  <si>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</si>
  <si>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</si>
  <si>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</si>
  <si>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</si>
  <si>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</si>
  <si>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</si>
  <si>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</si>
  <si>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</si>
  <si>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</si>
  <si>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</si>
  <si>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</si>
  <si>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</si>
  <si>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</si>
  <si>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</si>
  <si>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</si>
  <si>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</si>
  <si>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</si>
  <si>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</si>
  <si>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</si>
  <si>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</si>
  <si>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</si>
  <si>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</si>
  <si>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</si>
  <si>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</si>
  <si>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</si>
  <si>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</si>
  <si>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</si>
  <si>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</si>
  <si>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</si>
  <si>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</si>
  <si>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</si>
  <si>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</si>
  <si>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</si>
  <si>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</si>
  <si>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</si>
  <si>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</si>
  <si>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</si>
  <si>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</si>
  <si>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</si>
  <si>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</si>
  <si>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</si>
  <si>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</si>
  <si>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</si>
  <si>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</si>
  <si>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</si>
  <si>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</si>
  <si>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</si>
  <si>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</si>
  <si>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</si>
  <si>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</si>
  <si>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</si>
  <si>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</si>
  <si>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</si>
  <si>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</si>
  <si>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</si>
  <si>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</si>
  <si>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</si>
  <si>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</si>
  <si>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</si>
  <si>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</si>
  <si>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</si>
  <si>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</si>
  <si>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</si>
  <si>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</si>
  <si>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</si>
  <si>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</si>
  <si>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</si>
  <si>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</si>
  <si>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</si>
  <si>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</si>
  <si>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</si>
  <si>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</si>
  <si>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</si>
  <si>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</si>
  <si>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</si>
  <si>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</si>
  <si>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</si>
  <si>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</si>
  <si>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</si>
  <si>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</si>
  <si>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</si>
  <si>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</si>
  <si>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</si>
  <si>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</si>
  <si>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</si>
  <si>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</si>
  <si>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</si>
  <si>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</si>
  <si>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</si>
  <si>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</si>
  <si>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</si>
  <si>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</si>
  <si>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</si>
  <si>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</si>
  <si>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</si>
  <si>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</si>
  <si>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</si>
  <si>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</si>
  <si>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</si>
  <si>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</si>
  <si>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</si>
  <si>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</si>
  <si>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</si>
  <si>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</si>
  <si>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</si>
  <si>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</si>
  <si>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</si>
  <si>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</si>
  <si>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</si>
  <si>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</si>
  <si>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</si>
  <si>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</si>
  <si>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</si>
  <si>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</si>
  <si>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</si>
  <si>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</si>
  <si>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</si>
  <si>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</si>
  <si>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</si>
  <si>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</si>
  <si>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</si>
  <si>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</si>
  <si>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</si>
  <si>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</si>
  <si>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</si>
  <si>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</si>
  <si>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</si>
  <si>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</si>
  <si>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</si>
  <si>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</si>
  <si>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</si>
  <si>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</si>
  <si>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</si>
  <si>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</si>
  <si>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</si>
  <si>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</si>
  <si>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</si>
  <si>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</si>
  <si>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</si>
  <si>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</si>
  <si>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</si>
  <si>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</si>
  <si>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</si>
  <si>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</si>
  <si>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</si>
  <si>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</si>
  <si>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</si>
  <si>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</si>
  <si>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</si>
  <si>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</si>
  <si>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</si>
  <si>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</si>
  <si>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</si>
  <si>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</si>
  <si>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</si>
  <si>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</si>
  <si>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</si>
  <si>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</si>
  <si>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</si>
  <si>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</si>
  <si>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</si>
  <si>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</si>
  <si>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</si>
  <si>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</si>
  <si>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</si>
  <si>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</si>
  <si>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</si>
  <si>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</si>
  <si>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</si>
  <si>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</si>
  <si>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</si>
  <si>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</si>
  <si>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</si>
  <si>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</si>
  <si>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</si>
  <si>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</si>
  <si>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</si>
  <si>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</si>
  <si>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</si>
  <si>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</si>
  <si>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</si>
  <si>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</si>
  <si>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</si>
  <si>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</si>
  <si>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</si>
  <si>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</si>
  <si>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</si>
  <si>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</si>
  <si>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</si>
  <si>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</si>
  <si>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</si>
  <si>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</si>
  <si>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</si>
  <si>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</si>
  <si>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</si>
  <si>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</si>
  <si>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</si>
  <si>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</si>
  <si>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</si>
  <si>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</si>
  <si>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</si>
  <si>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</si>
  <si>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</si>
  <si>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</si>
  <si>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</si>
  <si>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</si>
  <si>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</si>
  <si>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</si>
  <si>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</si>
  <si>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</si>
  <si>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</si>
  <si>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</si>
  <si>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</si>
  <si>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</si>
  <si>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</si>
  <si>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</si>
  <si>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</si>
  <si>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</si>
  <si>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</si>
  <si>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</si>
  <si>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</si>
  <si>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</si>
  <si>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</si>
  <si>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</si>
  <si>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</si>
  <si>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</si>
  <si>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</si>
  <si>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</si>
  <si>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</si>
  <si>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</si>
  <si>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</si>
  <si>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</si>
  <si>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</si>
  <si>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</si>
  <si>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</si>
  <si>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</si>
  <si>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</si>
  <si>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</si>
  <si>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</si>
  <si>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</si>
  <si>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</si>
  <si>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</si>
  <si>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</si>
  <si>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</si>
  <si>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</si>
  <si>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</si>
  <si>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</si>
  <si>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</si>
  <si>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</si>
  <si>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</si>
  <si>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</si>
  <si>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</si>
  <si>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</si>
  <si>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</si>
  <si>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</si>
  <si>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</si>
  <si>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</si>
  <si>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</si>
  <si>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</si>
  <si>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</si>
  <si>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</si>
  <si>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</si>
  <si>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</si>
  <si>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</si>
  <si>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</si>
  <si>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</si>
  <si>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</si>
  <si>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</si>
  <si>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</si>
  <si>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</si>
  <si>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</si>
  <si>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</si>
  <si>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</si>
  <si>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</si>
  <si>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</si>
  <si>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</si>
  <si>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</si>
  <si>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</si>
  <si>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</si>
  <si>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</si>
  <si>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</si>
  <si>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</si>
  <si>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</si>
  <si>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</si>
  <si>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</si>
  <si>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</si>
  <si>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</si>
  <si>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</si>
  <si>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</si>
  <si>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</si>
  <si>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</si>
  <si>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</si>
  <si>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</si>
  <si>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</si>
  <si>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</si>
  <si>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</si>
  <si>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</si>
  <si>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</si>
  <si>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</si>
  <si>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</si>
  <si>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</si>
  <si>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</si>
  <si>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</si>
  <si>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</si>
  <si>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</si>
  <si>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</si>
  <si>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</si>
  <si>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</si>
  <si>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</si>
  <si>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</si>
  <si>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</si>
  <si>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</si>
  <si>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</si>
  <si>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</si>
  <si>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</si>
  <si>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</si>
  <si>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</si>
  <si>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</si>
  <si>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</si>
  <si>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</si>
  <si>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</si>
  <si>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</si>
  <si>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</si>
  <si>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</si>
  <si>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</si>
  <si>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</si>
  <si>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</si>
  <si>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</si>
  <si>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</si>
  <si>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</si>
  <si>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</si>
  <si>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</si>
  <si>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</si>
  <si>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</si>
  <si>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</si>
  <si>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</si>
  <si>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</si>
  <si>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</si>
  <si>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</si>
  <si>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</si>
  <si>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</si>
  <si>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</si>
  <si>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</si>
  <si>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</si>
  <si>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</si>
  <si>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</si>
  <si>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</si>
  <si>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</si>
  <si>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</si>
  <si>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</si>
  <si>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</si>
  <si>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</si>
  <si>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</si>
  <si>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</si>
  <si>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</si>
  <si>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</si>
  <si>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</si>
  <si>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</si>
  <si>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</si>
  <si>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</si>
  <si>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</si>
  <si>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</si>
  <si>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</si>
  <si>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</si>
  <si>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</si>
  <si>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</si>
  <si>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</si>
  <si>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</si>
  <si>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</si>
  <si>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</si>
  <si>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</si>
  <si>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</si>
  <si>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</si>
  <si>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</si>
  <si>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</si>
  <si>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</si>
  <si>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</si>
  <si>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</si>
  <si>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</si>
  <si>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</si>
  <si>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</si>
  <si>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</si>
  <si>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</si>
  <si>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</si>
  <si>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</si>
  <si>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</si>
  <si>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</si>
  <si>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</si>
  <si>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</si>
  <si>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</si>
  <si>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</si>
  <si>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</si>
  <si>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</si>
  <si>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</si>
  <si>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</si>
  <si>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</si>
  <si>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</si>
  <si>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</si>
  <si>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</si>
  <si>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</si>
  <si>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</si>
  <si>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</si>
  <si>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</si>
  <si>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</si>
  <si>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</si>
  <si>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</si>
  <si>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</si>
  <si>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</si>
  <si>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</si>
  <si>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</si>
  <si>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</si>
  <si>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</si>
  <si>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</si>
  <si>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</si>
  <si>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</si>
  <si>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</si>
  <si>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</si>
  <si>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</si>
  <si>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</si>
  <si>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</si>
  <si>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</si>
  <si>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</si>
  <si>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</si>
  <si>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</si>
  <si>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</si>
  <si>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</si>
  <si>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</si>
  <si>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</si>
  <si>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</si>
  <si>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</si>
  <si>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</si>
  <si>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</si>
  <si>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</si>
  <si>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</si>
  <si>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</si>
  <si>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</si>
  <si>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</si>
  <si>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</si>
  <si>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</si>
  <si>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</si>
  <si>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</si>
  <si>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</si>
  <si>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</si>
  <si>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</si>
  <si>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</si>
  <si>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</si>
  <si>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</si>
  <si>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</si>
  <si>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</si>
  <si>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</si>
  <si>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</si>
  <si>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</si>
  <si>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</si>
  <si>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</si>
  <si>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</si>
  <si>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</si>
  <si>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</si>
  <si>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</si>
  <si>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</si>
  <si>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</si>
  <si>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</si>
  <si>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</si>
  <si>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</si>
  <si>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</si>
  <si>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</si>
  <si>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</si>
  <si>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</si>
  <si>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</si>
  <si>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</si>
  <si>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</si>
  <si>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</si>
  <si>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</si>
  <si>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</si>
  <si>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</si>
  <si>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</si>
  <si>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</si>
  <si>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</si>
  <si>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</si>
  <si>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</si>
  <si>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</si>
  <si>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</si>
  <si>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</si>
  <si>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</si>
  <si>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</si>
  <si>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</si>
  <si>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</si>
  <si>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</si>
  <si>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</si>
  <si>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</si>
  <si>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</si>
  <si>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</si>
  <si>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</si>
  <si>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</si>
  <si>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</si>
  <si>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</si>
  <si>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</si>
  <si>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</si>
  <si>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</si>
  <si>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</si>
  <si>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</si>
  <si>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</si>
  <si>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</si>
  <si>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</si>
  <si>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</si>
  <si>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</si>
  <si>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</si>
  <si>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</si>
  <si>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</si>
  <si>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</si>
  <si>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</si>
  <si>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</si>
  <si>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</si>
  <si>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</si>
  <si>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</si>
  <si>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</si>
  <si>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</si>
  <si>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</si>
  <si>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</si>
  <si>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</si>
  <si>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</si>
  <si>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</si>
  <si>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</si>
  <si>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</si>
  <si>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</si>
  <si>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</si>
  <si>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</si>
  <si>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</si>
  <si>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</si>
  <si>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</si>
  <si>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</si>
  <si>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</si>
  <si>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</si>
  <si>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</si>
  <si>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</si>
  <si>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</si>
  <si>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</si>
  <si>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</si>
  <si>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</si>
  <si>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</si>
  <si>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</si>
  <si>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</si>
  <si>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</si>
  <si>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</si>
  <si>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</si>
  <si>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</si>
  <si>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</si>
  <si>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</si>
  <si>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</si>
  <si>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</si>
  <si>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</si>
  <si>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</si>
  <si>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</si>
  <si>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</si>
  <si>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</si>
  <si>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</si>
  <si>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</si>
  <si>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</si>
  <si>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</si>
  <si>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</si>
  <si>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</si>
  <si>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</si>
  <si>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</si>
  <si>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</si>
  <si>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</si>
  <si>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</si>
  <si>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</si>
  <si>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</si>
  <si>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</si>
  <si>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</si>
  <si>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</si>
  <si>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</si>
  <si>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</si>
  <si>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</si>
  <si>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</si>
  <si>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</si>
  <si>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</si>
  <si>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</si>
  <si>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</si>
  <si>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</si>
  <si>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</si>
  <si>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</si>
  <si>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</si>
  <si>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</si>
  <si>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</si>
  <si>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</si>
  <si>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</si>
  <si>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</si>
  <si>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</si>
  <si>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</si>
  <si>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</si>
  <si>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</si>
  <si>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</si>
  <si>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</si>
  <si>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</si>
  <si>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</si>
  <si>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 xml:space="preserve">4538187#1
</t>
  </si>
  <si>
    <t>Grupovargu</t>
  </si>
  <si>
    <t>4638342#1</t>
  </si>
  <si>
    <t>Dharius</t>
  </si>
  <si>
    <t>4547359#1</t>
  </si>
  <si>
    <t>As269898</t>
  </si>
  <si>
    <t>1928325#1</t>
  </si>
  <si>
    <t>Riboldi Guasti Mauro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</si>
  <si>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</si>
  <si>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</si>
  <si>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</si>
  <si>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</si>
  <si>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</si>
  <si>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</si>
  <si>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</si>
  <si>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</si>
  <si>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</si>
  <si>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1554504#2</t>
  </si>
  <si>
    <t>Frimont Sa</t>
  </si>
  <si>
    <t>4549848#1</t>
  </si>
  <si>
    <t>Cmrcimbras</t>
  </si>
  <si>
    <t>4478992#1, 1129100#1</t>
  </si>
  <si>
    <t>Jvconstructor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</si>
  <si>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</si>
  <si>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</si>
  <si>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</si>
  <si>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</si>
  <si>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</si>
  <si>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</si>
  <si>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</si>
  <si>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2068537#2</t>
  </si>
  <si>
    <t>Ffavaloro</t>
  </si>
  <si>
    <t>4600789#1</t>
  </si>
  <si>
    <t>Nuumbra</t>
  </si>
  <si>
    <t>4504033#1</t>
  </si>
  <si>
    <t>Probela La Molina</t>
  </si>
  <si>
    <t>3255332#1</t>
  </si>
  <si>
    <t>Abertecno Tecnologia en Aberturas</t>
  </si>
  <si>
    <t>4567075#1</t>
  </si>
  <si>
    <t>Caev</t>
  </si>
  <si>
    <t>1840584#1</t>
  </si>
  <si>
    <t>Trucks tract USA</t>
  </si>
  <si>
    <t>4337372#1</t>
  </si>
  <si>
    <t>Plastiferro Tubos SA</t>
  </si>
  <si>
    <t>4597300#1</t>
  </si>
  <si>
    <t>Pireos</t>
  </si>
  <si>
    <t>4488759#1</t>
  </si>
  <si>
    <t>Assaabloy</t>
  </si>
  <si>
    <t>2323080#1</t>
  </si>
  <si>
    <t>Club Cerro Porteño - Oficial</t>
  </si>
  <si>
    <t>189561#2</t>
  </si>
  <si>
    <t>Enacal</t>
  </si>
  <si>
    <t>4570145#1</t>
  </si>
  <si>
    <t>Bavikon</t>
  </si>
  <si>
    <t>2514614#1</t>
  </si>
  <si>
    <t>Colortex</t>
  </si>
  <si>
    <t>2418649#1</t>
  </si>
  <si>
    <t>Tecno Lite</t>
  </si>
  <si>
    <t>4448993#1</t>
  </si>
  <si>
    <t>GRUPO MOLICOM</t>
  </si>
  <si>
    <t>4440948#1</t>
  </si>
  <si>
    <t>Teco</t>
  </si>
  <si>
    <t>3858152#1</t>
  </si>
  <si>
    <t>Cafesoluble</t>
  </si>
  <si>
    <t>441299#4</t>
  </si>
  <si>
    <t>maquiprocesos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</si>
  <si>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</si>
  <si>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</si>
  <si>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</si>
  <si>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</si>
  <si>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</si>
  <si>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</si>
  <si>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4402198#1</t>
  </si>
  <si>
    <t>Salum &amp; Wenz Constructora</t>
  </si>
  <si>
    <t>576639#1</t>
  </si>
  <si>
    <t>Zegesa</t>
  </si>
  <si>
    <t>4294850#1</t>
  </si>
  <si>
    <t>INTEGRA RETAIL</t>
  </si>
  <si>
    <t>4442904#1</t>
  </si>
  <si>
    <t>Amalgama S A</t>
  </si>
  <si>
    <t>4576429#1</t>
  </si>
  <si>
    <t>Tilde Studio</t>
  </si>
  <si>
    <t>4546586#1</t>
  </si>
  <si>
    <t>Kaizen360pe</t>
  </si>
  <si>
    <t>991036#1</t>
  </si>
  <si>
    <t>Ramada Buenos Aires hotel</t>
  </si>
  <si>
    <t>4384525#1</t>
  </si>
  <si>
    <t>Ramac</t>
  </si>
  <si>
    <t>2145417#1</t>
  </si>
  <si>
    <t>Ultramodular</t>
  </si>
  <si>
    <t>4477790#1</t>
  </si>
  <si>
    <t>Lumierearquitectura</t>
  </si>
  <si>
    <t>552169#1</t>
  </si>
  <si>
    <t>Ricardo Esteban Castellon Bogran</t>
  </si>
  <si>
    <t>878469#1</t>
  </si>
  <si>
    <t>Miranda Arquitectos</t>
  </si>
  <si>
    <t>3585492#1</t>
  </si>
  <si>
    <t>ASM Construcciones</t>
  </si>
  <si>
    <t>4587314#1</t>
  </si>
  <si>
    <t>Opuscenter</t>
  </si>
  <si>
    <t>4615441#1</t>
  </si>
  <si>
    <t>Prodemco</t>
  </si>
  <si>
    <t>4649784#1</t>
  </si>
  <si>
    <t>Vialterra</t>
  </si>
  <si>
    <t>1264286#1</t>
  </si>
  <si>
    <t>Expo Imagen Hn</t>
  </si>
  <si>
    <t>1714541#1</t>
  </si>
  <si>
    <t>Thomasjefferson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</si>
  <si>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</si>
  <si>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</si>
  <si>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</si>
  <si>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</si>
  <si>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</si>
  <si>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</si>
  <si>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</si>
  <si>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</si>
  <si>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</si>
  <si>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</si>
  <si>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</si>
  <si>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</si>
  <si>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</si>
  <si>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</si>
  <si>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</si>
  <si>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</si>
  <si>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</si>
  <si>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</si>
  <si>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</si>
  <si>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</si>
  <si>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</si>
  <si>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</si>
  <si>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</si>
  <si>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</si>
  <si>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</si>
  <si>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</si>
  <si>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</si>
  <si>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</si>
  <si>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</si>
  <si>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</si>
  <si>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</si>
  <si>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</si>
  <si>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</si>
  <si>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</si>
  <si>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</si>
  <si>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</si>
  <si>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</si>
  <si>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</si>
  <si>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</si>
  <si>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</si>
  <si>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</si>
  <si>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</si>
  <si>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</si>
  <si>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</si>
  <si>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</si>
  <si>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</si>
  <si>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</si>
  <si>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</si>
  <si>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</si>
  <si>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</si>
  <si>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</si>
  <si>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</si>
  <si>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</si>
  <si>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</si>
  <si>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</si>
  <si>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</si>
  <si>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</si>
  <si>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</si>
  <si>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</si>
  <si>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</si>
  <si>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</si>
  <si>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</si>
  <si>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</si>
  <si>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</si>
  <si>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</si>
  <si>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</si>
  <si>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</si>
  <si>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</si>
  <si>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</si>
  <si>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</si>
  <si>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</si>
  <si>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</si>
  <si>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</si>
  <si>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</si>
  <si>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</si>
  <si>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</si>
  <si>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</si>
  <si>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</si>
  <si>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</si>
  <si>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</si>
  <si>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</si>
  <si>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</si>
  <si>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</si>
  <si>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</si>
  <si>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</si>
  <si>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</si>
  <si>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</si>
  <si>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</si>
  <si>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</si>
  <si>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</si>
  <si>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</si>
  <si>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</si>
  <si>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</si>
  <si>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</si>
  <si>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</si>
  <si>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</si>
  <si>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</si>
  <si>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1069552#1</t>
  </si>
  <si>
    <t>Zibza Arquitectos</t>
  </si>
  <si>
    <t>752966#2</t>
  </si>
  <si>
    <t>Intenisa</t>
  </si>
  <si>
    <t>1909411#1, 1692352#1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</si>
  <si>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</si>
  <si>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</si>
  <si>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</si>
  <si>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</si>
  <si>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</si>
  <si>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</si>
  <si>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</si>
  <si>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</si>
  <si>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</si>
  <si>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</si>
  <si>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</si>
  <si>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</si>
  <si>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</si>
  <si>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</si>
  <si>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</si>
  <si>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</si>
  <si>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</si>
  <si>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</si>
  <si>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</si>
  <si>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</si>
  <si>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</si>
  <si>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</si>
  <si>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</si>
  <si>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</si>
  <si>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1033113#1</t>
  </si>
  <si>
    <t>Veyco</t>
  </si>
  <si>
    <t>1414832#1</t>
  </si>
  <si>
    <t>Apeec</t>
  </si>
  <si>
    <t>2922574#1</t>
  </si>
  <si>
    <t>Addison House Panama</t>
  </si>
  <si>
    <t>1477809#1</t>
  </si>
  <si>
    <t>Sinergiagrupo</t>
  </si>
  <si>
    <t>Last event 2023, not valid. Disqualified.</t>
  </si>
  <si>
    <t>482307#1</t>
  </si>
  <si>
    <t>Arqge Arquitectos SRL</t>
  </si>
  <si>
    <t xml:space="preserve">4648684#1
</t>
  </si>
  <si>
    <t>Miranda Arquitectos Peru</t>
  </si>
  <si>
    <t>4334064#1</t>
  </si>
  <si>
    <t>Elmntosarquitectura</t>
  </si>
  <si>
    <t>891797#1</t>
  </si>
  <si>
    <t>Benito Roggio e Hijos S.A Paraguay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</si>
  <si>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</si>
  <si>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</si>
  <si>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</si>
  <si>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</si>
  <si>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</si>
  <si>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1548654#1</t>
  </si>
  <si>
    <t>Duodesignlatam</t>
  </si>
  <si>
    <t>1193653#1</t>
  </si>
  <si>
    <t>Lihue Ingenieria S A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</si>
  <si>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</si>
  <si>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</si>
  <si>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</si>
  <si>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</si>
  <si>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</si>
  <si>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4390615#1</t>
  </si>
  <si>
    <t>Cohenarchitecture</t>
  </si>
  <si>
    <t>1856715#1</t>
  </si>
  <si>
    <t>Rowa S A</t>
  </si>
  <si>
    <t>4427483#1</t>
  </si>
  <si>
    <t>Dfsolucionescr</t>
  </si>
  <si>
    <t>448954#1</t>
  </si>
  <si>
    <t>Arke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</si>
  <si>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</si>
  <si>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</si>
  <si>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</si>
  <si>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</si>
  <si>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</si>
  <si>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2243817#1</t>
  </si>
  <si>
    <t>Arquifoamgt</t>
  </si>
  <si>
    <t>Multiplied case - Ruvixx Strategic Old Accounts</t>
  </si>
  <si>
    <t>715742#1</t>
  </si>
  <si>
    <t>ROSART Eirl</t>
  </si>
  <si>
    <t>2294246#1</t>
  </si>
  <si>
    <t>Programática de Costa Rica S.A.</t>
  </si>
  <si>
    <t>4366325#1</t>
  </si>
  <si>
    <t>Admdalvian</t>
  </si>
  <si>
    <t>3802131#2</t>
  </si>
  <si>
    <t>Desarrollo Y Nutricion Animal</t>
  </si>
  <si>
    <t>4551859#1</t>
  </si>
  <si>
    <t>Alcasrl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</si>
  <si>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</si>
  <si>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</si>
  <si>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</si>
  <si>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</si>
  <si>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</si>
  <si>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</si>
  <si>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</si>
  <si>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</si>
  <si>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4216035#1</t>
  </si>
  <si>
    <t>Solrealgroup</t>
  </si>
  <si>
    <t>2189826#1</t>
  </si>
  <si>
    <t>Grupo MDay</t>
  </si>
  <si>
    <t>1451853#2</t>
  </si>
  <si>
    <t>SCH ConsultorÃ­a y ConstrucciÃ³n</t>
  </si>
  <si>
    <t>2353931#1</t>
  </si>
  <si>
    <t>Palma Orlando Agustin</t>
  </si>
  <si>
    <t>593940#1</t>
  </si>
  <si>
    <t>Cb2arq</t>
  </si>
  <si>
    <t>1265310#1</t>
  </si>
  <si>
    <t>CScreatividad Stands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</si>
  <si>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</si>
  <si>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</si>
  <si>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</si>
  <si>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</si>
  <si>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</si>
  <si>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</si>
  <si>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</si>
  <si>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</si>
  <si>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4333772#1</t>
  </si>
  <si>
    <t>Rosul</t>
  </si>
  <si>
    <t>1793643#1</t>
  </si>
  <si>
    <t>Perfilsrl</t>
  </si>
  <si>
    <t>4515528#1</t>
  </si>
  <si>
    <t>Pulsoarquitectura</t>
  </si>
  <si>
    <t>1362150#1</t>
  </si>
  <si>
    <t>CLC Arquitectos</t>
  </si>
  <si>
    <t>1793331#1</t>
  </si>
  <si>
    <t>ISAD, S.A.</t>
  </si>
  <si>
    <t>1261839#1</t>
  </si>
  <si>
    <t>Norfor SA</t>
  </si>
  <si>
    <t>3900448#1</t>
  </si>
  <si>
    <t>Metalicaimperio</t>
  </si>
  <si>
    <t>1025747#1</t>
  </si>
  <si>
    <t>Urbano Express Argentina S.A.</t>
  </si>
  <si>
    <t>932564#1</t>
  </si>
  <si>
    <t>Plastikito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</si>
  <si>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</si>
  <si>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</si>
  <si>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</si>
  <si>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</si>
  <si>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</si>
  <si>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</si>
  <si>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</si>
  <si>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</si>
  <si>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</si>
  <si>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</si>
  <si>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</si>
  <si>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</si>
  <si>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 xml:space="preserve">Cooperatives are constituted as non-profit entities.
</t>
  </si>
  <si>
    <t>4567420#1</t>
  </si>
  <si>
    <t>Grupo</t>
  </si>
  <si>
    <t>Re launch</t>
  </si>
  <si>
    <t>3885743#1</t>
  </si>
  <si>
    <t>Metrocubico</t>
  </si>
  <si>
    <t>Reincidencia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</si>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</sst>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1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44e8402a-c689-4c74-bfc3-86f81596b957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m/>
      </sharedItems>
    </cacheField>
    <cacheField name="Country" numFmtId="0">
      <sharedItems containsBlank="1">
        <s v="Dominican Republic"/>
        <s v="Costa Rica"/>
        <s v="Guatemala"/>
        <s v="Belize"/>
        <s v="Honduras"/>
        <s v="Nicaragua"/>
        <s v="Mexico"/>
        <m/>
      </sharedItems>
    </cacheField>
    <cacheField name="Investigator" numFmtId="0">
      <sharedItems containsBlank="1">
        <s v="Clara"/>
        <s v="Maria Celeste"/>
        <s v="Noel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>
      <sharedItems containsDate="1" containsString="0" containsBlank="1" containsMixedTypes="1">
        <d v="2026-06-09T00:00:00Z"/>
        <d v="2026-06-08T00:00:00Z"/>
        <n v="6706379.0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m/>
      </sharedItems>
    </cacheField>
    <cacheField name="Investigator" numFmtId="0">
      <sharedItems containsBlank="1">
        <s v="Luis"/>
        <s v="Rafael"/>
        <s v="Mariadelaida"/>
        <s v="Daniela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3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3"/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7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Country" axis="axisRow" dataField="1" compact="0" outline="0" multipleItemSelectionAllowed="1" showAll="0" sortType="ascending">
      <items>
        <item x="7"/>
        <item x="3"/>
        <item x="1"/>
        <item x="0"/>
        <item x="2"/>
        <item x="4"/>
        <item x="6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4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3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7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name="Country" axis="axisRow" dataField="1" compact="0" outline="0" multipleItemSelectionAllowed="1" showAll="0" sortType="ascending">
      <items>
        <item x="7"/>
        <item x="0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44e8402a-c689-4c74-bfc3-86f81596b957}" id="{c043ba68-94e0-41e8-a69f-c7a4e62fef17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</v>
      </c>
      <c r="F55" s="246">
        <f t="shared" ref="F55:F57" si="3">C55-E55</f>
        <v>29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9</v>
      </c>
      <c r="L55" s="33">
        <f t="shared" ref="L55:L59" si="4">I55-K55</f>
        <v>1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5</v>
      </c>
      <c r="F56" s="246">
        <f t="shared" si="3"/>
        <v>15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7</v>
      </c>
      <c r="L56" s="33">
        <f t="shared" si="4"/>
        <v>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7</v>
      </c>
      <c r="F57" s="246">
        <f t="shared" si="3"/>
        <v>13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5</v>
      </c>
      <c r="L57" s="33">
        <f t="shared" si="4"/>
        <v>15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2</v>
      </c>
      <c r="L58" s="33">
        <f t="shared" si="4"/>
        <v>18</v>
      </c>
    </row>
    <row r="59" outlineLevel="1">
      <c r="D59" s="10"/>
      <c r="E59" s="37" t="s">
        <v>41</v>
      </c>
      <c r="F59" s="38">
        <f>SUM(F55:F57)</f>
        <v>57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10</v>
      </c>
      <c r="L59" s="33">
        <f t="shared" si="4"/>
        <v>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37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/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/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 t="s">
        <v>16</v>
      </c>
      <c r="V4" s="370" t="s">
        <v>9</v>
      </c>
      <c r="W4" s="195"/>
      <c r="X4" s="371"/>
      <c r="Z4" s="401">
        <v>46181.0</v>
      </c>
      <c r="AA4" s="273" t="s">
        <v>3688</v>
      </c>
      <c r="AB4" s="273" t="s">
        <v>3689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3690</v>
      </c>
      <c r="D5" s="373" t="s">
        <v>3691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3692</v>
      </c>
      <c r="L5" s="109" t="s">
        <v>3693</v>
      </c>
      <c r="M5" s="58"/>
      <c r="N5" s="58" t="s">
        <v>20</v>
      </c>
      <c r="O5" s="109" t="s">
        <v>3694</v>
      </c>
      <c r="P5" s="298"/>
      <c r="R5" s="369">
        <v>46182.0</v>
      </c>
      <c r="S5" s="326" t="s">
        <v>3695</v>
      </c>
      <c r="T5" s="326" t="s">
        <v>3696</v>
      </c>
      <c r="U5" s="370" t="s">
        <v>10</v>
      </c>
      <c r="V5" s="370" t="s">
        <v>9</v>
      </c>
      <c r="W5" s="195"/>
      <c r="X5" s="371"/>
      <c r="Z5" s="403">
        <v>46181.0</v>
      </c>
      <c r="AA5" s="294" t="s">
        <v>3697</v>
      </c>
      <c r="AB5" s="294" t="s">
        <v>3698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3699</v>
      </c>
      <c r="D6" s="273" t="s">
        <v>3700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3701</v>
      </c>
      <c r="L6" s="109" t="s">
        <v>3702</v>
      </c>
      <c r="M6" s="58"/>
      <c r="N6" s="58" t="s">
        <v>20</v>
      </c>
      <c r="O6" s="109" t="s">
        <v>3703</v>
      </c>
      <c r="P6" s="298"/>
      <c r="R6" s="369">
        <v>46182.0</v>
      </c>
      <c r="S6" s="326" t="s">
        <v>3704</v>
      </c>
      <c r="T6" s="326" t="s">
        <v>3705</v>
      </c>
      <c r="U6" s="370" t="s">
        <v>10</v>
      </c>
      <c r="V6" s="370" t="s">
        <v>9</v>
      </c>
      <c r="W6" s="326"/>
      <c r="X6" s="386"/>
      <c r="Z6" s="401">
        <v>46181.0</v>
      </c>
      <c r="AA6" s="273" t="s">
        <v>3706</v>
      </c>
      <c r="AB6" s="273" t="s">
        <v>3707</v>
      </c>
      <c r="AC6" s="402" t="s">
        <v>27</v>
      </c>
      <c r="AD6" s="402" t="s">
        <v>2337</v>
      </c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3708</v>
      </c>
      <c r="D7" s="373" t="s">
        <v>3709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3710</v>
      </c>
      <c r="L7" s="109" t="s">
        <v>3711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3712</v>
      </c>
      <c r="T7" s="326" t="s">
        <v>3713</v>
      </c>
      <c r="U7" s="370" t="s">
        <v>950</v>
      </c>
      <c r="V7" s="370" t="s">
        <v>9</v>
      </c>
      <c r="W7" s="195"/>
      <c r="X7" s="371"/>
      <c r="Z7" s="403">
        <v>46181.0</v>
      </c>
      <c r="AA7" s="294" t="s">
        <v>3714</v>
      </c>
      <c r="AB7" s="294" t="s">
        <v>3715</v>
      </c>
      <c r="AC7" s="391" t="s">
        <v>18</v>
      </c>
      <c r="AD7" s="391" t="s">
        <v>2337</v>
      </c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3716</v>
      </c>
      <c r="D8" s="457" t="s">
        <v>3717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3718</v>
      </c>
      <c r="L8" s="109" t="s">
        <v>3719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3720</v>
      </c>
      <c r="T8" s="460" t="s">
        <v>3721</v>
      </c>
      <c r="U8" s="461" t="s">
        <v>19</v>
      </c>
      <c r="V8" s="462" t="s">
        <v>2347</v>
      </c>
      <c r="W8" s="109"/>
      <c r="X8" s="298"/>
      <c r="Z8" s="401">
        <v>46181.0</v>
      </c>
      <c r="AA8" s="273" t="s">
        <v>3722</v>
      </c>
      <c r="AB8" s="273" t="s">
        <v>3723</v>
      </c>
      <c r="AC8" s="402" t="s">
        <v>18</v>
      </c>
      <c r="AD8" s="402" t="s">
        <v>2337</v>
      </c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3724</v>
      </c>
      <c r="D9" s="373" t="s">
        <v>3725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3726</v>
      </c>
      <c r="L9" s="294" t="s">
        <v>3727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3728</v>
      </c>
      <c r="T9" s="459" t="s">
        <v>3729</v>
      </c>
      <c r="U9" s="464" t="s">
        <v>19</v>
      </c>
      <c r="V9" s="465" t="s">
        <v>9</v>
      </c>
      <c r="W9" s="61"/>
      <c r="X9" s="269"/>
      <c r="Z9" s="403">
        <v>46181.0</v>
      </c>
      <c r="AA9" s="294" t="s">
        <v>3730</v>
      </c>
      <c r="AB9" s="294" t="s">
        <v>3731</v>
      </c>
      <c r="AC9" s="391" t="s">
        <v>27</v>
      </c>
      <c r="AD9" s="391" t="s">
        <v>2337</v>
      </c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3732</v>
      </c>
      <c r="D10" s="413" t="s">
        <v>3733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3734</v>
      </c>
      <c r="L10" s="273" t="s">
        <v>3735</v>
      </c>
      <c r="M10" s="274" t="s">
        <v>15</v>
      </c>
      <c r="N10" s="274" t="s">
        <v>2337</v>
      </c>
      <c r="O10" s="109" t="s">
        <v>3736</v>
      </c>
      <c r="P10" s="298"/>
      <c r="R10" s="369">
        <v>46182.0</v>
      </c>
      <c r="S10" s="459" t="s">
        <v>3737</v>
      </c>
      <c r="T10" s="459" t="s">
        <v>3738</v>
      </c>
      <c r="U10" s="58" t="s">
        <v>32</v>
      </c>
      <c r="V10" s="58" t="s">
        <v>9</v>
      </c>
      <c r="W10" s="61"/>
      <c r="X10" s="269"/>
      <c r="Z10" s="401">
        <v>46181.0</v>
      </c>
      <c r="AA10" s="273" t="s">
        <v>3739</v>
      </c>
      <c r="AB10" s="273" t="s">
        <v>3740</v>
      </c>
      <c r="AC10" s="402" t="s">
        <v>18</v>
      </c>
      <c r="AD10" s="402" t="s">
        <v>2337</v>
      </c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3741</v>
      </c>
      <c r="D11" s="273" t="s">
        <v>3742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3743</v>
      </c>
      <c r="L11" s="294" t="s">
        <v>3744</v>
      </c>
      <c r="M11" s="295" t="s">
        <v>18</v>
      </c>
      <c r="N11" s="295" t="s">
        <v>2337</v>
      </c>
      <c r="O11" s="109" t="s">
        <v>3745</v>
      </c>
      <c r="P11" s="269" t="b">
        <v>1</v>
      </c>
      <c r="R11" s="270">
        <v>46182.0</v>
      </c>
      <c r="S11" s="273" t="s">
        <v>3746</v>
      </c>
      <c r="T11" s="413" t="s">
        <v>3747</v>
      </c>
      <c r="U11" s="402" t="s">
        <v>32</v>
      </c>
      <c r="V11" s="58" t="s">
        <v>12</v>
      </c>
      <c r="W11" s="109"/>
      <c r="X11" s="269"/>
      <c r="Z11" s="270">
        <v>46182.0</v>
      </c>
      <c r="AA11" s="109" t="s">
        <v>3748</v>
      </c>
      <c r="AB11" s="109" t="s">
        <v>3749</v>
      </c>
      <c r="AC11" s="58" t="s">
        <v>21</v>
      </c>
      <c r="AD11" s="58" t="s">
        <v>28</v>
      </c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3750</v>
      </c>
      <c r="D12" s="294" t="s">
        <v>3751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3752</v>
      </c>
      <c r="L12" s="273" t="s">
        <v>3753</v>
      </c>
      <c r="M12" s="274" t="s">
        <v>27</v>
      </c>
      <c r="N12" s="274" t="s">
        <v>2337</v>
      </c>
      <c r="O12" s="109" t="s">
        <v>3745</v>
      </c>
      <c r="P12" s="269" t="b">
        <v>1</v>
      </c>
      <c r="R12" s="270">
        <v>46182.0</v>
      </c>
      <c r="S12" s="294" t="s">
        <v>3754</v>
      </c>
      <c r="T12" s="411" t="s">
        <v>3755</v>
      </c>
      <c r="U12" s="391" t="s">
        <v>22</v>
      </c>
      <c r="V12" s="58" t="s">
        <v>12</v>
      </c>
      <c r="W12" s="61"/>
      <c r="X12" s="269"/>
      <c r="Z12" s="270">
        <v>46182.0</v>
      </c>
      <c r="AA12" s="109" t="s">
        <v>3756</v>
      </c>
      <c r="AB12" s="109" t="s">
        <v>3757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3758</v>
      </c>
      <c r="D13" s="273" t="s">
        <v>3759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3760</v>
      </c>
      <c r="L13" s="294" t="s">
        <v>3761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3762</v>
      </c>
      <c r="T13" s="413" t="s">
        <v>3763</v>
      </c>
      <c r="U13" s="402" t="s">
        <v>32</v>
      </c>
      <c r="V13" s="58" t="s">
        <v>12</v>
      </c>
      <c r="W13" s="61"/>
      <c r="X13" s="269"/>
      <c r="Z13" s="270">
        <v>46182.0</v>
      </c>
      <c r="AA13" s="109" t="s">
        <v>3764</v>
      </c>
      <c r="AB13" s="109" t="s">
        <v>3765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3766</v>
      </c>
      <c r="D14" s="472" t="s">
        <v>3767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3768</v>
      </c>
      <c r="L14" s="273" t="s">
        <v>3769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3770</v>
      </c>
      <c r="T14" s="411" t="s">
        <v>3771</v>
      </c>
      <c r="U14" s="391" t="s">
        <v>10</v>
      </c>
      <c r="V14" s="58" t="s">
        <v>12</v>
      </c>
      <c r="W14" s="109"/>
      <c r="X14" s="269"/>
      <c r="Z14" s="270">
        <v>46182.0</v>
      </c>
      <c r="AA14" s="109" t="s">
        <v>3772</v>
      </c>
      <c r="AB14" s="109" t="s">
        <v>3773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3774</v>
      </c>
      <c r="D15" s="294" t="s">
        <v>3775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3776</v>
      </c>
      <c r="L15" s="294" t="s">
        <v>3777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344"/>
      <c r="W15" s="61"/>
      <c r="X15" s="269"/>
      <c r="Z15" s="270">
        <v>46182.0</v>
      </c>
      <c r="AA15" s="384" t="s">
        <v>3778</v>
      </c>
      <c r="AB15" s="109" t="s">
        <v>3779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3780</v>
      </c>
      <c r="D16" s="273" t="s">
        <v>3781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3782</v>
      </c>
      <c r="L16" s="273" t="s">
        <v>3783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344"/>
      <c r="W16" s="61"/>
      <c r="X16" s="269"/>
      <c r="Z16" s="270">
        <v>46182.0</v>
      </c>
      <c r="AA16" s="109" t="s">
        <v>3784</v>
      </c>
      <c r="AB16" s="109" t="s">
        <v>3785</v>
      </c>
      <c r="AC16" s="58" t="s">
        <v>11</v>
      </c>
      <c r="AD16" s="58" t="s">
        <v>20</v>
      </c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3786</v>
      </c>
      <c r="D17" s="273" t="s">
        <v>3787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3788</v>
      </c>
      <c r="L17" s="294" t="s">
        <v>3789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344"/>
      <c r="W17" s="61"/>
      <c r="X17" s="269"/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4"/>
      <c r="BK17" s="61"/>
      <c r="BL17" s="269"/>
    </row>
    <row r="18" ht="22.5" customHeight="1">
      <c r="A18" s="368"/>
      <c r="B18" s="270">
        <v>46175.0</v>
      </c>
      <c r="C18" s="273" t="s">
        <v>3790</v>
      </c>
      <c r="D18" s="273" t="s">
        <v>3791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3792</v>
      </c>
      <c r="L18" s="273" t="s">
        <v>3793</v>
      </c>
      <c r="M18" s="399" t="s">
        <v>11</v>
      </c>
      <c r="N18" s="410" t="s">
        <v>2338</v>
      </c>
      <c r="O18" s="109" t="s">
        <v>3794</v>
      </c>
      <c r="P18" s="298"/>
      <c r="R18" s="270"/>
      <c r="S18" s="384"/>
      <c r="T18" s="109"/>
      <c r="U18" s="58"/>
      <c r="V18" s="344"/>
      <c r="W18" s="61"/>
      <c r="X18" s="269"/>
      <c r="Z18" s="270">
        <v>46182.0</v>
      </c>
      <c r="AA18" s="109" t="s">
        <v>3795</v>
      </c>
      <c r="AB18" s="109" t="s">
        <v>3796</v>
      </c>
      <c r="AC18" s="58" t="s">
        <v>11</v>
      </c>
      <c r="AD18" s="58" t="s">
        <v>20</v>
      </c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3797</v>
      </c>
      <c r="D19" s="294" t="s">
        <v>3798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3799</v>
      </c>
      <c r="L19" s="294" t="s">
        <v>3800</v>
      </c>
      <c r="M19" s="441" t="s">
        <v>23</v>
      </c>
      <c r="N19" s="404" t="s">
        <v>2338</v>
      </c>
      <c r="O19" s="109" t="s">
        <v>3745</v>
      </c>
      <c r="P19" s="269" t="b">
        <v>1</v>
      </c>
      <c r="R19" s="270"/>
      <c r="S19" s="384"/>
      <c r="T19" s="109"/>
      <c r="U19" s="58"/>
      <c r="V19" s="344"/>
      <c r="W19" s="109"/>
      <c r="X19" s="269"/>
      <c r="Z19" s="270">
        <v>46182.0</v>
      </c>
      <c r="AA19" s="109" t="s">
        <v>3801</v>
      </c>
      <c r="AB19" s="109" t="s">
        <v>3802</v>
      </c>
      <c r="AC19" s="58" t="s">
        <v>18</v>
      </c>
      <c r="AD19" s="58" t="s">
        <v>20</v>
      </c>
      <c r="AE19" s="61"/>
      <c r="AF19" s="269"/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5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3803</v>
      </c>
      <c r="D20" s="273" t="s">
        <v>3804</v>
      </c>
      <c r="E20" s="402"/>
      <c r="F20" s="274" t="s">
        <v>2344</v>
      </c>
      <c r="G20" s="109" t="s">
        <v>3805</v>
      </c>
      <c r="H20" s="269"/>
      <c r="J20" s="382">
        <v>46174.0</v>
      </c>
      <c r="K20" s="273" t="s">
        <v>3806</v>
      </c>
      <c r="L20" s="273" t="s">
        <v>3807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344"/>
      <c r="W20" s="61"/>
      <c r="X20" s="269"/>
      <c r="Z20" s="270">
        <v>46182.0</v>
      </c>
      <c r="AA20" s="109" t="s">
        <v>3808</v>
      </c>
      <c r="AB20" s="407" t="s">
        <v>3809</v>
      </c>
      <c r="AC20" s="58" t="s">
        <v>11</v>
      </c>
      <c r="AD20" s="58" t="s">
        <v>20</v>
      </c>
      <c r="AE20" s="109"/>
      <c r="AF20" s="269"/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6"/>
      <c r="AT20" s="452"/>
      <c r="AU20" s="477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3810</v>
      </c>
      <c r="D21" s="430" t="s">
        <v>3811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3812</v>
      </c>
      <c r="L21" s="294" t="s">
        <v>3813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344"/>
      <c r="W21" s="109"/>
      <c r="X21" s="269"/>
      <c r="Z21" s="270">
        <v>46182.0</v>
      </c>
      <c r="AA21" s="109" t="s">
        <v>3814</v>
      </c>
      <c r="AB21" s="109" t="s">
        <v>3815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5"/>
      <c r="AV21" s="269"/>
      <c r="AX21" s="270"/>
      <c r="AY21" s="384"/>
      <c r="AZ21" s="478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3816</v>
      </c>
      <c r="D22" s="479" t="s">
        <v>3817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3818</v>
      </c>
      <c r="L22" s="273" t="s">
        <v>3819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344"/>
      <c r="W22" s="61"/>
      <c r="X22" s="269"/>
      <c r="Z22" s="270">
        <v>46182.0</v>
      </c>
      <c r="AA22" s="109" t="s">
        <v>3820</v>
      </c>
      <c r="AB22" s="109" t="s">
        <v>3821</v>
      </c>
      <c r="AC22" s="58" t="s">
        <v>11</v>
      </c>
      <c r="AD22" s="58" t="s">
        <v>20</v>
      </c>
      <c r="AE22" s="61"/>
      <c r="AF22" s="269"/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6"/>
      <c r="AT22" s="452"/>
      <c r="AU22" s="477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3822</v>
      </c>
      <c r="D23" s="405" t="s">
        <v>3823</v>
      </c>
      <c r="E23" s="480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3824</v>
      </c>
      <c r="L23" s="294" t="s">
        <v>3825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344"/>
      <c r="W23" s="61"/>
      <c r="X23" s="269"/>
      <c r="Z23" s="270">
        <v>46182.0</v>
      </c>
      <c r="AA23" s="109" t="s">
        <v>3826</v>
      </c>
      <c r="AB23" s="109" t="s">
        <v>3827</v>
      </c>
      <c r="AC23" s="58" t="s">
        <v>21</v>
      </c>
      <c r="AD23" s="58" t="s">
        <v>20</v>
      </c>
      <c r="AE23" s="61"/>
      <c r="AF23" s="269"/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5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3828</v>
      </c>
      <c r="D24" s="373" t="s">
        <v>3829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3830</v>
      </c>
      <c r="L24" s="273" t="s">
        <v>3831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344"/>
      <c r="W24" s="61"/>
      <c r="X24" s="269"/>
      <c r="Z24" s="270">
        <v>46182.0</v>
      </c>
      <c r="AA24" s="109" t="s">
        <v>3832</v>
      </c>
      <c r="AB24" s="109" t="s">
        <v>3833</v>
      </c>
      <c r="AC24" s="58" t="s">
        <v>11</v>
      </c>
      <c r="AD24" s="58" t="s">
        <v>20</v>
      </c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3834</v>
      </c>
      <c r="D25" s="430" t="s">
        <v>3835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3836</v>
      </c>
      <c r="L25" s="294" t="s">
        <v>3837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344"/>
      <c r="W25" s="61"/>
      <c r="X25" s="269"/>
      <c r="Z25" s="270">
        <v>46182.0</v>
      </c>
      <c r="AA25" s="109" t="s">
        <v>3838</v>
      </c>
      <c r="AB25" s="109" t="s">
        <v>3839</v>
      </c>
      <c r="AC25" s="58" t="s">
        <v>21</v>
      </c>
      <c r="AD25" s="58" t="s">
        <v>20</v>
      </c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3840</v>
      </c>
      <c r="D26" s="294" t="s">
        <v>3841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3842</v>
      </c>
      <c r="L26" s="273" t="s">
        <v>3843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344"/>
      <c r="W26" s="61"/>
      <c r="X26" s="269"/>
      <c r="Z26" s="270">
        <v>46182.0</v>
      </c>
      <c r="AA26" s="109" t="s">
        <v>3844</v>
      </c>
      <c r="AB26" s="109" t="s">
        <v>3845</v>
      </c>
      <c r="AC26" s="58" t="s">
        <v>21</v>
      </c>
      <c r="AD26" s="58" t="s">
        <v>20</v>
      </c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3846</v>
      </c>
      <c r="D27" s="273" t="s">
        <v>3847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3848</v>
      </c>
      <c r="L27" s="294" t="s">
        <v>3849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344"/>
      <c r="W27" s="109"/>
      <c r="X27" s="269"/>
      <c r="Z27" s="270">
        <v>46182.0</v>
      </c>
      <c r="AA27" s="109" t="s">
        <v>3850</v>
      </c>
      <c r="AB27" s="109" t="s">
        <v>3851</v>
      </c>
      <c r="AC27" s="58" t="s">
        <v>21</v>
      </c>
      <c r="AD27" s="58" t="s">
        <v>20</v>
      </c>
      <c r="AE27" s="61"/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6"/>
      <c r="AT27" s="452"/>
      <c r="AU27" s="477"/>
      <c r="AV27" s="269"/>
      <c r="AX27" s="270"/>
      <c r="AY27" s="450"/>
      <c r="AZ27" s="481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3852</v>
      </c>
      <c r="D28" s="373" t="s">
        <v>3853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3854</v>
      </c>
      <c r="L28" s="273" t="s">
        <v>3855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412"/>
      <c r="W28" s="61"/>
      <c r="X28" s="269"/>
      <c r="Z28" s="270">
        <v>6706379.0</v>
      </c>
      <c r="AA28" s="109" t="s">
        <v>3856</v>
      </c>
      <c r="AB28" s="109" t="s">
        <v>3857</v>
      </c>
      <c r="AC28" s="58" t="s">
        <v>21</v>
      </c>
      <c r="AD28" s="58" t="s">
        <v>20</v>
      </c>
      <c r="AE28" s="61"/>
      <c r="AF28" s="269"/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5"/>
      <c r="AV28" s="269"/>
      <c r="AX28" s="270"/>
      <c r="AY28" s="453"/>
      <c r="AZ28" s="482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3858</v>
      </c>
      <c r="D29" s="373" t="s">
        <v>3859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3860</v>
      </c>
      <c r="L29" s="294" t="s">
        <v>3861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344"/>
      <c r="W29" s="61"/>
      <c r="X29" s="269"/>
      <c r="Z29" s="270">
        <v>46182.0</v>
      </c>
      <c r="AA29" s="109" t="s">
        <v>3862</v>
      </c>
      <c r="AB29" s="109" t="s">
        <v>3863</v>
      </c>
      <c r="AC29" s="58" t="s">
        <v>11</v>
      </c>
      <c r="AD29" s="58" t="s">
        <v>20</v>
      </c>
      <c r="AE29" s="61"/>
      <c r="AF29" s="269"/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6"/>
      <c r="AT29" s="452"/>
      <c r="AU29" s="477"/>
      <c r="AV29" s="269"/>
      <c r="AX29" s="270"/>
      <c r="AY29" s="450"/>
      <c r="AZ29" s="481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3864</v>
      </c>
      <c r="D30" s="373" t="s">
        <v>3865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3866</v>
      </c>
      <c r="L30" s="273" t="s">
        <v>3867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344"/>
      <c r="W30" s="61"/>
      <c r="X30" s="269"/>
      <c r="Z30" s="270">
        <v>46182.0</v>
      </c>
      <c r="AA30" s="109" t="s">
        <v>3868</v>
      </c>
      <c r="AB30" s="109" t="s">
        <v>3869</v>
      </c>
      <c r="AC30" s="58" t="s">
        <v>21</v>
      </c>
      <c r="AD30" s="58" t="s">
        <v>20</v>
      </c>
      <c r="AE30" s="61"/>
      <c r="AF30" s="269"/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3"/>
      <c r="AV30" s="298"/>
      <c r="AX30" s="270"/>
      <c r="AY30" s="453"/>
      <c r="AZ30" s="482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3870</v>
      </c>
      <c r="D31" s="373" t="s">
        <v>3871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3872</v>
      </c>
      <c r="L31" s="273" t="s">
        <v>3873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3"/>
      <c r="U31" s="58"/>
      <c r="V31" s="344"/>
      <c r="W31" s="61"/>
      <c r="X31" s="269"/>
      <c r="Z31" s="270">
        <v>46182.0</v>
      </c>
      <c r="AA31" s="109" t="s">
        <v>3874</v>
      </c>
      <c r="AB31" s="109" t="s">
        <v>3875</v>
      </c>
      <c r="AC31" s="58" t="s">
        <v>11</v>
      </c>
      <c r="AD31" s="58" t="s">
        <v>20</v>
      </c>
      <c r="AE31" s="61"/>
      <c r="AF31" s="269"/>
      <c r="AH31" s="473"/>
      <c r="AI31" s="450"/>
      <c r="AJ31" s="450"/>
      <c r="AK31" s="476"/>
      <c r="AL31" s="452"/>
      <c r="AM31" s="61"/>
      <c r="AN31" s="269"/>
      <c r="AP31" s="449"/>
      <c r="AQ31" s="450"/>
      <c r="AR31" s="450"/>
      <c r="AS31" s="468"/>
      <c r="AT31" s="452"/>
      <c r="AU31" s="484"/>
      <c r="AV31" s="269"/>
      <c r="AX31" s="270"/>
      <c r="AY31" s="450"/>
      <c r="AZ31" s="481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3876</v>
      </c>
      <c r="D32" s="373" t="s">
        <v>3877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3878</v>
      </c>
      <c r="L32" s="294" t="s">
        <v>3879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344"/>
      <c r="W32" s="61"/>
      <c r="X32" s="269"/>
      <c r="Z32" s="270">
        <v>46182.0</v>
      </c>
      <c r="AA32" s="485" t="s">
        <v>3880</v>
      </c>
      <c r="AB32" s="460" t="s">
        <v>3881</v>
      </c>
      <c r="AC32" s="461" t="s">
        <v>18</v>
      </c>
      <c r="AD32" s="462" t="s">
        <v>14</v>
      </c>
      <c r="AE32" s="61"/>
      <c r="AF32" s="269"/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2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3882</v>
      </c>
      <c r="D33" s="373" t="s">
        <v>3883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3884</v>
      </c>
      <c r="L33" s="273" t="s">
        <v>3885</v>
      </c>
      <c r="M33" s="398"/>
      <c r="N33" s="431" t="s">
        <v>2338</v>
      </c>
      <c r="O33" s="109" t="s">
        <v>3537</v>
      </c>
      <c r="P33" s="269"/>
      <c r="R33" s="270"/>
      <c r="S33" s="384"/>
      <c r="T33" s="486"/>
      <c r="U33" s="58"/>
      <c r="V33" s="344"/>
      <c r="W33" s="61"/>
      <c r="X33" s="269"/>
      <c r="Z33" s="270">
        <v>46182.0</v>
      </c>
      <c r="AA33" s="485" t="s">
        <v>3886</v>
      </c>
      <c r="AB33" s="485" t="s">
        <v>3887</v>
      </c>
      <c r="AC33" s="487" t="s">
        <v>21</v>
      </c>
      <c r="AD33" s="462" t="s">
        <v>14</v>
      </c>
      <c r="AE33" s="61"/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1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3888</v>
      </c>
      <c r="D34" s="373" t="s">
        <v>3889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3890</v>
      </c>
      <c r="L34" s="294" t="s">
        <v>3891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344"/>
      <c r="W34" s="61"/>
      <c r="X34" s="269"/>
      <c r="Z34" s="270">
        <v>46182.0</v>
      </c>
      <c r="AA34" s="109" t="s">
        <v>3892</v>
      </c>
      <c r="AB34" s="109" t="s">
        <v>3893</v>
      </c>
      <c r="AC34" s="58" t="s">
        <v>27</v>
      </c>
      <c r="AD34" s="462" t="s">
        <v>14</v>
      </c>
      <c r="AE34" s="61"/>
      <c r="AF34" s="269"/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2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3894</v>
      </c>
      <c r="D35" s="373" t="s">
        <v>3895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3896</v>
      </c>
      <c r="L35" s="273" t="s">
        <v>3897</v>
      </c>
      <c r="M35" s="398"/>
      <c r="N35" s="431" t="s">
        <v>2338</v>
      </c>
      <c r="O35" s="109" t="s">
        <v>3898</v>
      </c>
      <c r="P35" s="269"/>
      <c r="R35" s="270"/>
      <c r="S35" s="109"/>
      <c r="T35" s="109"/>
      <c r="U35" s="58"/>
      <c r="V35" s="344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1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3899</v>
      </c>
      <c r="D36" s="294" t="s">
        <v>3900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3901</v>
      </c>
      <c r="L36" s="294" t="s">
        <v>3902</v>
      </c>
      <c r="M36" s="396"/>
      <c r="N36" s="391" t="s">
        <v>2338</v>
      </c>
      <c r="O36" s="109" t="s">
        <v>3903</v>
      </c>
      <c r="P36" s="269"/>
      <c r="R36" s="270"/>
      <c r="S36" s="109"/>
      <c r="T36" s="109"/>
      <c r="U36" s="58"/>
      <c r="V36" s="344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2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3904</v>
      </c>
      <c r="D37" s="430" t="s">
        <v>3905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3906</v>
      </c>
      <c r="L37" s="109" t="s">
        <v>3907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344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1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3908</v>
      </c>
      <c r="D38" s="373" t="s">
        <v>3909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3910</v>
      </c>
      <c r="L38" s="109" t="s">
        <v>3911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344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2"/>
      <c r="BA38" s="58"/>
      <c r="BB38" s="58"/>
      <c r="BC38" s="61"/>
      <c r="BD38" s="269"/>
      <c r="BF38" s="449"/>
      <c r="BG38" s="450"/>
      <c r="BH38" s="450"/>
      <c r="BI38" s="451"/>
      <c r="BJ38" s="474"/>
      <c r="BK38" s="61"/>
      <c r="BL38" s="298"/>
    </row>
    <row r="39" ht="22.5" customHeight="1">
      <c r="A39" s="368"/>
      <c r="B39" s="270">
        <v>46177.0</v>
      </c>
      <c r="C39" s="273" t="s">
        <v>3912</v>
      </c>
      <c r="D39" s="273" t="s">
        <v>3913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3914</v>
      </c>
      <c r="L39" s="109" t="s">
        <v>3915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344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1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3916</v>
      </c>
      <c r="D40" s="405" t="s">
        <v>3917</v>
      </c>
      <c r="E40" s="480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3918</v>
      </c>
      <c r="L40" s="109" t="s">
        <v>3919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344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2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3920</v>
      </c>
      <c r="D41" s="373" t="s">
        <v>3921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3922</v>
      </c>
      <c r="L41" s="109" t="s">
        <v>3923</v>
      </c>
      <c r="M41" s="58" t="s">
        <v>11</v>
      </c>
      <c r="N41" s="58" t="s">
        <v>20</v>
      </c>
      <c r="O41" s="109" t="s">
        <v>3924</v>
      </c>
      <c r="P41" s="269"/>
      <c r="R41" s="270"/>
      <c r="S41" s="384"/>
      <c r="T41" s="109"/>
      <c r="U41" s="344"/>
      <c r="V41" s="344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1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3925</v>
      </c>
      <c r="D42" s="373" t="s">
        <v>3926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3927</v>
      </c>
      <c r="L42" s="109" t="s">
        <v>3928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344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2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3929</v>
      </c>
      <c r="D43" s="489" t="s">
        <v>3930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3931</v>
      </c>
      <c r="L43" s="109" t="s">
        <v>3932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344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3933</v>
      </c>
      <c r="D44" s="373" t="s">
        <v>3934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3935</v>
      </c>
      <c r="L44" s="109" t="s">
        <v>3936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344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3937</v>
      </c>
      <c r="D45" s="373" t="s">
        <v>3938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3939</v>
      </c>
      <c r="L45" s="109" t="s">
        <v>3940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344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3941</v>
      </c>
      <c r="D46" s="373" t="s">
        <v>3942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3943</v>
      </c>
      <c r="L46" s="109" t="s">
        <v>3944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344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3945</v>
      </c>
      <c r="D47" s="373" t="s">
        <v>3946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3947</v>
      </c>
      <c r="L47" s="109" t="s">
        <v>3948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344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3949</v>
      </c>
      <c r="D48" s="373" t="s">
        <v>3950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3951</v>
      </c>
      <c r="L48" s="109" t="s">
        <v>3952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3"/>
      <c r="U48" s="58"/>
      <c r="V48" s="344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3953</v>
      </c>
      <c r="D49" s="373" t="s">
        <v>3954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3955</v>
      </c>
      <c r="L49" s="109" t="s">
        <v>3956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3"/>
      <c r="U49" s="58"/>
      <c r="V49" s="344"/>
      <c r="W49" s="61"/>
      <c r="X49" s="269"/>
      <c r="Z49" s="270"/>
      <c r="AA49" s="109"/>
      <c r="AB49" s="109"/>
      <c r="AC49" s="58"/>
      <c r="AD49" s="58"/>
      <c r="AE49" s="61"/>
      <c r="AF49" s="269"/>
      <c r="AH49" s="490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3957</v>
      </c>
      <c r="D50" s="373" t="s">
        <v>3958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3959</v>
      </c>
      <c r="L50" s="109" t="s">
        <v>3960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7"/>
      <c r="U50" s="58"/>
      <c r="V50" s="344"/>
      <c r="W50" s="109"/>
      <c r="X50" s="269"/>
      <c r="Z50" s="270"/>
      <c r="AA50" s="109"/>
      <c r="AB50" s="109"/>
      <c r="AC50" s="58"/>
      <c r="AD50" s="58"/>
      <c r="AE50" s="61"/>
      <c r="AF50" s="269"/>
      <c r="AH50" s="491"/>
      <c r="AI50" s="450"/>
      <c r="AJ50" s="450"/>
      <c r="AK50" s="476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3961</v>
      </c>
      <c r="D51" s="373" t="s">
        <v>3962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3963</v>
      </c>
      <c r="L51" s="109" t="s">
        <v>3964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3"/>
      <c r="U51" s="344"/>
      <c r="V51" s="344"/>
      <c r="W51" s="109"/>
      <c r="X51" s="298"/>
      <c r="Z51" s="270"/>
      <c r="AA51" s="109"/>
      <c r="AB51" s="109"/>
      <c r="AC51" s="58"/>
      <c r="AD51" s="58"/>
      <c r="AE51" s="61"/>
      <c r="AF51" s="269"/>
      <c r="AH51" s="490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3965</v>
      </c>
      <c r="D52" s="373" t="s">
        <v>3966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3967</v>
      </c>
      <c r="L52" s="109" t="s">
        <v>3968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344"/>
      <c r="W52" s="61"/>
      <c r="X52" s="269"/>
      <c r="Z52" s="270"/>
      <c r="AA52" s="109"/>
      <c r="AB52" s="109"/>
      <c r="AC52" s="58"/>
      <c r="AD52" s="58"/>
      <c r="AE52" s="61"/>
      <c r="AF52" s="269"/>
      <c r="AH52" s="491"/>
      <c r="AI52" s="450"/>
      <c r="AJ52" s="450"/>
      <c r="AK52" s="476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3969</v>
      </c>
      <c r="D53" s="489" t="s">
        <v>3970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3971</v>
      </c>
      <c r="L53" s="109" t="s">
        <v>3972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344"/>
      <c r="W53" s="61"/>
      <c r="X53" s="269"/>
      <c r="Z53" s="270"/>
      <c r="AA53" s="109"/>
      <c r="AB53" s="109"/>
      <c r="AC53" s="58"/>
      <c r="AD53" s="58"/>
      <c r="AE53" s="61"/>
      <c r="AF53" s="269"/>
      <c r="AH53" s="490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6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89" t="s">
        <v>3973</v>
      </c>
      <c r="D54" s="392" t="s">
        <v>3974</v>
      </c>
      <c r="E54" s="58" t="s">
        <v>19</v>
      </c>
      <c r="F54" s="58" t="s">
        <v>2349</v>
      </c>
      <c r="G54" s="427" t="s">
        <v>3975</v>
      </c>
      <c r="H54" s="269"/>
      <c r="J54" s="403">
        <v>46176.0</v>
      </c>
      <c r="K54" s="294" t="s">
        <v>3976</v>
      </c>
      <c r="L54" s="294" t="s">
        <v>3977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344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2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3" t="s">
        <v>3978</v>
      </c>
      <c r="D55" s="430" t="s">
        <v>3979</v>
      </c>
      <c r="E55" s="431" t="s">
        <v>19</v>
      </c>
      <c r="F55" s="58" t="s">
        <v>12</v>
      </c>
      <c r="G55" s="109" t="s">
        <v>3980</v>
      </c>
      <c r="H55" s="269" t="b">
        <v>1</v>
      </c>
      <c r="J55" s="401">
        <v>46176.0</v>
      </c>
      <c r="K55" s="273" t="s">
        <v>3981</v>
      </c>
      <c r="L55" s="273" t="s">
        <v>3982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344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3983</v>
      </c>
      <c r="D56" s="373" t="s">
        <v>3984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3985</v>
      </c>
      <c r="L56" s="294" t="s">
        <v>3986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344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3987</v>
      </c>
      <c r="D57" s="373" t="s">
        <v>3988</v>
      </c>
      <c r="E57" s="58" t="s">
        <v>16</v>
      </c>
      <c r="F57" s="58" t="s">
        <v>20</v>
      </c>
      <c r="G57" s="109" t="s">
        <v>3980</v>
      </c>
      <c r="H57" s="269" t="b">
        <v>1</v>
      </c>
      <c r="J57" s="401">
        <v>46176.0</v>
      </c>
      <c r="K57" s="273" t="s">
        <v>3989</v>
      </c>
      <c r="L57" s="273" t="s">
        <v>3990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344"/>
      <c r="W57" s="492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3991</v>
      </c>
      <c r="D58" s="430" t="s">
        <v>3992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3993</v>
      </c>
      <c r="L58" s="294" t="s">
        <v>3994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344"/>
      <c r="W58" s="109"/>
      <c r="X58" s="269"/>
      <c r="Z58" s="270"/>
      <c r="AA58" s="109"/>
      <c r="AB58" s="109"/>
      <c r="AC58" s="58"/>
      <c r="AD58" s="58"/>
      <c r="AE58" s="61"/>
      <c r="AF58" s="269"/>
      <c r="AH58" s="473"/>
      <c r="AI58" s="450"/>
      <c r="AJ58" s="450"/>
      <c r="AK58" s="476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3995</v>
      </c>
      <c r="D59" s="373" t="s">
        <v>3996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3997</v>
      </c>
      <c r="L59" s="294" t="s">
        <v>3998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344"/>
      <c r="W59" s="109"/>
      <c r="X59" s="269"/>
      <c r="Z59" s="270"/>
      <c r="AA59" s="109"/>
      <c r="AB59" s="109"/>
      <c r="AC59" s="58"/>
      <c r="AD59" s="58"/>
      <c r="AE59" s="61"/>
      <c r="AF59" s="269"/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3999</v>
      </c>
      <c r="D60" s="373" t="s">
        <v>4000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4001</v>
      </c>
      <c r="L60" s="273" t="s">
        <v>4002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344"/>
      <c r="W60" s="109"/>
      <c r="X60" s="298"/>
      <c r="Z60" s="270"/>
      <c r="AA60" s="109"/>
      <c r="AB60" s="109"/>
      <c r="AC60" s="58"/>
      <c r="AD60" s="58"/>
      <c r="AE60" s="61"/>
      <c r="AF60" s="269"/>
      <c r="AH60" s="473"/>
      <c r="AI60" s="450"/>
      <c r="AJ60" s="450"/>
      <c r="AK60" s="476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4003</v>
      </c>
      <c r="D61" s="373" t="s">
        <v>4004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4005</v>
      </c>
      <c r="L61" s="294" t="s">
        <v>4006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344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4007</v>
      </c>
      <c r="D62" s="373" t="s">
        <v>4008</v>
      </c>
      <c r="E62" s="58" t="s">
        <v>10</v>
      </c>
      <c r="F62" s="58" t="s">
        <v>14</v>
      </c>
      <c r="G62" s="109" t="s">
        <v>4009</v>
      </c>
      <c r="H62" s="269"/>
      <c r="J62" s="382">
        <v>46176.0</v>
      </c>
      <c r="K62" s="273" t="s">
        <v>4010</v>
      </c>
      <c r="L62" s="273" t="s">
        <v>4011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6"/>
      <c r="U62" s="58"/>
      <c r="V62" s="344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4012</v>
      </c>
      <c r="D63" s="373" t="s">
        <v>4013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4014</v>
      </c>
      <c r="L63" s="294" t="s">
        <v>4015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344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4016</v>
      </c>
      <c r="D64" s="373" t="s">
        <v>4017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4018</v>
      </c>
      <c r="L64" s="273" t="s">
        <v>4019</v>
      </c>
      <c r="M64" s="398"/>
      <c r="N64" s="431" t="s">
        <v>2338</v>
      </c>
      <c r="O64" s="109" t="s">
        <v>4020</v>
      </c>
      <c r="P64" s="269"/>
      <c r="R64" s="270"/>
      <c r="S64" s="109"/>
      <c r="T64" s="47"/>
      <c r="U64" s="58"/>
      <c r="V64" s="344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4021</v>
      </c>
      <c r="D65" s="373" t="s">
        <v>4022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4023</v>
      </c>
      <c r="L65" s="109" t="s">
        <v>4024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344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4025</v>
      </c>
      <c r="D66" s="373" t="s">
        <v>4026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4027</v>
      </c>
      <c r="L66" s="109" t="s">
        <v>4028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344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4029</v>
      </c>
      <c r="D67" s="373" t="s">
        <v>4030</v>
      </c>
      <c r="E67" s="58" t="s">
        <v>10</v>
      </c>
      <c r="F67" s="58" t="s">
        <v>9</v>
      </c>
      <c r="G67" s="109" t="s">
        <v>4031</v>
      </c>
      <c r="H67" s="269" t="b">
        <v>1</v>
      </c>
      <c r="J67" s="270">
        <v>46177.0</v>
      </c>
      <c r="K67" s="109" t="s">
        <v>4032</v>
      </c>
      <c r="L67" s="109" t="s">
        <v>4033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344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4034</v>
      </c>
      <c r="D68" s="373" t="s">
        <v>4035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4036</v>
      </c>
      <c r="L68" s="109" t="s">
        <v>4037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344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4038</v>
      </c>
      <c r="D69" s="373" t="s">
        <v>4039</v>
      </c>
      <c r="E69" s="58" t="s">
        <v>10</v>
      </c>
      <c r="F69" s="58" t="s">
        <v>9</v>
      </c>
      <c r="G69" s="109" t="s">
        <v>4040</v>
      </c>
      <c r="H69" s="269"/>
      <c r="J69" s="270">
        <v>46177.0</v>
      </c>
      <c r="K69" s="109" t="s">
        <v>4041</v>
      </c>
      <c r="L69" s="109" t="s">
        <v>4042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344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4043</v>
      </c>
      <c r="D70" s="373" t="s">
        <v>4044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4045</v>
      </c>
      <c r="L70" s="109" t="s">
        <v>4046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4047</v>
      </c>
      <c r="D71" s="373" t="s">
        <v>4048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4049</v>
      </c>
      <c r="L71" s="109" t="s">
        <v>4050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4051</v>
      </c>
      <c r="D72" s="373" t="s">
        <v>4052</v>
      </c>
      <c r="E72" s="58" t="s">
        <v>22</v>
      </c>
      <c r="F72" s="58" t="s">
        <v>9</v>
      </c>
      <c r="G72" s="109" t="s">
        <v>4053</v>
      </c>
      <c r="H72" s="298"/>
      <c r="J72" s="270">
        <v>46177.0</v>
      </c>
      <c r="K72" s="109" t="s">
        <v>4054</v>
      </c>
      <c r="L72" s="109" t="s">
        <v>4055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4056</v>
      </c>
      <c r="D73" s="373" t="s">
        <v>4057</v>
      </c>
      <c r="E73" s="58" t="s">
        <v>16</v>
      </c>
      <c r="F73" s="58" t="s">
        <v>2347</v>
      </c>
      <c r="G73" s="109" t="s">
        <v>4058</v>
      </c>
      <c r="H73" s="269" t="b">
        <v>1</v>
      </c>
      <c r="J73" s="270">
        <v>46177.0</v>
      </c>
      <c r="K73" s="109" t="s">
        <v>4059</v>
      </c>
      <c r="L73" s="109" t="s">
        <v>4060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4061</v>
      </c>
      <c r="D74" s="373" t="s">
        <v>4062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4063</v>
      </c>
      <c r="L74" s="273" t="s">
        <v>4064</v>
      </c>
      <c r="M74" s="402" t="s">
        <v>11</v>
      </c>
      <c r="N74" s="402" t="s">
        <v>2337</v>
      </c>
      <c r="O74" s="109" t="s">
        <v>3745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4065</v>
      </c>
      <c r="D75" s="373" t="s">
        <v>4066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4067</v>
      </c>
      <c r="L75" s="294" t="s">
        <v>4068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70"/>
      <c r="AA75" s="453"/>
      <c r="AB75" s="453"/>
      <c r="AC75" s="471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4069</v>
      </c>
      <c r="D76" s="294" t="s">
        <v>4070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4071</v>
      </c>
      <c r="L76" s="273" t="s">
        <v>4072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3"/>
      <c r="AA76" s="450"/>
      <c r="AB76" s="450"/>
      <c r="AC76" s="476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4073</v>
      </c>
      <c r="D77" s="273" t="s">
        <v>4074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4075</v>
      </c>
      <c r="L77" s="294" t="s">
        <v>4076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70"/>
      <c r="AA77" s="453"/>
      <c r="AB77" s="453"/>
      <c r="AC77" s="471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4077</v>
      </c>
      <c r="D78" s="294" t="s">
        <v>4078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4079</v>
      </c>
      <c r="L78" s="273" t="s">
        <v>4080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3"/>
      <c r="AA78" s="450"/>
      <c r="AB78" s="450"/>
      <c r="AC78" s="476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4081</v>
      </c>
      <c r="D79" s="273" t="s">
        <v>4082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4083</v>
      </c>
      <c r="L79" s="294" t="s">
        <v>4084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70"/>
      <c r="AA79" s="453"/>
      <c r="AB79" s="453"/>
      <c r="AC79" s="471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4085</v>
      </c>
      <c r="D80" s="294" t="s">
        <v>4086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4087</v>
      </c>
      <c r="L80" s="273" t="s">
        <v>4088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6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4089</v>
      </c>
      <c r="D81" s="373" t="s">
        <v>4090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4091</v>
      </c>
      <c r="L81" s="109" t="s">
        <v>4092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8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4093</v>
      </c>
      <c r="D82" s="373" t="s">
        <v>4094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4095</v>
      </c>
      <c r="L82" s="109" t="s">
        <v>4096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6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4097</v>
      </c>
      <c r="D83" s="373" t="s">
        <v>4098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4099</v>
      </c>
      <c r="L83" s="109" t="s">
        <v>4100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94"/>
      <c r="AA83" s="460"/>
      <c r="AB83" s="460"/>
      <c r="AC83" s="495"/>
      <c r="AD83" s="46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4101</v>
      </c>
      <c r="D84" s="294" t="s">
        <v>4102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4103</v>
      </c>
      <c r="L84" s="109" t="s">
        <v>4104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4105</v>
      </c>
      <c r="D85" s="326" t="s">
        <v>4106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4107</v>
      </c>
      <c r="L85" s="109" t="s">
        <v>4108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4109</v>
      </c>
      <c r="D86" s="273" t="s">
        <v>4110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4111</v>
      </c>
      <c r="L86" s="109" t="s">
        <v>4112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4113</v>
      </c>
      <c r="D87" s="294" t="s">
        <v>4114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4115</v>
      </c>
      <c r="L87" s="430" t="s">
        <v>4116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4117</v>
      </c>
      <c r="L88" s="405" t="s">
        <v>4118</v>
      </c>
      <c r="M88" s="480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4119</v>
      </c>
      <c r="L89" s="273" t="s">
        <v>4120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3"/>
      <c r="AA89" s="460"/>
      <c r="AB89" s="450"/>
      <c r="AC89" s="476"/>
      <c r="AD89" s="452"/>
      <c r="AE89" s="477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4121</v>
      </c>
      <c r="L90" s="294" t="s">
        <v>4122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70"/>
      <c r="AA90" s="453"/>
      <c r="AB90" s="453"/>
      <c r="AC90" s="471"/>
      <c r="AD90" s="455"/>
      <c r="AE90" s="475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4123</v>
      </c>
      <c r="L91" s="294" t="s">
        <v>4124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73"/>
      <c r="AA91" s="450"/>
      <c r="AB91" s="450"/>
      <c r="AC91" s="452"/>
      <c r="AD91" s="452"/>
      <c r="AE91" s="496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4125</v>
      </c>
      <c r="L92" s="273" t="s">
        <v>4126</v>
      </c>
      <c r="M92" s="497" t="s">
        <v>11</v>
      </c>
      <c r="N92" s="402" t="s">
        <v>2338</v>
      </c>
      <c r="O92" s="109" t="s">
        <v>4127</v>
      </c>
      <c r="P92" s="269"/>
      <c r="R92" s="270"/>
      <c r="S92" s="384"/>
      <c r="T92" s="109"/>
      <c r="U92" s="344"/>
      <c r="V92" s="344"/>
      <c r="W92" s="61"/>
      <c r="X92" s="298"/>
      <c r="Z92" s="470"/>
      <c r="AA92" s="453"/>
      <c r="AB92" s="453"/>
      <c r="AC92" s="471"/>
      <c r="AD92" s="455"/>
      <c r="AE92" s="475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4128</v>
      </c>
      <c r="L93" s="430" t="s">
        <v>4129</v>
      </c>
      <c r="M93" s="498" t="s">
        <v>11</v>
      </c>
      <c r="N93" s="431" t="s">
        <v>2338</v>
      </c>
      <c r="O93" s="109" t="s">
        <v>4130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3"/>
      <c r="AA93" s="450"/>
      <c r="AB93" s="460"/>
      <c r="AC93" s="452"/>
      <c r="AD93" s="452"/>
      <c r="AE93" s="496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499">
        <v>46181.0</v>
      </c>
      <c r="K94" s="500" t="s">
        <v>4131</v>
      </c>
      <c r="L94" s="500" t="s">
        <v>4132</v>
      </c>
      <c r="M94" s="501" t="s">
        <v>11</v>
      </c>
      <c r="N94" s="502" t="s">
        <v>28</v>
      </c>
      <c r="O94" s="500" t="s">
        <v>4133</v>
      </c>
      <c r="P94" s="503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4134</v>
      </c>
      <c r="L95" s="294" t="s">
        <v>4135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4136</v>
      </c>
      <c r="L96" s="273" t="s">
        <v>4137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4138</v>
      </c>
      <c r="L97" s="294" t="s">
        <v>4139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4140</v>
      </c>
      <c r="L98" s="273" t="s">
        <v>4141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4142</v>
      </c>
      <c r="L99" s="294" t="s">
        <v>4143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4144</v>
      </c>
      <c r="L100" s="273" t="s">
        <v>4145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4146</v>
      </c>
      <c r="L101" s="294" t="s">
        <v>4147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4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5"/>
      <c r="C1003" s="506" t="s">
        <v>3164</v>
      </c>
      <c r="D1003" s="109" t="s">
        <v>3165</v>
      </c>
      <c r="E1003" s="507" t="s">
        <v>13</v>
      </c>
      <c r="F1003" s="507" t="s">
        <v>2347</v>
      </c>
      <c r="G1003" s="508"/>
      <c r="H1003" s="50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5"/>
      <c r="C1004" s="109" t="s">
        <v>4148</v>
      </c>
      <c r="D1004" s="109" t="s">
        <v>4149</v>
      </c>
      <c r="E1004" s="507" t="s">
        <v>22</v>
      </c>
      <c r="F1004" s="507" t="s">
        <v>2347</v>
      </c>
      <c r="G1004" s="508"/>
      <c r="H1004" s="50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5"/>
      <c r="C1005" s="109" t="s">
        <v>4150</v>
      </c>
      <c r="D1005" s="109" t="s">
        <v>4151</v>
      </c>
      <c r="E1005" s="507" t="s">
        <v>22</v>
      </c>
      <c r="F1005" s="507" t="s">
        <v>2347</v>
      </c>
      <c r="G1005" s="508"/>
      <c r="H1005" s="50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5"/>
      <c r="C1006" s="109" t="s">
        <v>4152</v>
      </c>
      <c r="D1006" s="109" t="s">
        <v>4153</v>
      </c>
      <c r="E1006" s="507" t="s">
        <v>22</v>
      </c>
      <c r="F1006" s="507" t="s">
        <v>2347</v>
      </c>
      <c r="G1006" s="508"/>
      <c r="H1006" s="50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5"/>
      <c r="C1007" s="109"/>
      <c r="D1007" s="109"/>
      <c r="E1007" s="507"/>
      <c r="F1007" s="507"/>
      <c r="G1007" s="508"/>
      <c r="H1007" s="50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5"/>
      <c r="C1008" s="109"/>
      <c r="D1008" s="109"/>
      <c r="E1008" s="507"/>
      <c r="F1008" s="507"/>
      <c r="G1008" s="508"/>
      <c r="H1008" s="509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