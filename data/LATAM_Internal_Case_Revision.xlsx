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June!$B$1:$H$1008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tc={d675569e-735b-41f6-9ddb-3116a83702fa}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d675569e-735b-41f6-9ddb-3116a83702fa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<sst xmlns="http://schemas.openxmlformats.org/spreadsheetml/2006/main" count="8912" uniqueCount="3988">
  <si>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</si>
  <si>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</si>
  <si>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</si>
  <si>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</si>
  <si>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</si>
  <si>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</si>
  <si>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</si>
  <si>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</si>
  <si>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</si>
  <si>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</si>
  <si>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</si>
  <si>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</si>
  <si>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</si>
  <si>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</si>
  <si>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</si>
  <si>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</si>
  <si>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</si>
  <si>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</si>
  <si>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</si>
  <si>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</si>
  <si>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</si>
  <si>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</si>
  <si>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</si>
  <si>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</si>
  <si>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</si>
  <si>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</si>
  <si>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</si>
  <si>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</si>
  <si>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</si>
  <si>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</si>
  <si>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</si>
  <si>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</si>
  <si>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</si>
  <si>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</si>
  <si>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</si>
  <si>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</si>
  <si>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</si>
  <si>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</si>
  <si>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</si>
  <si>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</si>
  <si>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</si>
  <si>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</si>
  <si>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</si>
  <si>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</si>
  <si>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</si>
  <si>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</si>
  <si>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</si>
  <si>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</si>
  <si>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</si>
  <si>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</si>
  <si>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</si>
  <si>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</si>
  <si>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</si>
  <si>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</si>
  <si>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</si>
  <si>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</si>
  <si>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</si>
  <si>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</si>
  <si>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</si>
  <si>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</si>
  <si>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</si>
  <si>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</si>
  <si>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</si>
  <si>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</si>
  <si>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</si>
  <si>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</si>
  <si>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</si>
  <si>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</si>
  <si>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</si>
  <si>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</si>
  <si>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</si>
  <si>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</si>
  <si>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</si>
  <si>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</si>
  <si>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</si>
  <si>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</si>
  <si>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</si>
  <si>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</si>
  <si>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</si>
  <si>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</si>
  <si>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</si>
  <si>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</si>
  <si>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</si>
  <si>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</si>
  <si>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</si>
  <si>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</si>
  <si>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</si>
  <si>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</si>
  <si>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</si>
  <si>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</si>
  <si>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</si>
  <si>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</si>
  <si>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</si>
  <si>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</si>
  <si>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</si>
  <si>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</si>
  <si>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</si>
  <si>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</si>
  <si>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</si>
  <si>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</si>
  <si>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</si>
  <si>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</si>
  <si>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</si>
  <si>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</si>
  <si>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</si>
  <si>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</si>
  <si>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</si>
  <si>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</si>
  <si>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</si>
  <si>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</si>
  <si>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</si>
  <si>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</si>
  <si>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</si>
  <si>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</si>
  <si>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</si>
  <si>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</si>
  <si>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</si>
  <si>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</si>
  <si>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</si>
  <si>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</si>
  <si>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</si>
  <si>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</si>
  <si>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</si>
  <si>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</si>
  <si>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</si>
  <si>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</si>
  <si>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</si>
  <si>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</si>
  <si>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</si>
  <si>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</si>
  <si>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</si>
  <si>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</si>
  <si>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</si>
  <si>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</si>
  <si>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</si>
  <si>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</si>
  <si>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</si>
  <si>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</si>
  <si>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</si>
  <si>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</si>
  <si>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</si>
  <si>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</si>
  <si>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</si>
  <si>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</si>
  <si>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</si>
  <si>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</si>
  <si>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</si>
  <si>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</si>
  <si>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</si>
  <si>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</si>
  <si>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</si>
  <si>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</si>
  <si>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</si>
  <si>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</si>
  <si>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</si>
  <si>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</si>
  <si>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</si>
  <si>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</si>
  <si>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</si>
  <si>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</si>
  <si>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</si>
  <si>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</si>
  <si>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</si>
  <si>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</si>
  <si>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</si>
  <si>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</si>
  <si>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</si>
  <si>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</si>
  <si>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</si>
  <si>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</si>
  <si>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</si>
  <si>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</si>
  <si>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</si>
  <si>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</si>
  <si>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</si>
  <si>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</si>
  <si>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</si>
  <si>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</si>
  <si>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</si>
  <si>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</si>
  <si>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</si>
  <si>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</si>
  <si>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</si>
  <si>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</si>
  <si>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</si>
  <si>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</si>
  <si>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</si>
  <si>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</si>
  <si>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</si>
  <si>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</si>
  <si>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</si>
  <si>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</si>
  <si>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</si>
  <si>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</si>
  <si>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</si>
  <si>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</si>
  <si>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</si>
  <si>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</si>
  <si>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</si>
  <si>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</si>
  <si>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</si>
  <si>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</si>
  <si>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</si>
  <si>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</si>
  <si>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</si>
  <si>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</si>
  <si>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</si>
  <si>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</si>
  <si>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</si>
  <si>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</si>
  <si>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</si>
  <si>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</si>
  <si>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</si>
  <si>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</si>
  <si>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</si>
  <si>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</si>
  <si>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</si>
  <si>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</si>
  <si>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</si>
  <si>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</si>
  <si>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</si>
  <si>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</si>
  <si>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</si>
  <si>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</si>
  <si>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</si>
  <si>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</si>
  <si>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</si>
  <si>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</si>
  <si>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</si>
  <si>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</si>
  <si>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</si>
  <si>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</si>
  <si>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</si>
  <si>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</si>
  <si>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</si>
  <si>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</si>
  <si>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</si>
  <si>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</si>
  <si>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</si>
  <si>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</si>
  <si>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</si>
  <si>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</si>
  <si>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</si>
  <si>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</si>
  <si>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</si>
  <si>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</si>
  <si>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</si>
  <si>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</si>
  <si>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</si>
  <si>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</si>
  <si>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</si>
  <si>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</si>
  <si>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</si>
  <si>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</si>
  <si>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</si>
  <si>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</si>
  <si>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</si>
  <si>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</si>
  <si>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</si>
  <si>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</si>
  <si>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</si>
  <si>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</si>
  <si>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</si>
  <si>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</si>
  <si>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</si>
  <si>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</si>
  <si>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</si>
  <si>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</si>
  <si>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</si>
  <si>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</si>
  <si>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</si>
  <si>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</si>
  <si>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</si>
  <si>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</si>
  <si>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</si>
  <si>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</si>
  <si>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</si>
  <si>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</si>
  <si>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</si>
  <si>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</si>
  <si>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</si>
  <si>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</si>
  <si>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</si>
  <si>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</si>
  <si>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</si>
  <si>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</si>
  <si>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</si>
  <si>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</si>
  <si>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</si>
  <si>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</si>
  <si>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</si>
  <si>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</si>
  <si>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</si>
  <si>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</si>
  <si>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</si>
  <si>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</si>
  <si>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</si>
  <si>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</si>
  <si>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</si>
  <si>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</si>
  <si>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</si>
  <si>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</si>
  <si>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</si>
  <si>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</si>
  <si>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</si>
  <si>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</si>
  <si>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</si>
  <si>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</si>
  <si>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</si>
  <si>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</si>
  <si>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</si>
  <si>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</si>
  <si>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</si>
  <si>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</si>
  <si>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</si>
  <si>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</si>
  <si>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</si>
  <si>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</si>
  <si>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</si>
  <si>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</si>
  <si>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</si>
  <si>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</si>
  <si>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</si>
  <si>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</si>
  <si>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</si>
  <si>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</si>
  <si>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</si>
  <si>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</si>
  <si>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</si>
  <si>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</si>
  <si>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</si>
  <si>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</si>
  <si>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</si>
  <si>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</si>
  <si>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</si>
  <si>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</si>
  <si>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</si>
  <si>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</si>
  <si>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</si>
  <si>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</si>
  <si>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</si>
  <si>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</si>
  <si>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</si>
  <si>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</si>
  <si>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</si>
  <si>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</si>
  <si>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</si>
  <si>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</si>
  <si>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</si>
  <si>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</si>
  <si>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</si>
  <si>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</si>
  <si>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</si>
  <si>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</si>
  <si>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</si>
  <si>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</si>
  <si>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</si>
  <si>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</si>
  <si>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</si>
  <si>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</si>
  <si>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</si>
  <si>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</si>
  <si>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</si>
  <si>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</si>
  <si>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</si>
  <si>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</si>
  <si>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</si>
  <si>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</si>
  <si>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</si>
  <si>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</si>
  <si>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</si>
  <si>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</si>
  <si>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</si>
  <si>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</si>
  <si>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</si>
  <si>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</si>
  <si>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</si>
  <si>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</si>
  <si>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</si>
  <si>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</si>
  <si>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</si>
  <si>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</si>
  <si>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</si>
  <si>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</si>
  <si>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</si>
  <si>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</si>
  <si>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</si>
  <si>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</si>
  <si>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</si>
  <si>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</si>
  <si>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</si>
  <si>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</si>
  <si>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</si>
  <si>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</si>
  <si>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</si>
  <si>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</si>
  <si>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</si>
  <si>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</si>
  <si>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</si>
  <si>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</si>
  <si>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</si>
  <si>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</si>
  <si>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</si>
  <si>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</si>
  <si>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</si>
  <si>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</si>
  <si>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</si>
  <si>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</si>
  <si>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</si>
  <si>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</si>
  <si>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</si>
  <si>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</si>
  <si>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</si>
  <si>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</si>
  <si>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</si>
  <si>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</si>
  <si>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</si>
  <si>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</si>
  <si>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</si>
  <si>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</si>
  <si>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</si>
  <si>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</si>
  <si>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</si>
  <si>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</si>
  <si>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</si>
  <si>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</si>
  <si>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</si>
  <si>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</si>
  <si>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</si>
  <si>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</si>
  <si>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</si>
  <si>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</si>
  <si>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</si>
  <si>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</si>
  <si>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</si>
  <si>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</si>
  <si>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</si>
  <si>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</si>
  <si>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</si>
  <si>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</si>
  <si>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</si>
  <si>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</si>
  <si>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</si>
  <si>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</si>
  <si>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</si>
  <si>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</si>
  <si>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</si>
  <si>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</si>
  <si>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</si>
  <si>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</si>
  <si>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</si>
  <si>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</si>
  <si>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</si>
  <si>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</si>
  <si>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</si>
  <si>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</si>
  <si>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</si>
  <si>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</si>
  <si>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</si>
  <si>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</si>
  <si>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</si>
  <si>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</si>
  <si>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</si>
  <si>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</si>
  <si>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</si>
  <si>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</si>
  <si>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</si>
  <si>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</si>
  <si>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</si>
  <si>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</si>
  <si>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</si>
  <si>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</si>
  <si>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</si>
  <si>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</si>
  <si>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</si>
  <si>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</si>
  <si>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</si>
  <si>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</si>
  <si>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</si>
  <si>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</si>
  <si>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</si>
  <si>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</si>
  <si>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</si>
  <si>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</si>
  <si>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</si>
  <si>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</si>
  <si>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</si>
  <si>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</si>
  <si>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</si>
  <si>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</si>
  <si>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</si>
  <si>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</si>
  <si>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</si>
  <si>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</si>
  <si>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</si>
  <si>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</si>
  <si>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</si>
  <si>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</si>
  <si>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</si>
  <si>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</si>
  <si>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</si>
  <si>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</si>
  <si>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</si>
  <si>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</si>
  <si>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</si>
  <si>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</si>
  <si>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</si>
  <si>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</si>
  <si>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</si>
  <si>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</si>
  <si>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</si>
  <si>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</si>
  <si>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</si>
  <si>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</si>
  <si>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</si>
  <si>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</si>
  <si>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</si>
  <si>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</si>
  <si>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</si>
  <si>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</si>
  <si>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</si>
  <si>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</si>
  <si>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</si>
  <si>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</si>
  <si>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</si>
  <si>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</si>
  <si>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</si>
  <si>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</si>
  <si>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</si>
  <si>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</si>
  <si>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</si>
  <si>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</si>
  <si>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</si>
  <si>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</si>
  <si>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</si>
  <si>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</si>
  <si>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</si>
  <si>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</si>
  <si>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</si>
  <si>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</si>
  <si>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</si>
  <si>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</si>
  <si>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</si>
  <si>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</si>
  <si>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</si>
  <si>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</si>
  <si>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</si>
  <si>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</si>
  <si>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</si>
  <si>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</si>
  <si>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</si>
  <si>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</si>
  <si>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</si>
  <si>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</si>
  <si>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</si>
  <si>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</si>
  <si>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</si>
  <si>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</si>
  <si>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</si>
  <si>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</si>
  <si>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</si>
  <si>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</si>
  <si>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</si>
  <si>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</si>
  <si>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</si>
  <si>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</si>
  <si>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</si>
  <si>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</si>
  <si>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</si>
  <si>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</si>
  <si>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</si>
  <si>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</si>
  <si>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</si>
  <si>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</si>
  <si>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</si>
  <si>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</si>
  <si>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</si>
  <si>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</si>
  <si>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</si>
  <si>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</si>
  <si>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</si>
  <si>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</si>
  <si>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</si>
  <si>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</si>
  <si>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</si>
  <si>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</si>
  <si>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</si>
  <si>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</si>
  <si>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</si>
  <si>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</si>
  <si>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</si>
  <si>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</si>
  <si>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</si>
  <si>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</si>
  <si>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</si>
  <si>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</si>
  <si>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</si>
  <si>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</si>
  <si>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</si>
  <si>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</si>
  <si>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</si>
  <si>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</si>
  <si>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</si>
  <si>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</si>
  <si>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</si>
  <si>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</si>
  <si>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</si>
  <si>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</si>
  <si>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</si>
  <si>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</si>
  <si>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</si>
  <si>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</si>
  <si>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</si>
  <si>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</si>
  <si>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</si>
  <si>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</si>
  <si>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</si>
  <si>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</si>
  <si>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</si>
  <si>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</si>
  <si>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</si>
  <si>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</si>
  <si>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</si>
  <si>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</si>
  <si>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</si>
  <si>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</si>
  <si>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</si>
  <si>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</si>
  <si>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</si>
  <si>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</si>
  <si>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</si>
  <si>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</si>
  <si>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</si>
  <si>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</si>
  <si>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</si>
  <si>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</si>
  <si>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</si>
  <si>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</si>
  <si>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</si>
  <si>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</si>
  <si>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</si>
  <si>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</si>
  <si>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</si>
  <si>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</si>
  <si>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</si>
  <si>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</si>
  <si>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</si>
  <si>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</si>
  <si>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</si>
  <si>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</si>
  <si>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</si>
  <si>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</si>
  <si>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</si>
  <si>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</si>
  <si>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</si>
  <si>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</si>
  <si>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</si>
  <si>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</si>
  <si>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</si>
  <si>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</si>
  <si>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</si>
  <si>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</si>
  <si>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</si>
  <si>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</si>
  <si>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</si>
  <si>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</si>
  <si>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</si>
  <si>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</si>
  <si>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</si>
  <si>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</si>
  <si>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</si>
  <si>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</si>
  <si>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</si>
  <si>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</si>
  <si>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</si>
  <si>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</si>
  <si>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</si>
  <si>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</si>
  <si>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</si>
  <si>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</si>
  <si>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</si>
  <si>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</si>
  <si>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</si>
  <si>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</si>
  <si>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</si>
  <si>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</si>
  <si>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</si>
  <si>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</si>
  <si>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</si>
  <si>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</si>
  <si>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</si>
  <si>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</si>
  <si>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</si>
  <si>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</si>
  <si>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</si>
  <si>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</si>
  <si>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</si>
  <si>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</si>
  <si>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</si>
  <si>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</si>
  <si>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</si>
  <si>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</si>
  <si>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</si>
  <si>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</si>
  <si>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</si>
  <si>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</si>
  <si>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</si>
  <si>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</si>
  <si>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</si>
  <si>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</si>
  <si>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</si>
  <si>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</si>
  <si>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</si>
  <si>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</si>
  <si>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</si>
  <si>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</si>
  <si>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</si>
  <si>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</si>
  <si>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</si>
  <si>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</si>
  <si>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</si>
  <si>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</si>
  <si>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</si>
  <si>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</si>
  <si>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</si>
  <si>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</si>
  <si>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</si>
  <si>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</si>
  <si>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</si>
  <si>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</si>
  <si>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</si>
  <si>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</si>
  <si>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</si>
  <si>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</si>
  <si>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</si>
  <si>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</si>
  <si>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</si>
  <si>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</si>
  <si>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</si>
  <si>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</si>
  <si>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</si>
  <si>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</si>
  <si>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</si>
  <si>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</si>
  <si>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</si>
  <si>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</si>
  <si>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</si>
  <si>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</si>
  <si>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</si>
  <si>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</si>
  <si>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</si>
  <si>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</si>
  <si>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</si>
  <si>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</si>
  <si>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</si>
  <si>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</si>
  <si>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</si>
  <si>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</si>
  <si>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</si>
  <si>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</si>
  <si>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</si>
  <si>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</si>
  <si>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</si>
  <si>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</si>
  <si>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</si>
  <si>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</si>
  <si>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</si>
  <si>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</si>
  <si>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</si>
  <si>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</si>
  <si>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</si>
  <si>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</si>
  <si>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</si>
  <si>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</si>
  <si>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</si>
  <si>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</si>
  <si>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</si>
  <si>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</si>
  <si>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</si>
  <si>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</si>
  <si>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</si>
  <si>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</si>
  <si>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</si>
  <si>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</si>
  <si>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</si>
  <si>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</si>
  <si>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</si>
  <si>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</si>
  <si>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</si>
  <si>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</si>
  <si>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</si>
  <si>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</si>
  <si>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</si>
  <si>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</si>
  <si>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</si>
  <si>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</si>
  <si>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</si>
  <si>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</si>
  <si>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</si>
  <si>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</si>
  <si>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</si>
  <si>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</si>
  <si>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</si>
  <si>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</si>
  <si>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</si>
  <si>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</si>
  <si>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</si>
  <si>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</si>
  <si>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</si>
  <si>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</si>
  <si>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</si>
  <si>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</si>
  <si>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</si>
  <si>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</si>
  <si>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</si>
  <si>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</si>
  <si>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</si>
  <si>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</si>
  <si>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</si>
  <si>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</si>
  <si>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</si>
  <si>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</si>
  <si>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</si>
  <si>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</si>
  <si>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</si>
  <si>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</si>
  <si>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</si>
  <si>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</si>
  <si>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</si>
  <si>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</si>
  <si>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</si>
  <si>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</si>
  <si>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</si>
  <si>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</si>
  <si>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</si>
  <si>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</si>
  <si>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</si>
  <si>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</si>
  <si>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</si>
  <si>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</si>
  <si>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</si>
  <si>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</si>
  <si>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</si>
  <si>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</si>
  <si>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</si>
  <si>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</si>
  <si>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</si>
  <si>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</si>
  <si>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</si>
  <si>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</si>
  <si>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</si>
  <si>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</si>
  <si>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</si>
  <si>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</si>
  <si>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</si>
  <si>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</si>
  <si>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</si>
  <si>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</si>
  <si>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</si>
  <si>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</si>
  <si>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</si>
  <si>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</si>
  <si>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</si>
  <si>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</si>
  <si>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</si>
  <si>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</si>
  <si>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</si>
  <si>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</si>
  <si>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</si>
  <si>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</si>
  <si>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</si>
  <si>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</si>
  <si>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</si>
  <si>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</si>
  <si>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</si>
  <si>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</si>
  <si>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</si>
  <si>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</si>
  <si>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</si>
  <si>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</si>
  <si>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</si>
  <si>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</si>
  <si>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</si>
  <si>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</si>
  <si>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</si>
  <si>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</si>
  <si>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</si>
  <si>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</si>
  <si>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</si>
  <si>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</si>
  <si>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</si>
  <si>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</si>
  <si>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</si>
  <si>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</si>
  <si>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</si>
  <si>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</si>
  <si>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</si>
  <si>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</si>
  <si>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</si>
  <si>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</si>
  <si>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</si>
  <si>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</si>
  <si>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</si>
  <si>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</si>
  <si>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</si>
  <si>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</si>
  <si>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</si>
  <si>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</si>
  <si>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</si>
  <si>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</si>
  <si>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</si>
  <si>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</si>
  <si>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</si>
  <si>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</si>
  <si>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</si>
  <si>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</si>
  <si>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</si>
  <si>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</si>
  <si>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</si>
  <si>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</si>
  <si>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</si>
  <si>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</si>
  <si>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</si>
  <si>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</si>
  <si>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</si>
  <si>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</si>
  <si>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</si>
  <si>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</si>
  <si>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</si>
  <si>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</si>
  <si>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</si>
  <si>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</si>
  <si>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</si>
  <si>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</si>
  <si>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</si>
  <si>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</si>
  <si>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</si>
  <si>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</si>
  <si>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</si>
  <si>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</si>
  <si>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</si>
  <si>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</si>
  <si>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</si>
  <si>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</si>
  <si>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</si>
  <si>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</si>
  <si>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</si>
  <si>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</si>
  <si>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</si>
  <si>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</si>
  <si>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</si>
  <si>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</si>
  <si>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</si>
  <si>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</si>
  <si>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</si>
  <si>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</si>
  <si>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</si>
  <si>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</si>
  <si>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</si>
  <si>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</si>
  <si>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</si>
  <si>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</si>
  <si>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</si>
  <si>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</si>
  <si>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</si>
  <si>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</si>
  <si>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</si>
  <si>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</si>
  <si>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</si>
  <si>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</si>
  <si>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</si>
  <si>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</si>
  <si>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</si>
  <si>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</si>
  <si>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</si>
  <si>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</si>
  <si>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</si>
  <si>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</si>
  <si>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</si>
  <si>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</si>
  <si>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</si>
  <si>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</si>
  <si>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</si>
  <si>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</si>
  <si>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</si>
  <si>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</si>
  <si>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</si>
  <si>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</si>
  <si>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</si>
  <si>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</si>
  <si>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</si>
  <si>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</si>
  <si>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</si>
  <si>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</si>
  <si>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</si>
  <si>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</si>
  <si>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</si>
  <si>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</si>
  <si>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</si>
  <si>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</si>
  <si>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</si>
  <si>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</si>
  <si>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</si>
  <si>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</si>
  <si>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</si>
  <si>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</si>
  <si>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</si>
  <si>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</si>
  <si>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</si>
  <si>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</si>
  <si>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</si>
  <si>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</si>
  <si>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</si>
  <si>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</si>
  <si>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</si>
  <si>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</si>
  <si>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</si>
  <si>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</si>
  <si>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</si>
  <si>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</si>
  <si>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</si>
  <si>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</si>
  <si>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</si>
  <si>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</si>
  <si>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</si>
  <si>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</si>
  <si>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</si>
  <si>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</si>
  <si>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</si>
  <si>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</si>
  <si>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</si>
  <si>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</si>
  <si>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</si>
  <si>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</si>
  <si>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</si>
  <si>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</si>
  <si>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</si>
  <si>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</si>
  <si>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</si>
  <si>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</si>
  <si>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</si>
  <si>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</si>
  <si>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</si>
  <si>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</si>
  <si>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</si>
  <si>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</si>
  <si>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</si>
  <si>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</si>
  <si>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</si>
  <si>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</si>
  <si>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</si>
  <si>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</si>
  <si>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</si>
  <si>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</si>
  <si>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</si>
  <si>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</si>
  <si>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</si>
  <si>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</si>
  <si>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</si>
  <si>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</si>
  <si>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</si>
  <si>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</si>
  <si>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</si>
  <si>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</si>
  <si>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</si>
  <si>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</si>
  <si>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</si>
  <si>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</si>
  <si>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</si>
  <si>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</si>
  <si>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</si>
  <si>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</si>
  <si>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</si>
  <si>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</si>
  <si>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</si>
  <si>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</si>
  <si>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</si>
  <si>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</si>
  <si>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</si>
  <si>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</si>
  <si>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</si>
  <si>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</si>
  <si>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</si>
  <si>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</si>
  <si>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</si>
  <si>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</si>
  <si>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</si>
  <si>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</si>
  <si>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</si>
  <si>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</si>
  <si>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</si>
  <si>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</si>
  <si>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</si>
  <si>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</si>
  <si>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</si>
  <si>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</si>
  <si>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</si>
  <si>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</si>
  <si>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</si>
  <si>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</si>
  <si>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</si>
  <si>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</si>
  <si>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</si>
  <si>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</si>
  <si>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</si>
  <si>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</si>
  <si>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</si>
  <si>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</si>
  <si>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</si>
  <si>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</si>
  <si>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</si>
  <si>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</si>
  <si>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</si>
  <si>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</si>
  <si>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</si>
  <si>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</si>
  <si>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</si>
  <si>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</si>
  <si>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</si>
  <si>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</si>
  <si>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</si>
  <si>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</si>
  <si>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</si>
  <si>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</si>
  <si>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</si>
  <si>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</si>
  <si>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</si>
  <si>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</si>
  <si>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</si>
  <si>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</si>
  <si>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</si>
  <si>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</si>
  <si>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</si>
  <si>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</si>
  <si>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</si>
  <si>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</si>
  <si>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</si>
  <si>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</si>
  <si>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</si>
  <si>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</si>
  <si>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</si>
  <si>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</si>
  <si>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</si>
  <si>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</si>
  <si>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</si>
  <si>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</si>
  <si>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</si>
  <si>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</si>
  <si>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</si>
  <si>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</si>
  <si>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</si>
  <si>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</si>
  <si>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</si>
  <si>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</si>
  <si>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</si>
  <si>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</si>
  <si>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</si>
  <si>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</si>
  <si>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</si>
  <si>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</si>
  <si>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</si>
  <si>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</si>
  <si>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</si>
  <si>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</si>
  <si>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</si>
  <si>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</si>
  <si>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</si>
  <si>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</si>
  <si>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</si>
  <si>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</si>
  <si>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</si>
  <si>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</si>
  <si>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</si>
  <si>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</si>
  <si>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</si>
  <si>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</si>
  <si>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</si>
  <si>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</si>
  <si>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</si>
  <si>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</si>
  <si>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</si>
  <si>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</si>
  <si>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</si>
  <si>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</si>
  <si>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</si>
  <si>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</si>
  <si>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</si>
  <si>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</si>
  <si>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</si>
  <si>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</si>
  <si>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</si>
  <si>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</si>
  <si>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</si>
  <si>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</si>
  <si>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</si>
  <si>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</si>
  <si>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</si>
  <si>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</si>
  <si>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</si>
  <si>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</si>
  <si>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</si>
  <si>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</si>
  <si>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</si>
  <si>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</si>
  <si>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</si>
  <si>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</si>
  <si>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</si>
  <si>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</si>
  <si>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</si>
  <si>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</si>
  <si>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</si>
  <si>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</si>
  <si>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</si>
  <si>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</si>
  <si>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</si>
  <si>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</si>
  <si>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</si>
  <si>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</si>
  <si>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</si>
  <si>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</si>
  <si>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</si>
  <si>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</si>
  <si>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</si>
  <si>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</si>
  <si>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</si>
  <si>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</si>
  <si>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</si>
  <si>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</si>
  <si>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</si>
  <si>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</si>
  <si>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</si>
  <si>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</si>
  <si>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</si>
  <si>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</si>
  <si>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</si>
  <si>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</si>
  <si>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</si>
  <si>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</si>
  <si>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</si>
  <si>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</si>
  <si>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</si>
  <si>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</si>
  <si>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</si>
  <si>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</si>
  <si>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</si>
  <si>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</si>
  <si>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</si>
  <si>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</si>
  <si>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</si>
  <si>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</si>
  <si>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</si>
  <si>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</si>
  <si>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</si>
  <si>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</si>
  <si>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</si>
  <si>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</si>
  <si>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</si>
  <si>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</si>
  <si>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</si>
  <si>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</si>
  <si>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</si>
  <si>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</si>
  <si>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</si>
  <si>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</si>
  <si>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</si>
  <si>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</si>
  <si>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</si>
  <si>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</si>
  <si>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</si>
  <si>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</si>
  <si>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</si>
  <si>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</si>
  <si>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</si>
  <si>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</si>
  <si>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</si>
  <si>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</si>
  <si>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</si>
  <si>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</si>
  <si>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</si>
  <si>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</si>
  <si>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</si>
  <si>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</si>
  <si>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</si>
  <si>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</si>
  <si>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</si>
  <si>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</si>
  <si>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</si>
  <si>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</si>
  <si>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</si>
  <si>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</si>
  <si>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</si>
  <si>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</si>
  <si>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</si>
  <si>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</si>
  <si>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</si>
  <si>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</si>
  <si>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</si>
  <si>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</si>
  <si>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</si>
  <si>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</si>
  <si>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</si>
  <si>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</si>
  <si>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</si>
  <si>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</si>
  <si>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</si>
  <si>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</si>
  <si>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</si>
  <si>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</si>
  <si>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</si>
  <si>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</si>
  <si>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</si>
  <si>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</si>
  <si>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</si>
  <si>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</si>
  <si>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</si>
  <si>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</si>
  <si>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</si>
  <si>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</si>
  <si>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</si>
  <si>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</si>
  <si>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</si>
  <si>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</si>
  <si>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</si>
  <si>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</si>
  <si>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</si>
  <si>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</si>
  <si>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</si>
  <si>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</si>
  <si>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</si>
  <si>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</si>
  <si>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</si>
  <si>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</si>
  <si>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</si>
  <si>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</si>
  <si>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</si>
  <si>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</si>
  <si>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</si>
  <si>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</si>
  <si>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</si>
  <si>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</si>
  <si>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</si>
  <si>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</si>
  <si>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</si>
  <si>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</si>
  <si>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</si>
  <si>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</si>
  <si>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</si>
  <si>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</si>
  <si>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</si>
  <si>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</si>
  <si>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</si>
  <si>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</si>
  <si>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</si>
  <si>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</si>
  <si>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</si>
  <si>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</si>
  <si>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</si>
  <si>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</si>
  <si>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</si>
  <si>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</si>
  <si>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</si>
  <si>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</si>
  <si>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</si>
  <si>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</si>
  <si>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</si>
  <si>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</si>
  <si>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</si>
  <si>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</si>
  <si>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</si>
  <si>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</si>
  <si>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</si>
  <si>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</si>
  <si>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</si>
  <si>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</si>
  <si>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</si>
  <si>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</si>
  <si>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</si>
  <si>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</si>
  <si>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</si>
  <si>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</si>
  <si>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</si>
  <si>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</si>
  <si>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</si>
  <si>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</si>
  <si>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</si>
  <si>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</si>
  <si>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</si>
  <si>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</si>
  <si>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</si>
  <si>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</si>
  <si>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</si>
  <si>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</si>
  <si>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</si>
  <si>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</si>
  <si>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</si>
  <si>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</si>
  <si>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</si>
  <si>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</si>
  <si>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</si>
  <si>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</si>
  <si>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</si>
  <si>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</si>
  <si>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</si>
  <si>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</si>
  <si>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</si>
  <si>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</si>
  <si>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</si>
  <si>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</si>
  <si>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</si>
  <si>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</si>
  <si>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</si>
  <si>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</si>
  <si>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</si>
  <si>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</si>
  <si>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</si>
  <si>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</si>
  <si>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</si>
  <si>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</si>
  <si>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</si>
  <si>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</si>
  <si>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</si>
  <si>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</si>
  <si>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</si>
  <si>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</si>
  <si>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</si>
  <si>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</si>
  <si>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</si>
  <si>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</si>
  <si>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</si>
  <si>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</si>
  <si>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</si>
  <si>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</si>
  <si>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</si>
  <si>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</si>
  <si>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</si>
  <si>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</si>
  <si>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</si>
  <si>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</si>
  <si>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</si>
  <si>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</si>
  <si>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</si>
  <si>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</si>
  <si>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</si>
  <si>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</si>
  <si>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</si>
  <si>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</si>
  <si>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</si>
  <si>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</si>
  <si>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</si>
  <si>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</si>
  <si>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</si>
  <si>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</si>
  <si>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</si>
  <si>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</si>
  <si>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</si>
  <si>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</si>
  <si>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</si>
  <si>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</si>
  <si>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</si>
  <si>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</si>
  <si>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</si>
  <si>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</si>
  <si>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</si>
  <si>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</si>
  <si>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</si>
  <si>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</si>
  <si>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</si>
  <si>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</si>
  <si>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</si>
  <si>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</si>
  <si>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</si>
  <si>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</si>
  <si>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</si>
  <si>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</si>
  <si>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</si>
  <si>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</si>
  <si>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</si>
  <si>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</si>
  <si>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</si>
  <si>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</si>
  <si>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</si>
  <si>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</si>
  <si>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</si>
  <si>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</si>
  <si>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</si>
  <si>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</si>
  <si>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</si>
  <si>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</si>
  <si>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</si>
  <si>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</si>
  <si>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</si>
  <si>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</si>
  <si>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</si>
  <si>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</si>
  <si>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</si>
  <si>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</si>
  <si>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</si>
  <si>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</si>
  <si>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</si>
  <si>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</si>
  <si>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</si>
  <si>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</si>
  <si>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</si>
  <si>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</si>
  <si>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</si>
  <si>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</si>
  <si>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</si>
  <si>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</si>
  <si>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</si>
  <si>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</si>
  <si>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</si>
  <si>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</si>
  <si>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</si>
  <si>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</si>
  <si>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</si>
  <si>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</si>
  <si>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</si>
  <si>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</si>
  <si>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</si>
  <si>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</si>
  <si>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</si>
  <si>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</si>
  <si>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</si>
  <si>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</si>
  <si>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</si>
  <si>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</si>
  <si>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</si>
  <si>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</si>
  <si>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</si>
  <si>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</si>
  <si>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</si>
  <si>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</si>
  <si>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</si>
  <si>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</si>
  <si>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</si>
  <si>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</si>
  <si>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</si>
  <si>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</si>
  <si>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</si>
  <si>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</si>
  <si>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</si>
  <si>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</si>
  <si>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</si>
  <si>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</si>
  <si>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</si>
  <si>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</si>
  <si>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</si>
  <si>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</si>
  <si>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</si>
  <si>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</si>
  <si>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</si>
  <si>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</si>
  <si>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</si>
  <si>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</si>
  <si>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</si>
  <si>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</si>
  <si>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</si>
  <si>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</si>
  <si>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</si>
  <si>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</si>
  <si>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</si>
  <si>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</si>
  <si>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</si>
  <si>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</si>
  <si>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</si>
  <si>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</si>
  <si>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</si>
  <si>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</si>
  <si>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</si>
  <si>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</si>
  <si>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</si>
  <si>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</si>
  <si>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</si>
  <si>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</si>
  <si>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</si>
  <si>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</si>
  <si>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</si>
  <si>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</si>
  <si>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</si>
  <si>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</si>
  <si>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</si>
  <si>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</si>
  <si>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</si>
  <si>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</si>
  <si>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</si>
  <si>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</si>
  <si>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</si>
  <si>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</si>
  <si>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</si>
  <si>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</si>
  <si>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</si>
  <si>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</si>
  <si>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</si>
  <si>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</si>
  <si>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</si>
  <si>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</si>
  <si>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</si>
  <si>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</si>
  <si>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</si>
  <si>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</si>
  <si>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</si>
  <si>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</si>
  <si>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</si>
  <si>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</si>
  <si>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</si>
  <si>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</si>
  <si>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</si>
  <si>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</si>
  <si>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</si>
  <si>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</si>
  <si>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</si>
  <si>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</si>
  <si>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</si>
  <si>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</si>
  <si>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</si>
  <si>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</si>
  <si>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</si>
  <si>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</si>
  <si>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</si>
  <si>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</si>
  <si>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</si>
  <si>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</si>
  <si>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</si>
  <si>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</si>
  <si>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</si>
  <si>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</si>
  <si>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</si>
  <si>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</si>
  <si>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</si>
  <si>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</si>
  <si>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</si>
  <si>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</si>
  <si>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</si>
  <si>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</si>
  <si>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</si>
  <si>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</si>
  <si>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</si>
  <si>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</si>
  <si>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</si>
  <si>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</si>
  <si>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</si>
  <si>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</si>
  <si>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</si>
  <si>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</si>
  <si>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</si>
  <si>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</si>
  <si>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</si>
  <si>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</si>
  <si>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</si>
  <si>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</si>
  <si>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</si>
  <si>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</si>
  <si>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</si>
  <si>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</si>
  <si>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</si>
  <si>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</si>
  <si>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</si>
  <si>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</si>
  <si>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</si>
  <si>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</si>
  <si>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</si>
  <si>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</si>
  <si>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</si>
  <si>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</si>
  <si>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</si>
  <si>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</si>
  <si>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</si>
  <si>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</si>
  <si>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</si>
  <si>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</si>
  <si>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</si>
  <si>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</si>
  <si>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</si>
  <si>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</si>
  <si>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</si>
  <si>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</si>
  <si>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</si>
  <si>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</si>
  <si>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</si>
  <si>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</si>
  <si>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</si>
  <si>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</si>
  <si>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</si>
  <si>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</si>
  <si>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</si>
  <si>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</si>
  <si>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</si>
  <si>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</si>
  <si>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</si>
  <si>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</si>
  <si>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</si>
  <si>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</si>
  <si>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</si>
  <si>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</si>
  <si>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</si>
  <si>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</si>
  <si>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</si>
  <si>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</si>
  <si>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</si>
  <si>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</si>
  <si>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</si>
  <si>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</si>
  <si>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</si>
  <si>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</si>
  <si>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</si>
  <si>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</si>
  <si>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</si>
  <si>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</si>
  <si>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</si>
  <si>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</si>
  <si>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</si>
  <si>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</si>
  <si>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</si>
  <si>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</si>
  <si>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</si>
  <si>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</si>
  <si>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</si>
  <si>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</si>
  <si>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</si>
  <si>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</si>
  <si>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</si>
  <si>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</si>
  <si>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</si>
  <si>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</si>
  <si>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</si>
  <si>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</si>
  <si>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</si>
  <si>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</si>
  <si>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</si>
  <si>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</si>
  <si>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</si>
  <si>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</si>
  <si>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</si>
  <si>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</si>
  <si>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</si>
  <si>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</si>
  <si>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</si>
  <si>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</si>
  <si>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</si>
  <si>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</si>
  <si>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</si>
  <si>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</si>
  <si>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</si>
  <si>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</si>
  <si>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</si>
  <si>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</si>
  <si>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</si>
  <si>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</si>
  <si>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</si>
  <si>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</si>
  <si>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</si>
  <si>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</si>
  <si>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</si>
  <si>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</si>
  <si>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</si>
  <si>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</si>
  <si>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</si>
  <si>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</si>
  <si>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</si>
  <si>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</si>
  <si>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</si>
  <si>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</si>
  <si>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</si>
  <si>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</si>
  <si>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</si>
  <si>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</si>
  <si>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</si>
  <si>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</si>
  <si>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</si>
  <si>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</si>
  <si>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</si>
  <si>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</si>
  <si>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</si>
  <si>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</si>
  <si>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</si>
  <si>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</si>
  <si>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</si>
  <si>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</si>
  <si>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</si>
  <si>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</si>
  <si>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</si>
  <si>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</si>
  <si>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</si>
  <si>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</si>
  <si>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</si>
  <si>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</si>
  <si>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</si>
  <si>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</si>
  <si>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</si>
  <si>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</si>
  <si>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</si>
  <si>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</si>
  <si>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</si>
  <si>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</si>
  <si>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</si>
  <si>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</si>
  <si>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</si>
  <si>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</si>
  <si>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</si>
  <si>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</si>
  <si>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</si>
  <si>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</si>
  <si>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</si>
  <si>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</si>
  <si>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</si>
  <si>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</si>
  <si>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</si>
  <si>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</si>
  <si>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</si>
  <si>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</si>
  <si>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</si>
  <si>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</si>
  <si>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</si>
  <si>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</si>
  <si>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</si>
  <si>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</si>
  <si>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</si>
  <si>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</si>
  <si>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</si>
  <si>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</si>
  <si>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</si>
  <si>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</si>
  <si>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</si>
  <si>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</si>
  <si>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</si>
  <si>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</si>
  <si>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</si>
  <si>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</si>
  <si>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</si>
  <si>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</si>
  <si>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</si>
  <si>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</si>
  <si>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</si>
  <si>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</si>
  <si>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</si>
  <si>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</si>
  <si>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</si>
  <si>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</si>
  <si>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</si>
  <si>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</si>
  <si>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</si>
  <si>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</si>
  <si>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</si>
  <si>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</si>
  <si>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</si>
  <si>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</si>
  <si>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</si>
  <si>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</si>
  <si>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</si>
  <si>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</si>
  <si>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</si>
  <si>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</si>
  <si>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</si>
  <si>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</si>
  <si>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</si>
  <si>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</si>
  <si>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</si>
  <si>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</si>
  <si>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</si>
  <si>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</si>
  <si>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</si>
  <si>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</si>
  <si>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</si>
  <si>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</si>
  <si>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</si>
  <si>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</si>
  <si>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</si>
  <si>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</si>
  <si>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</si>
  <si>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</si>
  <si>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</si>
  <si>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</si>
  <si>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</si>
  <si>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</si>
  <si>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</si>
  <si>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</si>
  <si>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</si>
  <si>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</si>
  <si>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</si>
  <si>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</si>
  <si>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</si>
  <si>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</si>
  <si>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</si>
  <si>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</si>
  <si>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</si>
  <si>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</si>
  <si>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</si>
  <si>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</si>
  <si>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</si>
  <si>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</si>
  <si>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</si>
  <si>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</si>
  <si>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</si>
  <si>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</si>
  <si>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</si>
  <si>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</si>
  <si>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</si>
  <si>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</si>
  <si>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</si>
  <si>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</si>
  <si>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</si>
  <si>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</si>
  <si>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</si>
  <si>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</si>
  <si>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</si>
  <si>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</si>
  <si>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</si>
  <si>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</si>
  <si>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</si>
  <si>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</si>
  <si>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</si>
  <si>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</si>
  <si>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</si>
  <si>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</si>
  <si>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</si>
  <si>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</si>
  <si>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</si>
  <si>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</si>
  <si>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</si>
  <si>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</si>
  <si>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</si>
  <si>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</si>
  <si>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</si>
  <si>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</si>
  <si>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</si>
  <si>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</si>
  <si>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</si>
  <si>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</si>
  <si>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</si>
  <si>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</si>
  <si>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</si>
  <si>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</si>
  <si>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</si>
  <si>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</si>
  <si>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</si>
  <si>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</si>
  <si>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</si>
  <si>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</si>
  <si>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</si>
  <si>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</si>
  <si>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</si>
  <si>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</si>
  <si>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</si>
  <si>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</si>
  <si>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</si>
  <si>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</si>
  <si>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</si>
  <si>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</si>
  <si>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</si>
  <si>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</si>
  <si>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</si>
  <si>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</si>
  <si>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</si>
  <si>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</si>
  <si>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</si>
  <si>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</si>
  <si>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</si>
  <si>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</si>
  <si>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</si>
  <si>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</si>
  <si>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</si>
  <si>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</si>
  <si>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</si>
  <si>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</si>
  <si>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</si>
  <si>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</si>
  <si>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</si>
  <si>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</si>
  <si>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</si>
  <si>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</si>
  <si>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</si>
  <si>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</si>
  <si>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</si>
  <si>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</si>
  <si>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</si>
  <si>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</si>
  <si>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</si>
  <si>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</si>
  <si>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</si>
  <si>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</si>
  <si>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</si>
  <si>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</si>
  <si>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</si>
  <si>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</si>
  <si>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</si>
  <si>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</si>
  <si>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</si>
  <si>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</si>
  <si>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</si>
  <si>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</si>
  <si>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</si>
  <si>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</si>
  <si>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</si>
  <si>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</si>
  <si>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</si>
  <si>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</si>
  <si>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</si>
  <si>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</si>
  <si>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</si>
  <si>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</si>
  <si>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</si>
  <si>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</si>
  <si>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</si>
  <si>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</si>
  <si>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</si>
  <si>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</si>
  <si>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</si>
  <si>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</si>
  <si>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</si>
  <si>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</si>
  <si>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</si>
  <si>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</si>
  <si>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</si>
  <si>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</si>
  <si>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</si>
  <si>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</si>
  <si>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</si>
  <si>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</si>
  <si>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</si>
  <si>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</si>
  <si>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</si>
  <si>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</si>
  <si>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</si>
  <si>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</si>
  <si>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</si>
  <si>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</si>
  <si>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</si>
  <si>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</si>
  <si>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</si>
  <si>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</si>
  <si>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</si>
  <si>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</si>
  <si>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</si>
  <si>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</si>
  <si>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</si>
  <si>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</si>
  <si>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</si>
  <si>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</si>
  <si>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</si>
  <si>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</si>
  <si>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</si>
  <si>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</si>
  <si>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</si>
  <si>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</si>
  <si>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</si>
  <si>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</si>
  <si>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</si>
  <si>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</si>
  <si>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</si>
  <si>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</si>
  <si>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</si>
  <si>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</si>
  <si>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</si>
  <si>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</si>
  <si>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</si>
  <si>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</si>
  <si>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</si>
  <si>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</si>
  <si>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</si>
  <si>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</si>
  <si>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</si>
  <si>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</si>
  <si>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</si>
  <si>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</si>
  <si>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</si>
  <si>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</si>
  <si>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</si>
  <si>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</si>
  <si>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</si>
  <si>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</si>
  <si>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</si>
  <si>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</si>
  <si>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</si>
  <si>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</si>
  <si>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</si>
  <si>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</si>
  <si>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</si>
  <si>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</si>
  <si>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</si>
  <si>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</si>
  <si>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</si>
  <si>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</si>
  <si>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</si>
  <si>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</si>
  <si>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</si>
  <si>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</si>
  <si>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</si>
  <si>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</si>
  <si>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</si>
  <si>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</si>
  <si>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</si>
  <si>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</si>
  <si>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</si>
  <si>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</si>
  <si>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</si>
  <si>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</si>
  <si>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</si>
  <si>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</si>
  <si>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</si>
  <si>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</si>
  <si>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</si>
  <si>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</si>
  <si>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</si>
  <si>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</si>
  <si>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</si>
  <si>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</si>
  <si>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</si>
  <si>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</si>
  <si>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</si>
  <si>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</si>
  <si>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</si>
  <si>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</si>
  <si>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</si>
  <si>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</si>
  <si>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</si>
  <si>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</si>
  <si>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</si>
  <si>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</si>
  <si>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</si>
  <si>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</si>
  <si>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</si>
  <si>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</si>
  <si>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</si>
  <si>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</si>
  <si>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</si>
  <si>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</si>
  <si>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</si>
  <si>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</si>
  <si>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</si>
  <si>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</si>
  <si>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</si>
  <si>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</si>
  <si>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</si>
  <si>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</si>
  <si>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</si>
  <si>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</si>
  <si>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</si>
  <si>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</si>
  <si>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</si>
  <si>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</si>
  <si>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</si>
  <si>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</si>
  <si>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</si>
  <si>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</si>
  <si>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</si>
  <si>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</si>
  <si>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</si>
  <si>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</si>
  <si>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</si>
  <si>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</si>
  <si>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</si>
  <si>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</si>
  <si>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</si>
  <si>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</si>
  <si>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</si>
  <si>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</si>
  <si>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</si>
  <si>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</si>
  <si>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</si>
  <si>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</si>
  <si>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</si>
  <si>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</si>
  <si>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</si>
  <si>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</si>
  <si>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</si>
  <si>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</si>
  <si>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</si>
  <si>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</si>
  <si>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</si>
  <si>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</si>
  <si>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</si>
  <si>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</si>
  <si>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</si>
  <si>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</si>
  <si>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</si>
  <si>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</si>
  <si>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</si>
  <si>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</si>
  <si>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</si>
  <si>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</si>
  <si>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</si>
  <si>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</si>
  <si>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</si>
  <si>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</si>
  <si>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</si>
  <si>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</si>
  <si>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</si>
  <si>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</si>
  <si>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</si>
  <si>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</si>
  <si>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</si>
  <si>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</si>
  <si>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</si>
  <si>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</si>
  <si>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</si>
  <si>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</si>
  <si>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</si>
  <si>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</si>
  <si>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</si>
  <si>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</si>
  <si>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</si>
  <si>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</si>
  <si>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</si>
  <si>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</si>
  <si>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</si>
  <si>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</si>
  <si>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</si>
  <si>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</si>
  <si>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</si>
  <si>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</si>
  <si>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</si>
  <si>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</si>
  <si>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</si>
  <si>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</si>
  <si>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</si>
  <si>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</si>
  <si>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</si>
  <si>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</si>
  <si>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</si>
  <si>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</si>
  <si>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</si>
  <si>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</si>
  <si>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</si>
  <si>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</si>
  <si>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</si>
  <si>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</si>
  <si>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</si>
  <si>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</si>
  <si>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</si>
  <si>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</si>
  <si>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</si>
  <si>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</si>
  <si>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</si>
  <si>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</si>
  <si>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</si>
  <si>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</si>
  <si>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</si>
  <si>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</si>
  <si>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</si>
  <si>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</si>
  <si>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</si>
  <si>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</si>
  <si>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</si>
  <si>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</si>
  <si>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</si>
  <si>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</si>
  <si>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</si>
  <si>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</si>
  <si>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</si>
  <si>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</si>
  <si>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</si>
  <si>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</si>
  <si>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</si>
  <si>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</si>
  <si>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</si>
  <si>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</si>
  <si>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</si>
  <si>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</si>
  <si>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</si>
  <si>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</si>
  <si>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</si>
  <si>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</si>
  <si>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</si>
  <si>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</si>
  <si>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</si>
  <si>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</si>
  <si>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</si>
  <si>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</si>
  <si>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</si>
  <si>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</si>
  <si>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</si>
  <si>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</si>
  <si>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</si>
  <si>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</si>
  <si>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</si>
  <si>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</si>
  <si>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</si>
  <si>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</si>
  <si>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</si>
  <si>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</si>
  <si>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</si>
  <si>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</si>
  <si>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</si>
  <si>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</si>
  <si>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</si>
  <si>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</si>
  <si>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</si>
  <si>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</si>
  <si>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</si>
  <si>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</si>
  <si>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</si>
  <si>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</si>
  <si>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</si>
  <si>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</si>
  <si>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</si>
  <si>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</si>
  <si>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</si>
  <si>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</si>
  <si>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</si>
  <si>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</si>
  <si>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</si>
  <si>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</si>
  <si>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</si>
  <si>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</si>
  <si>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</si>
  <si>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</si>
  <si>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</si>
  <si>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</si>
  <si>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</si>
  <si>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</si>
  <si>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</si>
  <si>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</si>
  <si>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</si>
  <si>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</si>
  <si>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</si>
  <si>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</si>
  <si>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</si>
  <si>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</si>
  <si>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</si>
  <si>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</si>
  <si>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</si>
  <si>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</si>
  <si>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</si>
  <si>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</si>
  <si>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</si>
  <si>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</si>
  <si>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</si>
  <si>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</si>
  <si>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</si>
  <si>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</si>
  <si>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</si>
  <si>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</si>
  <si>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</si>
  <si>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</si>
  <si>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</si>
  <si>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</si>
  <si>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</si>
  <si>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</si>
  <si>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</si>
  <si>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</si>
  <si>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</si>
  <si>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</si>
  <si>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</si>
  <si>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</si>
  <si>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</si>
  <si>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</si>
  <si>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</si>
  <si>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</si>
  <si>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</si>
  <si>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</si>
  <si>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</si>
  <si>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</si>
  <si>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</si>
  <si>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</si>
  <si>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</si>
  <si>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</si>
  <si>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</si>
  <si>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</si>
  <si>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</si>
  <si>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</si>
  <si>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</si>
  <si>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</si>
  <si>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</si>
  <si>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</si>
  <si>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</si>
  <si>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</si>
  <si>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</si>
  <si>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</si>
  <si>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</si>
  <si>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</si>
  <si>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</si>
  <si>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</si>
  <si>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</si>
  <si>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</si>
  <si>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</si>
  <si>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</si>
  <si>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</si>
  <si>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</si>
  <si>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</si>
  <si>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</si>
  <si>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</si>
  <si>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</si>
  <si>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</si>
  <si>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</si>
  <si>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</si>
  <si>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</si>
  <si>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</si>
  <si>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</si>
  <si>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</si>
  <si>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</si>
  <si>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</si>
  <si>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</si>
  <si>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</si>
  <si>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</si>
  <si>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</si>
  <si>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</si>
  <si>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</si>
  <si>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</si>
  <si>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</si>
  <si>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</si>
  <si>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</si>
  <si>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</si>
  <si>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</si>
  <si>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</si>
  <si>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</si>
  <si>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</si>
  <si>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</si>
  <si>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</si>
  <si>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</si>
  <si>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</si>
  <si>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</si>
  <si>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</si>
  <si>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</si>
  <si>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</si>
  <si>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</si>
  <si>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</si>
  <si>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</si>
  <si>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</si>
  <si>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</si>
  <si>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</si>
  <si>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</si>
  <si>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</si>
  <si>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</si>
  <si>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</si>
  <si>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</si>
  <si>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</si>
  <si>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</si>
  <si>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</si>
  <si>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</si>
  <si>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</si>
  <si>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</si>
  <si>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</si>
  <si>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</si>
  <si>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</si>
  <si>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</si>
  <si>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</si>
  <si>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</si>
  <si>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</si>
  <si>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</si>
  <si>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</si>
  <si>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</si>
  <si>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</si>
  <si>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</si>
  <si>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</si>
  <si>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</si>
  <si>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</si>
  <si>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</si>
  <si>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</si>
  <si>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</si>
  <si>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</si>
  <si>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</si>
  <si>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</si>
  <si>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</si>
  <si>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</si>
  <si>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</si>
  <si>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</si>
  <si>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</si>
  <si>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</si>
  <si>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</si>
  <si>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</si>
  <si>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</si>
  <si>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</si>
  <si>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</si>
  <si>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</si>
  <si>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</si>
  <si>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</si>
  <si>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</si>
  <si>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</si>
  <si>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</si>
  <si>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</si>
  <si>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</si>
  <si>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</si>
  <si>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</si>
  <si>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</si>
  <si>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</si>
  <si>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</si>
  <si>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</si>
  <si>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</si>
  <si>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</si>
  <si>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</si>
  <si>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</si>
  <si>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</si>
  <si>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</si>
  <si>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</si>
  <si>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</si>
  <si>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</si>
  <si>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</si>
  <si>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</si>
  <si>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</si>
  <si>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</si>
  <si>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</si>
  <si>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</si>
  <si>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</si>
  <si>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</si>
  <si>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</si>
  <si>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</si>
  <si>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</si>
  <si>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</si>
  <si>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</si>
  <si>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</si>
  <si>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</si>
  <si>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</si>
  <si>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</si>
  <si>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</si>
  <si>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</si>
  <si>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</si>
  <si>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</si>
  <si>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</si>
  <si>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</si>
  <si>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</si>
  <si>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</si>
  <si>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</si>
  <si>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</si>
  <si>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</si>
  <si>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</si>
  <si>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</si>
  <si>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</si>
  <si>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</si>
  <si>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</si>
  <si>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</si>
  <si>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</si>
  <si>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</si>
  <si>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</si>
  <si>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</si>
  <si>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</si>
  <si>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</si>
  <si>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</si>
  <si>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</si>
  <si>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</si>
  <si>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</si>
  <si>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</si>
  <si>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</si>
  <si>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</si>
  <si>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</si>
  <si>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</si>
  <si>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</si>
  <si>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</si>
  <si>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</si>
  <si>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</si>
  <si>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</si>
  <si>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</si>
  <si>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</si>
  <si>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</si>
  <si>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</si>
  <si>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</si>
  <si>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</si>
  <si>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</si>
  <si>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</si>
  <si>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</si>
  <si>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</si>
  <si>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</si>
  <si>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</si>
  <si>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</si>
  <si>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</si>
  <si>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</si>
  <si>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</si>
  <si>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</si>
  <si>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</si>
  <si>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</si>
  <si>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</si>
  <si>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</si>
  <si>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</si>
  <si>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</si>
  <si>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</si>
  <si>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</si>
  <si>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</si>
  <si>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</si>
  <si>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</si>
  <si>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</si>
  <si>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</si>
  <si>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</si>
  <si>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</si>
  <si>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</si>
  <si>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</si>
  <si>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</si>
  <si>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</si>
  <si>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</si>
  <si>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</si>
  <si>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</si>
  <si>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</si>
  <si>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</si>
  <si>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</si>
  <si>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</si>
  <si>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</si>
  <si>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</si>
  <si>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</si>
  <si>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</si>
  <si>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</si>
  <si>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</si>
  <si>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</si>
  <si>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</si>
  <si>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</si>
  <si>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</si>
  <si>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</si>
  <si>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</si>
  <si>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</si>
  <si>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</si>
  <si>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</si>
  <si>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</si>
  <si>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</si>
  <si>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</si>
  <si>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</si>
  <si>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</si>
  <si>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</si>
  <si>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</si>
  <si>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</si>
  <si>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</si>
  <si>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</si>
  <si>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</si>
  <si>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</si>
  <si>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</si>
  <si>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</si>
  <si>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</si>
  <si>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</si>
  <si>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</si>
  <si>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</si>
  <si>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</si>
  <si>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</si>
  <si>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</si>
  <si>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</si>
  <si>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</si>
  <si>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</si>
  <si>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</si>
  <si>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</si>
  <si>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</si>
  <si>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</si>
  <si>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</si>
  <si>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</si>
  <si>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</si>
  <si>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</si>
  <si>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</si>
  <si>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</si>
  <si>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</si>
  <si>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</si>
  <si>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</si>
  <si>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</si>
  <si>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</si>
  <si>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</si>
  <si>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</si>
  <si>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</si>
  <si>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</si>
  <si>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</si>
  <si>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</si>
  <si>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</si>
  <si>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</si>
  <si>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</si>
  <si>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</si>
  <si>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</si>
  <si>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</si>
  <si>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</si>
  <si>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</si>
  <si>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</si>
  <si>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</si>
  <si>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</si>
  <si>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</si>
  <si>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</si>
  <si>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</si>
  <si>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</si>
  <si>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</si>
  <si>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</si>
  <si>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</si>
  <si>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</si>
  <si>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</si>
  <si>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</si>
  <si>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</si>
  <si>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</si>
  <si>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</si>
  <si>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</si>
  <si>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</si>
  <si>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</si>
  <si>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</si>
  <si>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</si>
  <si>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</si>
  <si>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</si>
  <si>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</si>
  <si>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</si>
  <si>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</si>
  <si>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</si>
  <si>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</si>
  <si>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</si>
  <si>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</si>
  <si>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</si>
  <si>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</si>
  <si>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</si>
  <si>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</si>
  <si>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</si>
  <si>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</si>
  <si>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</si>
  <si>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</si>
  <si>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</si>
  <si>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</si>
  <si>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</si>
  <si>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</si>
  <si>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</si>
  <si>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</si>
  <si>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</si>
  <si>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</si>
  <si>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</si>
  <si>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</si>
  <si>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</si>
  <si>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</si>
  <si>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</si>
  <si>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</si>
  <si>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</si>
  <si>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</si>
  <si>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</si>
  <si>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</si>
  <si>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</si>
  <si>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</si>
  <si>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</si>
  <si>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</si>
  <si>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</si>
  <si>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</si>
  <si>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</si>
  <si>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</si>
  <si>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</si>
  <si>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</si>
  <si>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</si>
  <si>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</si>
  <si>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</si>
  <si>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</si>
  <si>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</si>
  <si>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</si>
  <si>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</si>
  <si>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</si>
  <si>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</si>
  <si>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</si>
  <si>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</si>
  <si>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</si>
  <si>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</si>
  <si>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</si>
  <si>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</si>
  <si>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</si>
  <si>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</si>
  <si>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</si>
  <si>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</si>
  <si>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</si>
  <si>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</si>
  <si>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</si>
  <si>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</si>
  <si>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</si>
  <si>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</si>
  <si>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</si>
  <si>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</si>
  <si>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</si>
  <si>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</si>
  <si>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</si>
  <si>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</si>
  <si>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</si>
  <si>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</si>
  <si>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</si>
  <si>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</si>
  <si>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</si>
  <si>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</si>
  <si>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</si>
  <si>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</si>
  <si>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</si>
  <si>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</si>
  <si>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</si>
  <si>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</si>
  <si>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</si>
  <si>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</si>
  <si>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</si>
  <si>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</si>
  <si>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</si>
  <si>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</si>
  <si>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</si>
  <si>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</si>
  <si>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</si>
  <si>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</si>
  <si>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</si>
  <si>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</si>
  <si>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</si>
  <si>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</si>
  <si>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</si>
  <si>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</si>
  <si>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</si>
  <si>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</si>
  <si>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</si>
  <si>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</si>
  <si>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</si>
  <si>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</si>
  <si>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</si>
  <si>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</si>
  <si>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</si>
  <si>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</si>
  <si>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</si>
  <si>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</si>
  <si>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</si>
  <si>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</si>
  <si>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</si>
  <si>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</si>
  <si>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</si>
  <si>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</si>
  <si>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</si>
  <si>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</si>
  <si>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</si>
  <si>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</si>
  <si>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</si>
  <si>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</si>
  <si>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</si>
  <si>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</si>
  <si>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</si>
  <si>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</si>
  <si>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</si>
  <si>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</si>
  <si>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</si>
  <si>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</si>
  <si>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</si>
  <si>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</si>
  <si>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</si>
  <si>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</si>
  <si>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</si>
  <si>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</si>
  <si>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</si>
  <si>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</si>
  <si>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</si>
  <si>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</si>
  <si>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</si>
  <si>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</si>
  <si>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</si>
  <si>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</si>
  <si>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</si>
  <si>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</si>
  <si>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</si>
  <si>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</si>
  <si>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</si>
  <si>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</si>
  <si>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</si>
  <si>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</si>
  <si>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</si>
  <si>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</si>
  <si>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</si>
  <si>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</si>
  <si>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</si>
  <si>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</si>
  <si>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</si>
  <si>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</si>
  <si>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</si>
  <si>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</si>
  <si>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</si>
  <si>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</si>
  <si>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</si>
  <si>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</si>
  <si>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</si>
  <si>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</si>
  <si>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</si>
  <si>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</si>
  <si>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</si>
  <si>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</si>
  <si>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</si>
  <si>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</si>
  <si>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</si>
  <si>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</si>
  <si>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</si>
  <si>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</si>
  <si>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</si>
  <si>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</si>
  <si>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</si>
  <si>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</si>
  <si>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</si>
  <si>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</si>
  <si>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</si>
  <si>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</si>
  <si>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</si>
  <si>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</si>
  <si>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</si>
  <si>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</si>
  <si>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</si>
  <si>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</si>
  <si>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</si>
  <si>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</si>
  <si>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</si>
  <si>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</si>
  <si>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</si>
  <si>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</si>
  <si>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</si>
  <si>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</si>
  <si>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</si>
  <si>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</si>
  <si>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</si>
  <si>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</si>
  <si>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</si>
  <si>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</si>
  <si>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</si>
  <si>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</si>
  <si>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</si>
  <si>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</si>
  <si>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</si>
  <si>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</si>
  <si>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</si>
  <si>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</si>
  <si>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</si>
  <si>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</si>
  <si>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</si>
  <si>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</si>
  <si>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</si>
  <si>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</si>
  <si>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</si>
  <si>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</si>
  <si>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</si>
  <si>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</si>
  <si>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</si>
  <si>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</si>
  <si>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</si>
  <si>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</si>
  <si>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</si>
  <si>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</si>
  <si>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</si>
  <si>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</si>
  <si>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</si>
  <si>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</si>
  <si>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</si>
  <si>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</si>
  <si>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</si>
  <si>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</si>
  <si>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</si>
  <si>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</si>
  <si>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</si>
  <si>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</si>
  <si>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</si>
  <si>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</si>
  <si>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</si>
  <si>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</si>
  <si>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</si>
  <si>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</si>
  <si>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</si>
  <si>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</si>
  <si>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</si>
  <si>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</si>
  <si>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</si>
  <si>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</si>
  <si>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</si>
  <si>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</si>
  <si>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</si>
  <si>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</si>
  <si>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</si>
  <si>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</si>
  <si>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</si>
  <si>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</si>
  <si>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</si>
  <si>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</si>
  <si>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</si>
  <si>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</si>
  <si>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</si>
  <si>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</si>
  <si>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</si>
  <si>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</si>
  <si>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</si>
  <si>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</si>
  <si>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</si>
  <si>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</si>
  <si>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</si>
  <si>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</si>
  <si>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</si>
  <si>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</si>
  <si>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</si>
  <si>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</si>
  <si>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</si>
  <si>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</si>
  <si>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</si>
  <si>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</si>
  <si>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</si>
  <si>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</si>
  <si>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</si>
  <si>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</si>
  <si>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</si>
  <si>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</si>
  <si>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</si>
  <si>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</si>
  <si>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</si>
  <si>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</si>
  <si>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</si>
  <si>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</si>
  <si>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</si>
  <si>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</si>
  <si>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</si>
  <si>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</si>
  <si>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</si>
  <si>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</si>
  <si>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</si>
  <si>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</si>
  <si>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</si>
  <si>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</si>
  <si>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</si>
  <si>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</si>
  <si>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</si>
  <si>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</si>
  <si>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</si>
  <si>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</si>
  <si>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</si>
  <si>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</si>
  <si>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</si>
  <si>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</si>
  <si>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</si>
  <si>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</si>
  <si>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</si>
  <si>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</si>
  <si>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</si>
  <si>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</si>
  <si>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</si>
  <si>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</si>
  <si>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</si>
  <si>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</si>
  <si>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</si>
  <si>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</si>
  <si>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</si>
  <si>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</si>
  <si>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</si>
  <si>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</si>
  <si>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</si>
  <si>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</si>
  <si>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</si>
  <si>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</si>
  <si>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</si>
  <si>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</si>
  <si>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</si>
  <si>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</si>
  <si>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</si>
  <si>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</si>
  <si>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</si>
  <si>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</si>
  <si>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</si>
  <si>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</si>
  <si>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</si>
  <si>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</si>
  <si>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</si>
  <si>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</si>
  <si>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</si>
  <si>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</si>
  <si>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</si>
  <si>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</si>
  <si>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</si>
  <si>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</si>
  <si>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</si>
  <si>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</si>
  <si>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</si>
  <si>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</si>
  <si>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</si>
  <si>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</si>
  <si>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</si>
  <si>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</si>
  <si>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</si>
  <si>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</si>
  <si>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</si>
  <si>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</si>
  <si>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</si>
  <si>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</si>
  <si>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</si>
  <si>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</si>
  <si>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</si>
  <si>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</si>
  <si>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</si>
  <si>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</si>
  <si>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</si>
  <si>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</si>
  <si>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</si>
  <si>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</si>
  <si>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</si>
  <si>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</si>
  <si>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</si>
  <si>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</si>
  <si>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</si>
  <si>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</si>
  <si>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</si>
  <si>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</si>
  <si>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</si>
  <si>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</si>
  <si>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</si>
  <si>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</si>
  <si>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</si>
  <si>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</si>
  <si>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</si>
  <si>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</si>
  <si>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</si>
  <si>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</si>
  <si>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</si>
  <si>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</si>
  <si>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</si>
  <si>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</si>
  <si>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</si>
  <si>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</si>
  <si>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</si>
  <si>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</si>
  <si>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</si>
  <si>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</si>
  <si>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</si>
  <si>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</si>
  <si>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</si>
  <si>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</si>
  <si>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</si>
  <si>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</si>
  <si>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</si>
  <si>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</si>
  <si>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</si>
  <si>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</si>
  <si>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</si>
  <si>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</si>
  <si>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</si>
  <si>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</si>
  <si>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</si>
  <si>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</si>
  <si>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</si>
  <si>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</si>
  <si>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</si>
  <si>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</si>
  <si>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</si>
  <si>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</si>
  <si>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</si>
  <si>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</si>
  <si>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</si>
  <si>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</si>
  <si>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</si>
  <si>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</si>
  <si>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</si>
  <si>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</si>
  <si>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</si>
  <si>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</si>
  <si>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</si>
  <si>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</si>
  <si>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</si>
  <si>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</si>
  <si>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</si>
  <si>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</si>
  <si>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</si>
  <si>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</si>
  <si>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</si>
  <si>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</si>
  <si>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</si>
  <si>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</si>
  <si>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</si>
  <si>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</si>
  <si>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</si>
  <si>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</si>
  <si>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</si>
  <si>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</si>
  <si>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</si>
  <si>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</si>
  <si>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</si>
  <si>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</si>
  <si>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</si>
  <si>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</si>
  <si>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</si>
  <si>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</si>
  <si>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</si>
  <si>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</si>
  <si>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</si>
  <si>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</si>
  <si>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</si>
  <si>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</si>
  <si>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</si>
  <si>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</si>
  <si>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</si>
  <si>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</si>
  <si>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</si>
  <si>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</si>
  <si>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</si>
  <si>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</si>
  <si>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</si>
  <si>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</si>
  <si>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</si>
  <si>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</si>
  <si>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</si>
  <si>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</si>
  <si>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</si>
  <si>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</si>
  <si>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</si>
  <si>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</si>
  <si>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</si>
  <si>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</si>
  <si>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</si>
  <si>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</si>
  <si>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</si>
  <si>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</si>
  <si>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</si>
  <si>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</si>
  <si>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</si>
  <si>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</si>
  <si>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</si>
  <si>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</si>
  <si>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</si>
  <si>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</si>
  <si>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</si>
  <si>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</si>
  <si>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</si>
  <si>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</si>
  <si>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</si>
  <si>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</si>
  <si>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</si>
  <si>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</si>
  <si>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</si>
  <si>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</si>
  <si>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</si>
  <si>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</si>
  <si>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</si>
  <si>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</si>
  <si>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</si>
  <si>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</si>
  <si>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</si>
  <si>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</si>
  <si>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</si>
  <si>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</si>
  <si>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</si>
  <si>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</si>
  <si>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</si>
  <si>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</si>
  <si>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</si>
  <si>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</si>
  <si>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</si>
  <si>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</si>
  <si>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</si>
  <si>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</si>
  <si>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</si>
  <si>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</si>
  <si>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</si>
  <si>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</si>
  <si>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</si>
  <si>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</si>
  <si>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</si>
  <si>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</si>
  <si>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</si>
  <si>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</si>
  <si>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</si>
  <si>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</si>
  <si>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</si>
  <si>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</si>
  <si>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</si>
  <si>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</si>
  <si>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</si>
  <si>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</si>
  <si>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</si>
  <si>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</si>
  <si>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</si>
  <si>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</si>
  <si>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</si>
  <si>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</si>
  <si>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</si>
  <si>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</si>
  <si>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</si>
  <si>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</si>
  <si>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</si>
  <si>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</si>
  <si>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</si>
  <si>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</si>
  <si>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</si>
  <si>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</si>
  <si>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</si>
  <si>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</si>
  <si>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</si>
  <si>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</si>
  <si>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</si>
  <si>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</si>
  <si>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</si>
  <si>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</si>
  <si>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</si>
  <si>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</si>
  <si>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</si>
  <si>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</si>
  <si>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</si>
  <si>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</si>
  <si>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</si>
  <si>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</si>
  <si>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</si>
  <si>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</si>
  <si>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</si>
  <si>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</si>
  <si>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</si>
  <si>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</si>
  <si>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</si>
  <si>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</si>
  <si>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</si>
  <si>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</si>
  <si>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</si>
  <si>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</si>
  <si>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</si>
  <si>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</si>
  <si>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</si>
  <si>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</si>
  <si>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</si>
  <si>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</si>
  <si>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</si>
  <si>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</si>
  <si>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</si>
  <si>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</si>
  <si>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</si>
  <si>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</si>
  <si>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</si>
  <si>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</si>
  <si>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</si>
  <si>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</si>
  <si>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</si>
  <si>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</si>
  <si>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</si>
  <si>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</si>
  <si>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</si>
  <si>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</si>
  <si>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</si>
  <si>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</si>
  <si>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</si>
  <si>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</si>
  <si>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</si>
  <si>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</si>
  <si>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</si>
  <si>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</si>
  <si>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</si>
  <si>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</si>
  <si>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</si>
  <si>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</si>
  <si>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</si>
  <si>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</si>
  <si>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</si>
  <si>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</si>
  <si>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</si>
  <si>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</si>
  <si>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</si>
  <si>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</si>
  <si>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</si>
  <si>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</si>
  <si>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</si>
  <si>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</si>
  <si>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</si>
  <si>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</si>
  <si>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</si>
  <si>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</si>
  <si>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</si>
  <si>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</si>
  <si>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</si>
  <si>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</si>
  <si>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</si>
  <si>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</si>
  <si>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</si>
  <si>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</si>
  <si>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</si>
  <si>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</si>
  <si>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</si>
  <si>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</si>
  <si>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</si>
  <si>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</si>
  <si>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</si>
  <si>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</si>
  <si>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</si>
  <si>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</si>
  <si>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</si>
  <si>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</si>
  <si>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</si>
  <si>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</si>
  <si>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</si>
  <si>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</si>
  <si>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</si>
  <si>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</si>
  <si>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</si>
  <si>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</si>
  <si>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</si>
  <si>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</si>
  <si>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</si>
  <si>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</si>
  <si>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</si>
  <si>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</si>
  <si>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</si>
  <si>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</si>
  <si>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</si>
  <si>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</si>
  <si>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</si>
  <si>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</si>
  <si>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</si>
  <si>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</si>
  <si>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</si>
  <si>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</si>
  <si>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</si>
  <si>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</si>
  <si>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</si>
  <si>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</si>
  <si>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</si>
  <si>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</si>
  <si>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</si>
  <si>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</si>
  <si>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</si>
  <si>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</si>
  <si>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</si>
  <si>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</si>
  <si>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</si>
  <si>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</si>
  <si>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</si>
  <si>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</si>
  <si>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</si>
  <si>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</si>
  <si>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</si>
  <si>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</si>
  <si>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</si>
  <si>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</si>
  <si>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</si>
  <si>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</si>
  <si>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</si>
  <si>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</si>
  <si>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</si>
  <si>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</si>
  <si>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</si>
  <si>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</si>
  <si>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</si>
  <si>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</si>
  <si>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</si>
  <si>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</si>
  <si>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</si>
  <si>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</si>
  <si>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</si>
  <si>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</si>
  <si>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</si>
  <si>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</si>
  <si>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</si>
  <si>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</si>
  <si>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</si>
  <si>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</si>
  <si>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</si>
  <si>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</si>
  <si>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</si>
  <si>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</si>
  <si>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</si>
  <si>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</si>
  <si>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</si>
  <si>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</si>
  <si>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</si>
  <si>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</si>
  <si>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</si>
  <si>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</si>
  <si>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</si>
  <si>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</si>
  <si>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</si>
  <si>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</si>
  <si>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</si>
  <si>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</si>
  <si>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</si>
  <si>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</si>
  <si>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</si>
  <si>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</si>
  <si>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</si>
  <si>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</si>
  <si>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</si>
  <si>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</si>
  <si>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</si>
  <si>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</si>
  <si>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</si>
  <si>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</si>
  <si>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</si>
  <si>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</si>
  <si>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</si>
  <si>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</si>
  <si>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</si>
  <si>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</si>
  <si>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</si>
  <si>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</si>
  <si>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</si>
  <si>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</si>
  <si>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</si>
  <si>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</si>
  <si>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</si>
  <si>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</si>
  <si>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</si>
  <si>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</si>
  <si>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</si>
  <si>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</si>
  <si>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</si>
  <si>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</si>
  <si>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</si>
  <si>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</si>
  <si>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</si>
  <si>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</si>
  <si>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</si>
  <si>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</si>
  <si>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</si>
  <si>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</si>
  <si>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</si>
  <si>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</si>
  <si>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</si>
  <si>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</si>
  <si>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</si>
  <si>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</si>
  <si>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</si>
  <si>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</si>
  <si>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</si>
  <si>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</si>
  <si>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</si>
  <si>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</si>
  <si>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</si>
  <si>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</si>
  <si>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</si>
  <si>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</si>
  <si>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</si>
  <si>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</si>
  <si>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</si>
  <si>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</si>
  <si>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</si>
  <si>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</si>
  <si>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</si>
  <si>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</si>
  <si>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</si>
  <si>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</si>
  <si>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</si>
  <si>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</si>
  <si>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</si>
  <si>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</si>
  <si>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</si>
  <si>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</si>
  <si>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</si>
  <si>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</si>
  <si>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</si>
  <si>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</si>
  <si>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</si>
  <si>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</si>
  <si>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</si>
  <si>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</si>
  <si>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</si>
  <si>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</si>
  <si>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</si>
  <si>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</si>
  <si>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</si>
  <si>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</si>
  <si>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</si>
  <si>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</si>
  <si>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</si>
  <si>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</si>
  <si>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</si>
  <si>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</si>
  <si>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</si>
  <si>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</si>
  <si>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</si>
  <si>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</si>
  <si>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</si>
  <si>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</si>
  <si>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</si>
  <si>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</si>
  <si>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</si>
  <si>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</si>
  <si>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</si>
  <si>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</si>
  <si>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</si>
  <si>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</si>
  <si>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</si>
  <si>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</si>
  <si>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</si>
  <si>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</si>
  <si>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</si>
  <si>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</si>
  <si>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</si>
  <si>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</si>
  <si>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</si>
  <si>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</si>
  <si>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</si>
  <si>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</si>
  <si>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</si>
  <si>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</si>
  <si>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</si>
  <si>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</si>
  <si>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</si>
  <si>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</si>
  <si>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</si>
  <si>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</si>
  <si>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</si>
  <si>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</si>
  <si>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</si>
  <si>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</si>
  <si>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</si>
  <si>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</si>
  <si>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</si>
  <si>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</si>
  <si>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</si>
  <si>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</si>
  <si>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</si>
  <si>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</si>
  <si>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</si>
  <si>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</si>
  <si>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</si>
  <si>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</si>
  <si>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</si>
  <si>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</si>
  <si>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</si>
  <si>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</si>
  <si>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</si>
  <si>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</si>
  <si>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</si>
  <si>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</si>
  <si>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</si>
  <si>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</si>
  <si>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</si>
  <si>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</si>
  <si>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</si>
  <si>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</si>
  <si>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</si>
  <si>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</si>
  <si>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</si>
  <si>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</si>
  <si>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</si>
  <si>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</si>
  <si>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</si>
  <si>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</si>
  <si>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</si>
  <si>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</si>
  <si>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</si>
  <si>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</si>
  <si>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</si>
  <si>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</si>
  <si>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</si>
  <si>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</si>
  <si>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</si>
  <si>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</si>
  <si>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</si>
  <si>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</si>
  <si>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</si>
  <si>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</si>
  <si>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</si>
  <si>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</si>
  <si>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</si>
  <si>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</si>
  <si>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</si>
  <si>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</si>
  <si>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</si>
  <si>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</si>
  <si>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</si>
  <si>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</si>
  <si>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</si>
  <si>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</si>
  <si>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</si>
  <si>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</si>
  <si>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</si>
  <si>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</si>
  <si>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</si>
  <si>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</si>
  <si>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</si>
  <si>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</si>
  <si>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</si>
  <si>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</si>
  <si>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</si>
  <si>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</si>
  <si>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</si>
  <si>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</si>
  <si>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</si>
  <si>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</si>
  <si>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</si>
  <si>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</si>
  <si>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</si>
  <si>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</si>
  <si>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</si>
  <si>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</si>
  <si>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</si>
  <si>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</si>
  <si>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</si>
  <si>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</si>
  <si>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</si>
  <si>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</si>
  <si>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</si>
  <si>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</si>
  <si>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</si>
  <si>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</si>
  <si>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</si>
  <si>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</si>
  <si>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</si>
  <si>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</si>
  <si>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</si>
  <si>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</si>
  <si>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</si>
  <si>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</si>
  <si>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</si>
  <si>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</si>
  <si>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</si>
  <si>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</si>
  <si>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</si>
  <si>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</si>
  <si>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</si>
  <si>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</si>
  <si>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</si>
  <si>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</si>
  <si>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</si>
  <si>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</si>
  <si>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</si>
  <si>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</si>
  <si>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</si>
  <si>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</si>
  <si>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</si>
  <si>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</si>
  <si>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</si>
  <si>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</si>
  <si>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</si>
  <si>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</si>
  <si>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</si>
  <si>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</si>
  <si>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</si>
  <si>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</si>
  <si>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</si>
  <si>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</si>
  <si>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</si>
  <si>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</si>
  <si>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</si>
  <si>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</si>
  <si>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</si>
  <si>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</si>
  <si>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</si>
  <si>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</si>
  <si>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</si>
  <si>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</si>
  <si>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</si>
  <si>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</si>
  <si>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</si>
  <si>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</si>
  <si>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</si>
  <si>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</si>
  <si>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</si>
  <si>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</si>
  <si>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</si>
  <si>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</si>
  <si>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</si>
  <si>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</si>
  <si>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</si>
  <si>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</si>
  <si>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</si>
  <si>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</si>
  <si>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</si>
  <si>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</si>
  <si>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</si>
  <si>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</si>
  <si>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</si>
  <si>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</si>
  <si>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</si>
  <si>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</si>
  <si>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</si>
  <si>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</si>
  <si>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</si>
  <si>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</si>
  <si>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</si>
  <si>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</si>
  <si>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</si>
  <si>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</si>
  <si>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</si>
  <si>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</si>
  <si>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</si>
  <si>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</si>
  <si>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</si>
  <si>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</si>
  <si>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</si>
  <si>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</si>
  <si>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</si>
  <si>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</si>
  <si>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</si>
  <si>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</si>
  <si>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</si>
  <si>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</si>
  <si>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</si>
  <si>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</si>
  <si>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</si>
  <si>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</si>
  <si>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</si>
  <si>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</si>
  <si>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</si>
  <si>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</si>
  <si>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</si>
  <si>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</si>
  <si>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</si>
  <si>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</si>
  <si>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</si>
  <si>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</si>
  <si>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</si>
  <si>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</si>
  <si>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</si>
  <si>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</si>
  <si>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</si>
  <si>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</si>
  <si>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</si>
  <si>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</si>
  <si>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</si>
  <si>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</si>
  <si>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</si>
  <si>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</si>
  <si>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</si>
  <si>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</si>
  <si>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</si>
  <si>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</si>
  <si>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</si>
  <si>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</si>
  <si>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</si>
  <si>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</si>
  <si>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</si>
  <si>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</si>
  <si>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</si>
  <si>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</si>
  <si>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</si>
  <si>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</si>
  <si>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</si>
  <si>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</si>
  <si>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</si>
  <si>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</si>
  <si>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</si>
  <si>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</si>
  <si>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</si>
  <si>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</si>
  <si>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</si>
  <si>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</si>
  <si>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</si>
  <si>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</si>
  <si>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</si>
  <si>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</si>
  <si>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</si>
  <si>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</si>
  <si>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</si>
  <si>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</si>
  <si>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</si>
  <si>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</si>
  <si>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</si>
  <si>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</si>
  <si>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</si>
  <si>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</si>
  <si>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</si>
  <si>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2416836#1</t>
  </si>
  <si>
    <t>SMARTSOLAR</t>
  </si>
  <si>
    <t>1347373#1</t>
  </si>
  <si>
    <t>Bioquimica.cl</t>
  </si>
  <si>
    <t xml:space="preserve">Not enough recent cases.
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</si>
  <si>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</si>
  <si>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</si>
  <si>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</si>
  <si>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</si>
  <si>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</si>
  <si>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</si>
  <si>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</si>
  <si>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</si>
  <si>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</si>
  <si>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</si>
  <si>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</si>
  <si>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</si>
  <si>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</si>
  <si>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</si>
  <si>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</si>
  <si>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</si>
  <si>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</si>
  <si>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</si>
  <si>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</si>
  <si>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</si>
  <si>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Nonprofit</t>
  </si>
  <si>
    <t>4576242#1</t>
  </si>
  <si>
    <t>Echegarayarquitectos</t>
  </si>
  <si>
    <t>4590983#1</t>
  </si>
  <si>
    <t>Filabe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</si>
  <si>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</si>
  <si>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</si>
  <si>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</si>
  <si>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</si>
  <si>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</si>
  <si>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</si>
  <si>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</si>
  <si>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</si>
  <si>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</si>
  <si>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</si>
  <si>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</si>
  <si>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</si>
  <si>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</si>
  <si>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</si>
  <si>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</si>
  <si>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</si>
  <si>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607749#1</t>
  </si>
  <si>
    <t>Contempo Casa</t>
  </si>
  <si>
    <t>1629451#1</t>
  </si>
  <si>
    <t>ISCOT Services</t>
  </si>
  <si>
    <t>236423#2</t>
  </si>
  <si>
    <t>Emycsa</t>
  </si>
  <si>
    <t>2308890#1</t>
  </si>
  <si>
    <t>Bestchem</t>
  </si>
  <si>
    <t>482192#1</t>
  </si>
  <si>
    <t>INMARK</t>
  </si>
  <si>
    <t>902412#1</t>
  </si>
  <si>
    <t>Alubrysl</t>
  </si>
  <si>
    <t>1744348#1</t>
  </si>
  <si>
    <t>Edson Simeon</t>
  </si>
  <si>
    <t>1101658#1</t>
  </si>
  <si>
    <t>Plastigas Mar del Plata SA</t>
  </si>
  <si>
    <t>582377#1</t>
  </si>
  <si>
    <t>Newcity Residencial</t>
  </si>
  <si>
    <t>2143072#1</t>
  </si>
  <si>
    <t>suministro de obras</t>
  </si>
  <si>
    <t>4427744#1</t>
  </si>
  <si>
    <t>Off365</t>
  </si>
  <si>
    <t>942879#1</t>
  </si>
  <si>
    <t>MoRPH Argentina</t>
  </si>
  <si>
    <t>4383518#1</t>
  </si>
  <si>
    <t>Emcose</t>
  </si>
  <si>
    <t>1746171#1</t>
  </si>
  <si>
    <t>ARS Technologies</t>
  </si>
  <si>
    <t>189320#2</t>
  </si>
  <si>
    <t>Dinant</t>
  </si>
  <si>
    <t>Case disqualified (Date)</t>
  </si>
  <si>
    <t>1209330#1</t>
  </si>
  <si>
    <t>Construcmaderas</t>
  </si>
  <si>
    <t>2249841#1</t>
  </si>
  <si>
    <t>Intur</t>
  </si>
  <si>
    <t>1143647#1</t>
  </si>
  <si>
    <t>Huge</t>
  </si>
  <si>
    <t>1069552#1</t>
  </si>
  <si>
    <t>Zibza Arquitectos</t>
  </si>
  <si>
    <t>752966#2</t>
  </si>
  <si>
    <t>Intenisa</t>
  </si>
  <si>
    <t>1909411#1</t>
  </si>
  <si>
    <t>Pucom</t>
  </si>
  <si>
    <t>3048020#1</t>
  </si>
  <si>
    <t>Ola</t>
  </si>
  <si>
    <t>2475237#1</t>
  </si>
  <si>
    <t>PREFACERO</t>
  </si>
  <si>
    <t>1548843#1</t>
  </si>
  <si>
    <t>Blau</t>
  </si>
  <si>
    <t>4252252#1</t>
  </si>
  <si>
    <t>Pintropical</t>
  </si>
  <si>
    <t>1748428#2</t>
  </si>
  <si>
    <t>todoloquebusco</t>
  </si>
  <si>
    <t>970488#1</t>
  </si>
  <si>
    <t>Arquiterrac</t>
  </si>
  <si>
    <t>1591630#1</t>
  </si>
  <si>
    <t>Uniples S.A.</t>
  </si>
  <si>
    <t>1940957#3</t>
  </si>
  <si>
    <t>Pan American Silver</t>
  </si>
  <si>
    <t>533004#3</t>
  </si>
  <si>
    <t>Redcol S.A.</t>
  </si>
  <si>
    <t>1023639#1</t>
  </si>
  <si>
    <t>Ecuavisa</t>
  </si>
  <si>
    <t>1414832#1</t>
  </si>
  <si>
    <t>Apeec</t>
  </si>
  <si>
    <t>1477809#1</t>
  </si>
  <si>
    <t>Sinergiagrupo</t>
  </si>
  <si>
    <t>Last event 2023, not valid. Disqualified.</t>
  </si>
  <si>
    <t xml:space="preserve">4648684#1
</t>
  </si>
  <si>
    <t>Miranda Arquitectos Peru</t>
  </si>
  <si>
    <t>891797#1</t>
  </si>
  <si>
    <t>Benito Roggio e Hijos S.A Paraguay</t>
  </si>
  <si>
    <t>1105168#1</t>
  </si>
  <si>
    <t xml:space="preserve">Benito Roggio e Hijos S.A  </t>
  </si>
  <si>
    <t>1193653#1</t>
  </si>
  <si>
    <t>Lihue Ingenieria S A</t>
  </si>
  <si>
    <t>4319245#1</t>
  </si>
  <si>
    <t>Mantovana</t>
  </si>
  <si>
    <t>1856715#1</t>
  </si>
  <si>
    <t>Rowa S A</t>
  </si>
  <si>
    <t>448954#1</t>
  </si>
  <si>
    <t>Arke</t>
  </si>
  <si>
    <t>3049438#1</t>
  </si>
  <si>
    <t>Laham Nicolas Simon</t>
  </si>
  <si>
    <t>715742#1</t>
  </si>
  <si>
    <t>ROSART Eirl</t>
  </si>
  <si>
    <t>4366325#1</t>
  </si>
  <si>
    <t>Admdalvian</t>
  </si>
  <si>
    <t>4551859#1</t>
  </si>
  <si>
    <t>Alcasrl</t>
  </si>
  <si>
    <t>4527503#1</t>
  </si>
  <si>
    <t>Cucina Ideale</t>
  </si>
  <si>
    <t>2222172#2</t>
  </si>
  <si>
    <t>Omnitronic S.A.</t>
  </si>
  <si>
    <t>2189826#1</t>
  </si>
  <si>
    <t>Grupo MDay</t>
  </si>
  <si>
    <t>2353931#1</t>
  </si>
  <si>
    <t>Palma Orlando Agustin</t>
  </si>
  <si>
    <t>1265310#1</t>
  </si>
  <si>
    <t>CScreatividad Stands</t>
  </si>
  <si>
    <t>1061146#1</t>
  </si>
  <si>
    <t>ENGINEERING S.A.</t>
  </si>
  <si>
    <t>798135#1</t>
  </si>
  <si>
    <t>UNIBER</t>
  </si>
  <si>
    <t>1793643#1</t>
  </si>
  <si>
    <t>Perfilsrl</t>
  </si>
  <si>
    <t>1362150#1</t>
  </si>
  <si>
    <t>CLC Arquitectos</t>
  </si>
  <si>
    <t>1261839#1</t>
  </si>
  <si>
    <t>Norfor SA</t>
  </si>
  <si>
    <t>1025747#1</t>
  </si>
  <si>
    <t>Urbano Express Argentina S.A.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</si>
  <si>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</si>
  <si>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</si>
  <si>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</si>
  <si>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</si>
  <si>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</si>
  <si>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</si>
  <si>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</si>
  <si>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</si>
  <si>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</si>
  <si>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</si>
  <si>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</si>
  <si>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</si>
  <si>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>4567420#1</t>
  </si>
  <si>
    <t>Grupo</t>
  </si>
  <si>
    <t>Re launch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</si>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</sst>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0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535c1ea3-c6a2-41c9-a695-c8c86c6c3ef1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"/>
        <s v="1069552#1"/>
        <s v="1909411#1"/>
        <s v="2475237#1"/>
        <s v="4252252#1"/>
        <s v="970488#1"/>
        <s v="1940957#3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Re launch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autoFilter ref="$B$1:$H$1008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535c1ea3-c6a2-41c9-a695-c8c86c6c3ef1}" id="{d675569e-735b-41f6-9ddb-3116a83702fa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30</v>
      </c>
      <c r="F19" s="246">
        <f t="shared" ref="F19:F21" si="1">C19-E19</f>
        <v>0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45</v>
      </c>
      <c r="L19" s="33">
        <f t="shared" ref="L19:L23" si="2">I19-K19</f>
        <v>-40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7</v>
      </c>
      <c r="F20" s="246">
        <f t="shared" si="1"/>
        <v>8</v>
      </c>
      <c r="G20" s="10"/>
      <c r="H20" s="22" t="s">
        <v>18</v>
      </c>
      <c r="I20" s="36">
        <v>10.0</v>
      </c>
      <c r="J20" s="10"/>
      <c r="K20" s="33">
        <f>SUMIF($K$4:$K$17, H20,$L$4:$L$17)</f>
        <v>4</v>
      </c>
      <c r="L20" s="33">
        <f t="shared" si="2"/>
        <v>6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23</v>
      </c>
      <c r="F21" s="246">
        <f t="shared" si="1"/>
        <v>-8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10</v>
      </c>
      <c r="L21" s="33">
        <f t="shared" si="2"/>
        <v>10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20</v>
      </c>
      <c r="L22" s="33">
        <f t="shared" si="2"/>
        <v>-5</v>
      </c>
    </row>
    <row r="23" outlineLevel="1">
      <c r="D23" s="10"/>
      <c r="E23" s="37" t="s">
        <v>41</v>
      </c>
      <c r="F23" s="38">
        <f>SUM(F19:F21)</f>
        <v>0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6</v>
      </c>
      <c r="L23" s="33">
        <f t="shared" si="2"/>
        <v>4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-25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/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/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3798</v>
      </c>
      <c r="L33" s="273" t="s">
        <v>3799</v>
      </c>
      <c r="M33" s="398"/>
      <c r="N33" s="431" t="s">
        <v>2338</v>
      </c>
      <c r="O33" s="109" t="s">
        <v>3537</v>
      </c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3806</v>
      </c>
      <c r="L35" s="273" t="s">
        <v>3807</v>
      </c>
      <c r="M35" s="398"/>
      <c r="N35" s="431" t="s">
        <v>2338</v>
      </c>
      <c r="O35" s="109" t="s">
        <v>3808</v>
      </c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3809</v>
      </c>
      <c r="D36" s="294" t="s">
        <v>3810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3811</v>
      </c>
      <c r="L36" s="294" t="s">
        <v>3812</v>
      </c>
      <c r="M36" s="396"/>
      <c r="N36" s="391" t="s">
        <v>2338</v>
      </c>
      <c r="O36" s="109" t="s">
        <v>3813</v>
      </c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3814</v>
      </c>
      <c r="D37" s="430" t="s">
        <v>3815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3816</v>
      </c>
      <c r="L37" s="109" t="s">
        <v>3817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3818</v>
      </c>
      <c r="D38" s="373" t="s">
        <v>3819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3820</v>
      </c>
      <c r="L38" s="109" t="s">
        <v>3821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>
        <v>46177.0</v>
      </c>
      <c r="C39" s="273" t="s">
        <v>3822</v>
      </c>
      <c r="D39" s="273" t="s">
        <v>3823</v>
      </c>
      <c r="E39" s="402" t="s">
        <v>22</v>
      </c>
      <c r="F39" s="58" t="s">
        <v>12</v>
      </c>
      <c r="G39" s="61"/>
      <c r="H39" s="269"/>
      <c r="J39" s="270">
        <v>46175.0</v>
      </c>
      <c r="K39" s="109" t="s">
        <v>3824</v>
      </c>
      <c r="L39" s="109" t="s">
        <v>3825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3826</v>
      </c>
      <c r="D40" s="405" t="s">
        <v>3827</v>
      </c>
      <c r="E40" s="478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3828</v>
      </c>
      <c r="L40" s="109" t="s">
        <v>3829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3830</v>
      </c>
      <c r="D41" s="373" t="s">
        <v>3831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3832</v>
      </c>
      <c r="L41" s="109" t="s">
        <v>3833</v>
      </c>
      <c r="M41" s="58" t="s">
        <v>11</v>
      </c>
      <c r="N41" s="58" t="s">
        <v>20</v>
      </c>
      <c r="O41" s="109" t="s">
        <v>3834</v>
      </c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3835</v>
      </c>
      <c r="D42" s="373" t="s">
        <v>3836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3837</v>
      </c>
      <c r="L42" s="109" t="s">
        <v>3838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3839</v>
      </c>
      <c r="D43" s="492" t="s">
        <v>3840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3841</v>
      </c>
      <c r="L43" s="109" t="s">
        <v>3842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3843</v>
      </c>
      <c r="D44" s="373" t="s">
        <v>3844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3845</v>
      </c>
      <c r="L44" s="109" t="s">
        <v>3846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3847</v>
      </c>
      <c r="D45" s="373" t="s">
        <v>3848</v>
      </c>
      <c r="E45" s="58" t="s">
        <v>22</v>
      </c>
      <c r="F45" s="58" t="s">
        <v>28</v>
      </c>
      <c r="G45" s="109"/>
      <c r="H45" s="269"/>
      <c r="J45" s="270">
        <v>46175.0</v>
      </c>
      <c r="K45" s="109" t="s">
        <v>3849</v>
      </c>
      <c r="L45" s="109" t="s">
        <v>3850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3851</v>
      </c>
      <c r="D46" s="373" t="s">
        <v>3852</v>
      </c>
      <c r="E46" s="58" t="s">
        <v>32</v>
      </c>
      <c r="F46" s="58" t="s">
        <v>9</v>
      </c>
      <c r="G46" s="61"/>
      <c r="H46" s="269"/>
      <c r="J46" s="270">
        <v>46176.0</v>
      </c>
      <c r="K46" s="109" t="s">
        <v>3853</v>
      </c>
      <c r="L46" s="109" t="s">
        <v>3854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3855</v>
      </c>
      <c r="D47" s="373" t="s">
        <v>3856</v>
      </c>
      <c r="E47" s="344" t="s">
        <v>22</v>
      </c>
      <c r="F47" s="344" t="s">
        <v>2344</v>
      </c>
      <c r="G47" s="61"/>
      <c r="H47" s="269"/>
      <c r="J47" s="270">
        <v>46176.0</v>
      </c>
      <c r="K47" s="109" t="s">
        <v>3857</v>
      </c>
      <c r="L47" s="109" t="s">
        <v>3858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3859</v>
      </c>
      <c r="D48" s="373" t="s">
        <v>3860</v>
      </c>
      <c r="E48" s="344" t="s">
        <v>22</v>
      </c>
      <c r="F48" s="344" t="s">
        <v>2344</v>
      </c>
      <c r="G48" s="109"/>
      <c r="H48" s="269"/>
      <c r="J48" s="270">
        <v>46176.0</v>
      </c>
      <c r="K48" s="109" t="s">
        <v>3861</v>
      </c>
      <c r="L48" s="109" t="s">
        <v>3862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3863</v>
      </c>
      <c r="D49" s="373" t="s">
        <v>3864</v>
      </c>
      <c r="E49" s="58" t="s">
        <v>13</v>
      </c>
      <c r="F49" s="58" t="s">
        <v>9</v>
      </c>
      <c r="G49" s="61"/>
      <c r="H49" s="269"/>
      <c r="J49" s="270">
        <v>46176.0</v>
      </c>
      <c r="K49" s="109" t="s">
        <v>3865</v>
      </c>
      <c r="L49" s="109" t="s">
        <v>3866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3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3867</v>
      </c>
      <c r="D50" s="373" t="s">
        <v>3868</v>
      </c>
      <c r="E50" s="58" t="s">
        <v>16</v>
      </c>
      <c r="F50" s="58" t="s">
        <v>9</v>
      </c>
      <c r="G50" s="61"/>
      <c r="H50" s="269"/>
      <c r="J50" s="270">
        <v>46176.0</v>
      </c>
      <c r="K50" s="109" t="s">
        <v>3869</v>
      </c>
      <c r="L50" s="109" t="s">
        <v>3870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4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3871</v>
      </c>
      <c r="D51" s="373" t="s">
        <v>3872</v>
      </c>
      <c r="E51" s="58" t="s">
        <v>22</v>
      </c>
      <c r="F51" s="58" t="s">
        <v>9</v>
      </c>
      <c r="G51" s="61"/>
      <c r="H51" s="269"/>
      <c r="J51" s="270">
        <v>46176.0</v>
      </c>
      <c r="K51" s="109" t="s">
        <v>3873</v>
      </c>
      <c r="L51" s="109" t="s">
        <v>3874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3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3875</v>
      </c>
      <c r="D52" s="373" t="s">
        <v>3876</v>
      </c>
      <c r="E52" s="58" t="s">
        <v>10</v>
      </c>
      <c r="F52" s="58" t="s">
        <v>9</v>
      </c>
      <c r="G52" s="109"/>
      <c r="H52" s="298"/>
      <c r="J52" s="270">
        <v>46176.0</v>
      </c>
      <c r="K52" s="109" t="s">
        <v>3877</v>
      </c>
      <c r="L52" s="109" t="s">
        <v>3878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4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3879</v>
      </c>
      <c r="D53" s="492" t="s">
        <v>3880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3881</v>
      </c>
      <c r="L53" s="109" t="s">
        <v>3882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3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2" t="s">
        <v>3883</v>
      </c>
      <c r="D54" s="392" t="s">
        <v>3884</v>
      </c>
      <c r="E54" s="58" t="s">
        <v>19</v>
      </c>
      <c r="F54" s="58" t="s">
        <v>2349</v>
      </c>
      <c r="G54" s="427" t="s">
        <v>3885</v>
      </c>
      <c r="H54" s="269"/>
      <c r="J54" s="403">
        <v>46176.0</v>
      </c>
      <c r="K54" s="294" t="s">
        <v>3886</v>
      </c>
      <c r="L54" s="294" t="s">
        <v>3887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5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30" t="s">
        <v>3888</v>
      </c>
      <c r="D55" s="430" t="s">
        <v>3889</v>
      </c>
      <c r="E55" s="431" t="s">
        <v>19</v>
      </c>
      <c r="F55" s="58" t="s">
        <v>12</v>
      </c>
      <c r="G55" s="61"/>
      <c r="H55" s="269"/>
      <c r="J55" s="401">
        <v>46176.0</v>
      </c>
      <c r="K55" s="273" t="s">
        <v>3890</v>
      </c>
      <c r="L55" s="273" t="s">
        <v>3891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3892</v>
      </c>
      <c r="D56" s="373" t="s">
        <v>3893</v>
      </c>
      <c r="E56" s="58" t="s">
        <v>22</v>
      </c>
      <c r="F56" s="58" t="s">
        <v>20</v>
      </c>
      <c r="G56" s="61"/>
      <c r="H56" s="269"/>
      <c r="J56" s="403">
        <v>46176.0</v>
      </c>
      <c r="K56" s="294" t="s">
        <v>3894</v>
      </c>
      <c r="L56" s="294" t="s">
        <v>3895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3896</v>
      </c>
      <c r="D57" s="373" t="s">
        <v>3897</v>
      </c>
      <c r="E57" s="58" t="s">
        <v>16</v>
      </c>
      <c r="F57" s="58" t="s">
        <v>20</v>
      </c>
      <c r="G57" s="61"/>
      <c r="H57" s="269"/>
      <c r="J57" s="401">
        <v>46176.0</v>
      </c>
      <c r="K57" s="273" t="s">
        <v>3898</v>
      </c>
      <c r="L57" s="273" t="s">
        <v>3899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58"/>
      <c r="W57" s="495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3900</v>
      </c>
      <c r="D58" s="430" t="s">
        <v>3901</v>
      </c>
      <c r="E58" s="431" t="s">
        <v>13</v>
      </c>
      <c r="F58" s="58" t="s">
        <v>12</v>
      </c>
      <c r="G58" s="61"/>
      <c r="H58" s="269"/>
      <c r="J58" s="403">
        <v>46176.0</v>
      </c>
      <c r="K58" s="294" t="s">
        <v>3902</v>
      </c>
      <c r="L58" s="294" t="s">
        <v>3903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3904</v>
      </c>
      <c r="D59" s="373" t="s">
        <v>3905</v>
      </c>
      <c r="E59" s="58" t="s">
        <v>44</v>
      </c>
      <c r="F59" s="58" t="s">
        <v>9</v>
      </c>
      <c r="G59" s="61"/>
      <c r="H59" s="269"/>
      <c r="J59" s="380">
        <v>46176.0</v>
      </c>
      <c r="K59" s="294" t="s">
        <v>3906</v>
      </c>
      <c r="L59" s="294" t="s">
        <v>3907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3908</v>
      </c>
      <c r="D60" s="373" t="s">
        <v>3909</v>
      </c>
      <c r="E60" s="58" t="s">
        <v>10</v>
      </c>
      <c r="F60" s="58" t="s">
        <v>9</v>
      </c>
      <c r="G60" s="61"/>
      <c r="H60" s="269"/>
      <c r="J60" s="382">
        <v>46176.0</v>
      </c>
      <c r="K60" s="273" t="s">
        <v>3910</v>
      </c>
      <c r="L60" s="273" t="s">
        <v>3911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3912</v>
      </c>
      <c r="D61" s="373" t="s">
        <v>3913</v>
      </c>
      <c r="E61" s="58" t="s">
        <v>22</v>
      </c>
      <c r="F61" s="58" t="s">
        <v>28</v>
      </c>
      <c r="G61" s="61"/>
      <c r="H61" s="269"/>
      <c r="J61" s="380">
        <v>46176.0</v>
      </c>
      <c r="K61" s="294" t="s">
        <v>3914</v>
      </c>
      <c r="L61" s="294" t="s">
        <v>3915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344"/>
      <c r="G62" s="109"/>
      <c r="H62" s="269"/>
      <c r="J62" s="382">
        <v>46176.0</v>
      </c>
      <c r="K62" s="273" t="s">
        <v>3916</v>
      </c>
      <c r="L62" s="273" t="s">
        <v>3917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344"/>
      <c r="G63" s="109"/>
      <c r="H63" s="269"/>
      <c r="J63" s="380">
        <v>46176.0</v>
      </c>
      <c r="K63" s="294" t="s">
        <v>3918</v>
      </c>
      <c r="L63" s="294" t="s">
        <v>3919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344"/>
      <c r="G64" s="109"/>
      <c r="H64" s="269"/>
      <c r="J64" s="382">
        <v>46176.0</v>
      </c>
      <c r="K64" s="273" t="s">
        <v>3920</v>
      </c>
      <c r="L64" s="273" t="s">
        <v>3921</v>
      </c>
      <c r="M64" s="398"/>
      <c r="N64" s="431" t="s">
        <v>2338</v>
      </c>
      <c r="O64" s="109" t="s">
        <v>3922</v>
      </c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344"/>
      <c r="G65" s="109"/>
      <c r="H65" s="269"/>
      <c r="J65" s="270">
        <v>46177.0</v>
      </c>
      <c r="K65" s="384" t="s">
        <v>3923</v>
      </c>
      <c r="L65" s="109" t="s">
        <v>3924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344"/>
      <c r="G66" s="61"/>
      <c r="H66" s="269"/>
      <c r="J66" s="270">
        <v>46177.0</v>
      </c>
      <c r="K66" s="384" t="s">
        <v>3925</v>
      </c>
      <c r="L66" s="109" t="s">
        <v>3926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344"/>
      <c r="G67" s="61"/>
      <c r="H67" s="269"/>
      <c r="J67" s="270">
        <v>46177.0</v>
      </c>
      <c r="K67" s="109" t="s">
        <v>3927</v>
      </c>
      <c r="L67" s="109" t="s">
        <v>3928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344"/>
      <c r="G68" s="109"/>
      <c r="H68" s="298"/>
      <c r="J68" s="270">
        <v>46177.0</v>
      </c>
      <c r="K68" s="109" t="s">
        <v>3929</v>
      </c>
      <c r="L68" s="109" t="s">
        <v>3930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344"/>
      <c r="G69" s="61"/>
      <c r="H69" s="269"/>
      <c r="J69" s="270">
        <v>46177.0</v>
      </c>
      <c r="K69" s="109" t="s">
        <v>3931</v>
      </c>
      <c r="L69" s="109" t="s">
        <v>3932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>
        <v>46177.0</v>
      </c>
      <c r="K70" s="109" t="s">
        <v>3933</v>
      </c>
      <c r="L70" s="109" t="s">
        <v>3934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>
        <v>46177.0</v>
      </c>
      <c r="K71" s="109" t="s">
        <v>3935</v>
      </c>
      <c r="L71" s="109" t="s">
        <v>3936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>
        <v>46177.0</v>
      </c>
      <c r="K72" s="109" t="s">
        <v>3937</v>
      </c>
      <c r="L72" s="109" t="s">
        <v>3938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>
        <v>46177.0</v>
      </c>
      <c r="K73" s="109" t="s">
        <v>3939</v>
      </c>
      <c r="L73" s="109" t="s">
        <v>3940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401">
        <v>46177.0</v>
      </c>
      <c r="K74" s="273" t="s">
        <v>3941</v>
      </c>
      <c r="L74" s="273" t="s">
        <v>3942</v>
      </c>
      <c r="M74" s="402" t="s">
        <v>11</v>
      </c>
      <c r="N74" s="402" t="s">
        <v>2337</v>
      </c>
      <c r="O74" s="109" t="s">
        <v>3709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403">
        <v>46177.0</v>
      </c>
      <c r="K75" s="294" t="s">
        <v>3943</v>
      </c>
      <c r="L75" s="294" t="s">
        <v>3944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401">
        <v>46177.0</v>
      </c>
      <c r="K76" s="273" t="s">
        <v>3945</v>
      </c>
      <c r="L76" s="273" t="s">
        <v>3946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403">
        <v>46177.0</v>
      </c>
      <c r="K77" s="294" t="s">
        <v>3947</v>
      </c>
      <c r="L77" s="294" t="s">
        <v>3948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401">
        <v>46177.0</v>
      </c>
      <c r="K78" s="273" t="s">
        <v>3949</v>
      </c>
      <c r="L78" s="273" t="s">
        <v>3950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403">
        <v>46177.0</v>
      </c>
      <c r="K79" s="294" t="s">
        <v>3951</v>
      </c>
      <c r="L79" s="294" t="s">
        <v>3952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401">
        <v>46177.0</v>
      </c>
      <c r="K80" s="273" t="s">
        <v>3953</v>
      </c>
      <c r="L80" s="273" t="s">
        <v>3954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>
        <v>46178.0</v>
      </c>
      <c r="K81" s="109" t="s">
        <v>3955</v>
      </c>
      <c r="L81" s="109" t="s">
        <v>3956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>
        <v>46178.0</v>
      </c>
      <c r="K82" s="109" t="s">
        <v>3957</v>
      </c>
      <c r="L82" s="109" t="s">
        <v>3958</v>
      </c>
      <c r="M82" s="58" t="s">
        <v>11</v>
      </c>
      <c r="N82" s="58" t="s">
        <v>20</v>
      </c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>
        <v>46178.0</v>
      </c>
      <c r="K83" s="109" t="s">
        <v>3959</v>
      </c>
      <c r="L83" s="109" t="s">
        <v>3960</v>
      </c>
      <c r="M83" s="58" t="s">
        <v>11</v>
      </c>
      <c r="N83" s="58" t="s">
        <v>20</v>
      </c>
      <c r="O83" s="61"/>
      <c r="P83" s="269"/>
      <c r="R83" s="270"/>
      <c r="S83" s="109"/>
      <c r="T83" s="109"/>
      <c r="U83" s="344"/>
      <c r="V83" s="344"/>
      <c r="W83" s="61"/>
      <c r="X83" s="298"/>
      <c r="Z83" s="496"/>
      <c r="AA83" s="485"/>
      <c r="AB83" s="485"/>
      <c r="AC83" s="497"/>
      <c r="AD83" s="498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>
        <v>46178.0</v>
      </c>
      <c r="K84" s="109" t="s">
        <v>3961</v>
      </c>
      <c r="L84" s="109" t="s">
        <v>3962</v>
      </c>
      <c r="M84" s="58" t="s">
        <v>11</v>
      </c>
      <c r="N84" s="58" t="s">
        <v>20</v>
      </c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>
        <v>46178.0</v>
      </c>
      <c r="K85" s="109" t="s">
        <v>3963</v>
      </c>
      <c r="L85" s="109" t="s">
        <v>3964</v>
      </c>
      <c r="M85" s="58" t="s">
        <v>11</v>
      </c>
      <c r="N85" s="58" t="s">
        <v>20</v>
      </c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>
        <v>46178.0</v>
      </c>
      <c r="K86" s="109" t="s">
        <v>3965</v>
      </c>
      <c r="L86" s="109" t="s">
        <v>3966</v>
      </c>
      <c r="M86" s="58" t="s">
        <v>11</v>
      </c>
      <c r="N86" s="58" t="s">
        <v>20</v>
      </c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380">
        <v>46178.0</v>
      </c>
      <c r="K87" s="430" t="s">
        <v>3967</v>
      </c>
      <c r="L87" s="430" t="s">
        <v>3968</v>
      </c>
      <c r="M87" s="431" t="s">
        <v>11</v>
      </c>
      <c r="N87" s="58" t="s">
        <v>2338</v>
      </c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382">
        <v>46178.0</v>
      </c>
      <c r="K88" s="405" t="s">
        <v>3969</v>
      </c>
      <c r="L88" s="405" t="s">
        <v>3970</v>
      </c>
      <c r="M88" s="478" t="s">
        <v>11</v>
      </c>
      <c r="N88" s="58" t="s">
        <v>2338</v>
      </c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380">
        <v>46178.0</v>
      </c>
      <c r="K89" s="273" t="s">
        <v>3971</v>
      </c>
      <c r="L89" s="273" t="s">
        <v>3972</v>
      </c>
      <c r="M89" s="402" t="s">
        <v>11</v>
      </c>
      <c r="N89" s="58" t="s">
        <v>2338</v>
      </c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3973</v>
      </c>
      <c r="L90" s="294" t="s">
        <v>3974</v>
      </c>
      <c r="M90" s="396" t="s">
        <v>23</v>
      </c>
      <c r="N90" s="58" t="s">
        <v>2338</v>
      </c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3975</v>
      </c>
      <c r="L91" s="294" t="s">
        <v>3976</v>
      </c>
      <c r="M91" s="396" t="s">
        <v>11</v>
      </c>
      <c r="N91" s="391" t="s">
        <v>2338</v>
      </c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499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3977</v>
      </c>
      <c r="L92" s="273" t="s">
        <v>3978</v>
      </c>
      <c r="M92" s="500" t="s">
        <v>11</v>
      </c>
      <c r="N92" s="402" t="s">
        <v>2338</v>
      </c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3979</v>
      </c>
      <c r="L93" s="430" t="s">
        <v>3980</v>
      </c>
      <c r="M93" s="501" t="s">
        <v>11</v>
      </c>
      <c r="N93" s="431" t="s">
        <v>2338</v>
      </c>
      <c r="O93" s="109" t="s">
        <v>3981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499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382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2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3"/>
      <c r="C1003" s="504" t="s">
        <v>3164</v>
      </c>
      <c r="D1003" s="109" t="s">
        <v>3165</v>
      </c>
      <c r="E1003" s="505" t="s">
        <v>13</v>
      </c>
      <c r="F1003" s="505" t="s">
        <v>2347</v>
      </c>
      <c r="G1003" s="506"/>
      <c r="H1003" s="507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3"/>
      <c r="C1004" s="109" t="s">
        <v>3982</v>
      </c>
      <c r="D1004" s="109" t="s">
        <v>3983</v>
      </c>
      <c r="E1004" s="505" t="s">
        <v>22</v>
      </c>
      <c r="F1004" s="505" t="s">
        <v>2347</v>
      </c>
      <c r="G1004" s="506"/>
      <c r="H1004" s="507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3"/>
      <c r="C1005" s="109" t="s">
        <v>3984</v>
      </c>
      <c r="D1005" s="109" t="s">
        <v>3985</v>
      </c>
      <c r="E1005" s="505" t="s">
        <v>22</v>
      </c>
      <c r="F1005" s="505" t="s">
        <v>2347</v>
      </c>
      <c r="G1005" s="506"/>
      <c r="H1005" s="507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3"/>
      <c r="C1006" s="109" t="s">
        <v>3986</v>
      </c>
      <c r="D1006" s="109" t="s">
        <v>3987</v>
      </c>
      <c r="E1006" s="505" t="s">
        <v>22</v>
      </c>
      <c r="F1006" s="505" t="s">
        <v>2347</v>
      </c>
      <c r="G1006" s="506"/>
      <c r="H1006" s="507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3"/>
      <c r="C1007" s="109"/>
      <c r="D1007" s="109"/>
      <c r="E1007" s="505"/>
      <c r="F1007" s="505"/>
      <c r="G1007" s="506"/>
      <c r="H1007" s="507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3"/>
      <c r="C1008" s="109"/>
      <c r="D1008" s="109"/>
      <c r="E1008" s="505"/>
      <c r="F1008" s="505"/>
      <c r="G1008" s="506"/>
      <c r="H1008" s="507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