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tc={a45be7a0-a829-408a-b61f-dc26b995f1b2}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45be7a0-a829-408a-b61f-dc26b995f1b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<sst xmlns="http://schemas.openxmlformats.org/spreadsheetml/2006/main" count="8387" uniqueCount="3725">
  <si>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</si>
  <si>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</si>
  <si>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</si>
  <si>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</si>
  <si>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</si>
  <si>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</si>
  <si>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</si>
  <si>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</si>
  <si>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</si>
  <si>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</si>
  <si>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</si>
  <si>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</si>
  <si>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</si>
  <si>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</si>
  <si>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</si>
  <si>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</si>
  <si>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</si>
  <si>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</si>
  <si>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</si>
  <si>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</si>
  <si>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</si>
  <si>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</si>
  <si>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</si>
  <si>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</si>
  <si>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</si>
  <si>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</si>
  <si>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</si>
  <si>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</si>
  <si>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</si>
  <si>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</si>
  <si>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</si>
  <si>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</si>
  <si>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</si>
  <si>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</si>
  <si>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</si>
  <si>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</si>
  <si>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</si>
  <si>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</si>
  <si>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</si>
  <si>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</si>
  <si>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</si>
  <si>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</si>
  <si>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</si>
  <si>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</si>
  <si>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</si>
  <si>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</si>
  <si>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</si>
  <si>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</si>
  <si>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</si>
  <si>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</si>
  <si>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</si>
  <si>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</si>
  <si>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</si>
  <si>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</si>
  <si>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</si>
  <si>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</si>
  <si>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</si>
  <si>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</si>
  <si>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</si>
  <si>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</si>
  <si>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</si>
  <si>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</si>
  <si>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</si>
  <si>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</si>
  <si>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</si>
  <si>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</si>
  <si>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</si>
  <si>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</si>
  <si>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</si>
  <si>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</si>
  <si>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</si>
  <si>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</si>
  <si>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</si>
  <si>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</si>
  <si>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</si>
  <si>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</si>
  <si>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</si>
  <si>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</si>
  <si>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</si>
  <si>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</si>
  <si>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</si>
  <si>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</si>
  <si>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</si>
  <si>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</si>
  <si>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</si>
  <si>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</si>
  <si>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</si>
  <si>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</si>
  <si>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</si>
  <si>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</si>
  <si>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</si>
  <si>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</si>
  <si>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</si>
  <si>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</si>
  <si>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</si>
  <si>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</si>
  <si>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</si>
  <si>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</si>
  <si>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</si>
  <si>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</si>
  <si>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</si>
  <si>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</si>
  <si>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</si>
  <si>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</si>
  <si>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</si>
  <si>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</si>
  <si>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</si>
  <si>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</si>
  <si>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</si>
  <si>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</si>
  <si>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</si>
  <si>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</si>
  <si>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</si>
  <si>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</si>
  <si>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</si>
  <si>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</si>
  <si>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</si>
  <si>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</si>
  <si>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</si>
  <si>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</si>
  <si>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</si>
  <si>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</si>
  <si>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</si>
  <si>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</si>
  <si>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</si>
  <si>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</si>
  <si>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</si>
  <si>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</si>
  <si>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</si>
  <si>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</si>
  <si>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</si>
  <si>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</si>
  <si>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</si>
  <si>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</si>
  <si>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</si>
  <si>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</si>
  <si>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</si>
  <si>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</si>
  <si>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</si>
  <si>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</si>
  <si>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</si>
  <si>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</si>
  <si>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</si>
  <si>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</si>
  <si>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</si>
  <si>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</si>
  <si>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</si>
  <si>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</si>
  <si>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</si>
  <si>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</si>
  <si>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</si>
  <si>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</si>
  <si>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</si>
  <si>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</si>
  <si>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</si>
  <si>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</si>
  <si>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</si>
  <si>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</si>
  <si>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</si>
  <si>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</si>
  <si>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</si>
  <si>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</si>
  <si>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</si>
  <si>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</si>
  <si>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</si>
  <si>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</si>
  <si>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</si>
  <si>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</si>
  <si>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</si>
  <si>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</si>
  <si>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</si>
  <si>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</si>
  <si>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</si>
  <si>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</si>
  <si>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</si>
  <si>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</si>
  <si>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</si>
  <si>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</si>
  <si>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</si>
  <si>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</si>
  <si>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</si>
  <si>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</si>
  <si>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</si>
  <si>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</si>
  <si>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</si>
  <si>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</si>
  <si>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</si>
  <si>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</si>
  <si>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</si>
  <si>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</si>
  <si>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</si>
  <si>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</si>
  <si>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</si>
  <si>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</si>
  <si>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</si>
  <si>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</si>
  <si>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</si>
  <si>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</si>
  <si>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</si>
  <si>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</si>
  <si>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</si>
  <si>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</si>
  <si>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</si>
  <si>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</si>
  <si>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</si>
  <si>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</si>
  <si>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</si>
  <si>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</si>
  <si>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</si>
  <si>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</si>
  <si>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</si>
  <si>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</si>
  <si>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</si>
  <si>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</si>
  <si>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</si>
  <si>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</si>
  <si>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</si>
  <si>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</si>
  <si>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</si>
  <si>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</si>
  <si>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</si>
  <si>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</si>
  <si>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</si>
  <si>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</si>
  <si>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</si>
  <si>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</si>
  <si>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</si>
  <si>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</si>
  <si>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</si>
  <si>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</si>
  <si>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</si>
  <si>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</si>
  <si>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</si>
  <si>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</si>
  <si>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</si>
  <si>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</si>
  <si>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</si>
  <si>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</si>
  <si>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</si>
  <si>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</si>
  <si>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</si>
  <si>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</si>
  <si>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</si>
  <si>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</si>
  <si>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</si>
  <si>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</si>
  <si>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</si>
  <si>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</si>
  <si>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</si>
  <si>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</si>
  <si>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</si>
  <si>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</si>
  <si>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</si>
  <si>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</si>
  <si>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</si>
  <si>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</si>
  <si>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</si>
  <si>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</si>
  <si>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</si>
  <si>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</si>
  <si>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</si>
  <si>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</si>
  <si>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</si>
  <si>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</si>
  <si>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</si>
  <si>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</si>
  <si>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</si>
  <si>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</si>
  <si>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</si>
  <si>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</si>
  <si>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</si>
  <si>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</si>
  <si>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</si>
  <si>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</si>
  <si>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</si>
  <si>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</si>
  <si>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</si>
  <si>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</si>
  <si>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</si>
  <si>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</si>
  <si>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</si>
  <si>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</si>
  <si>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</si>
  <si>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</si>
  <si>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</si>
  <si>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</si>
  <si>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</si>
  <si>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</si>
  <si>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</si>
  <si>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</si>
  <si>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</si>
  <si>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</si>
  <si>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</si>
  <si>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</si>
  <si>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</si>
  <si>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</si>
  <si>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</si>
  <si>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</si>
  <si>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</si>
  <si>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</si>
  <si>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</si>
  <si>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</si>
  <si>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</si>
  <si>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</si>
  <si>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</si>
  <si>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</si>
  <si>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</si>
  <si>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</si>
  <si>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</si>
  <si>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</si>
  <si>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</si>
  <si>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</si>
  <si>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</si>
  <si>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</si>
  <si>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</si>
  <si>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</si>
  <si>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</si>
  <si>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</si>
  <si>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</si>
  <si>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</si>
  <si>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</si>
  <si>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</si>
  <si>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</si>
  <si>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</si>
  <si>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</si>
  <si>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</si>
  <si>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</si>
  <si>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</si>
  <si>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</si>
  <si>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</si>
  <si>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</si>
  <si>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</si>
  <si>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</si>
  <si>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</si>
  <si>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</si>
  <si>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</si>
  <si>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</si>
  <si>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</si>
  <si>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</si>
  <si>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</si>
  <si>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</si>
  <si>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</si>
  <si>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</si>
  <si>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</si>
  <si>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</si>
  <si>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</si>
  <si>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</si>
  <si>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</si>
  <si>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</si>
  <si>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</si>
  <si>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</si>
  <si>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</si>
  <si>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</si>
  <si>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</si>
  <si>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</si>
  <si>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</si>
  <si>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</si>
  <si>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</si>
  <si>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</si>
  <si>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</si>
  <si>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</si>
  <si>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</si>
  <si>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</si>
  <si>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</si>
  <si>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</si>
  <si>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</si>
  <si>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</si>
  <si>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</si>
  <si>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</si>
  <si>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</si>
  <si>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</si>
  <si>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</si>
  <si>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</si>
  <si>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</si>
  <si>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</si>
  <si>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</si>
  <si>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</si>
  <si>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</si>
  <si>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</si>
  <si>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</si>
  <si>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</si>
  <si>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</si>
  <si>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</si>
  <si>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</si>
  <si>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</si>
  <si>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</si>
  <si>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</si>
  <si>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</si>
  <si>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</si>
  <si>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</si>
  <si>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</si>
  <si>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</si>
  <si>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</si>
  <si>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</si>
  <si>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</si>
  <si>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</si>
  <si>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</si>
  <si>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</si>
  <si>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</si>
  <si>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</si>
  <si>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</si>
  <si>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</si>
  <si>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</si>
  <si>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</si>
  <si>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</si>
  <si>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</si>
  <si>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</si>
  <si>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</si>
  <si>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</si>
  <si>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</si>
  <si>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</si>
  <si>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</si>
  <si>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</si>
  <si>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</si>
  <si>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</si>
  <si>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</si>
  <si>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</si>
  <si>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</si>
  <si>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</si>
  <si>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</si>
  <si>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</si>
  <si>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</si>
  <si>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</si>
  <si>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</si>
  <si>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</si>
  <si>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</si>
  <si>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</si>
  <si>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</si>
  <si>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</si>
  <si>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</si>
  <si>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</si>
  <si>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</si>
  <si>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</si>
  <si>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</si>
  <si>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</si>
  <si>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</si>
  <si>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</si>
  <si>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</si>
  <si>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</si>
  <si>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</si>
  <si>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</si>
  <si>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</si>
  <si>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</si>
  <si>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</si>
  <si>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</si>
  <si>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</si>
  <si>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</si>
  <si>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</si>
  <si>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</si>
  <si>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</si>
  <si>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</si>
  <si>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</si>
  <si>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</si>
  <si>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</si>
  <si>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</si>
  <si>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</si>
  <si>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</si>
  <si>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</si>
  <si>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</si>
  <si>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</si>
  <si>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</si>
  <si>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</si>
  <si>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</si>
  <si>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</si>
  <si>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</si>
  <si>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</si>
  <si>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</si>
  <si>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</si>
  <si>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</si>
  <si>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</si>
  <si>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</si>
  <si>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</si>
  <si>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</si>
  <si>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</si>
  <si>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</si>
  <si>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</si>
  <si>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</si>
  <si>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</si>
  <si>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</si>
  <si>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</si>
  <si>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</si>
  <si>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</si>
  <si>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</si>
  <si>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</si>
  <si>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</si>
  <si>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</si>
  <si>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</si>
  <si>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</si>
  <si>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</si>
  <si>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</si>
  <si>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</si>
  <si>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</si>
  <si>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</si>
  <si>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</si>
  <si>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</si>
  <si>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</si>
  <si>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</si>
  <si>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</si>
  <si>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</si>
  <si>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</si>
  <si>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</si>
  <si>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</si>
  <si>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</si>
  <si>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</si>
  <si>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</si>
  <si>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</si>
  <si>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</si>
  <si>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</si>
  <si>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</si>
  <si>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</si>
  <si>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</si>
  <si>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</si>
  <si>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</si>
  <si>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</si>
  <si>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</si>
  <si>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</si>
  <si>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</si>
  <si>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</si>
  <si>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</si>
  <si>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</si>
  <si>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</si>
  <si>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</si>
  <si>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</si>
  <si>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</si>
  <si>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</si>
  <si>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</si>
  <si>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</si>
  <si>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</si>
  <si>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</si>
  <si>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</si>
  <si>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</si>
  <si>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</si>
  <si>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</si>
  <si>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</si>
  <si>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</si>
  <si>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</si>
  <si>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</si>
  <si>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</si>
  <si>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</si>
  <si>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</si>
  <si>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</si>
  <si>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</si>
  <si>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</si>
  <si>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</si>
  <si>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</si>
  <si>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</si>
  <si>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</si>
  <si>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</si>
  <si>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</si>
  <si>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</si>
  <si>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</si>
  <si>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</si>
  <si>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</si>
  <si>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</si>
  <si>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</si>
  <si>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</si>
  <si>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</si>
  <si>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</si>
  <si>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</si>
  <si>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</si>
  <si>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</si>
  <si>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</si>
  <si>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</si>
  <si>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</si>
  <si>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</si>
  <si>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</si>
  <si>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</si>
  <si>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</si>
  <si>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</si>
  <si>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</si>
  <si>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</si>
  <si>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</si>
  <si>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</si>
  <si>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</si>
  <si>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</si>
  <si>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</si>
  <si>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</si>
  <si>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</si>
  <si>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</si>
  <si>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</si>
  <si>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</si>
  <si>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</si>
  <si>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</si>
  <si>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</si>
  <si>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</si>
  <si>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</si>
  <si>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</si>
  <si>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</si>
  <si>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</si>
  <si>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</si>
  <si>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</si>
  <si>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</si>
  <si>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</si>
  <si>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</si>
  <si>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</si>
  <si>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</si>
  <si>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</si>
  <si>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</si>
  <si>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</si>
  <si>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</si>
  <si>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</si>
  <si>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</si>
  <si>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</si>
  <si>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</si>
  <si>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</si>
  <si>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</si>
  <si>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</si>
  <si>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</si>
  <si>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</si>
  <si>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</si>
  <si>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</si>
  <si>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</si>
  <si>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</si>
  <si>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</si>
  <si>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</si>
  <si>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</si>
  <si>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</si>
  <si>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</si>
  <si>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</si>
  <si>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</si>
  <si>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</si>
  <si>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</si>
  <si>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</si>
  <si>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</si>
  <si>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</si>
  <si>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</si>
  <si>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</si>
  <si>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</si>
  <si>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</si>
  <si>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</si>
  <si>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</si>
  <si>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</si>
  <si>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</si>
  <si>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</si>
  <si>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</si>
  <si>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</si>
  <si>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</si>
  <si>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</si>
  <si>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</si>
  <si>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</si>
  <si>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</si>
  <si>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</si>
  <si>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</si>
  <si>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</si>
  <si>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</si>
  <si>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</si>
  <si>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</si>
  <si>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</si>
  <si>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</si>
  <si>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</si>
  <si>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</si>
  <si>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</si>
  <si>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</si>
  <si>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</si>
  <si>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</si>
  <si>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</si>
  <si>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</si>
  <si>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</si>
  <si>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</si>
  <si>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</si>
  <si>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</si>
  <si>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</si>
  <si>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</si>
  <si>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</si>
  <si>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</si>
  <si>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</si>
  <si>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</si>
  <si>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</si>
  <si>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</si>
  <si>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</si>
  <si>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</si>
  <si>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</si>
  <si>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</si>
  <si>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</si>
  <si>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</si>
  <si>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</si>
  <si>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</si>
  <si>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</si>
  <si>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</si>
  <si>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</si>
  <si>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</si>
  <si>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</si>
  <si>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</si>
  <si>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</si>
  <si>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</si>
  <si>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</si>
  <si>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</si>
  <si>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</si>
  <si>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</si>
  <si>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</si>
  <si>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</si>
  <si>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</si>
  <si>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</si>
  <si>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</si>
  <si>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</si>
  <si>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</si>
  <si>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</si>
  <si>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</si>
  <si>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</si>
  <si>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</si>
  <si>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</si>
  <si>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</si>
  <si>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</si>
  <si>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</si>
  <si>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</si>
  <si>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</si>
  <si>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</si>
  <si>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</si>
  <si>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</si>
  <si>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</si>
  <si>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</si>
  <si>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</si>
  <si>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</si>
  <si>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</si>
  <si>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</si>
  <si>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</si>
  <si>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</si>
  <si>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</si>
  <si>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</si>
  <si>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</si>
  <si>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</si>
  <si>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</si>
  <si>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</si>
  <si>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</si>
  <si>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</si>
  <si>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</si>
  <si>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</si>
  <si>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</si>
  <si>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</si>
  <si>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</si>
  <si>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</si>
  <si>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</si>
  <si>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</si>
  <si>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</si>
  <si>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</si>
  <si>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</si>
  <si>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</si>
  <si>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</si>
  <si>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</si>
  <si>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</si>
  <si>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</si>
  <si>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</si>
  <si>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</si>
  <si>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</si>
  <si>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</si>
  <si>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</si>
  <si>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</si>
  <si>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</si>
  <si>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</si>
  <si>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</si>
  <si>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</si>
  <si>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</si>
  <si>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</si>
  <si>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</si>
  <si>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</si>
  <si>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</si>
  <si>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</si>
  <si>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</si>
  <si>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</si>
  <si>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</si>
  <si>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</si>
  <si>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</si>
  <si>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</si>
  <si>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</si>
  <si>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</si>
  <si>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</si>
  <si>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</si>
  <si>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</si>
  <si>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</si>
  <si>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</si>
  <si>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</si>
  <si>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</si>
  <si>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</si>
  <si>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</si>
  <si>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</si>
  <si>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</si>
  <si>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</si>
  <si>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</si>
  <si>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</si>
  <si>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</si>
  <si>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</si>
  <si>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</si>
  <si>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</si>
  <si>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</si>
  <si>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</si>
  <si>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</si>
  <si>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</si>
  <si>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</si>
  <si>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</si>
  <si>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</si>
  <si>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</si>
  <si>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</si>
  <si>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</si>
  <si>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</si>
  <si>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</si>
  <si>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</si>
  <si>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</si>
  <si>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</si>
  <si>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</si>
  <si>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</si>
  <si>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</si>
  <si>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</si>
  <si>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</si>
  <si>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</si>
  <si>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</si>
  <si>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</si>
  <si>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</si>
  <si>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</si>
  <si>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</si>
  <si>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</si>
  <si>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</si>
  <si>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</si>
  <si>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</si>
  <si>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</si>
  <si>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</si>
  <si>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</si>
  <si>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</si>
  <si>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</si>
  <si>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</si>
  <si>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</si>
  <si>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</si>
  <si>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</si>
  <si>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</si>
  <si>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</si>
  <si>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</si>
  <si>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</si>
  <si>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</si>
  <si>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</si>
  <si>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</si>
  <si>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</si>
  <si>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</si>
  <si>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</si>
  <si>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</si>
  <si>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</si>
  <si>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</si>
  <si>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</si>
  <si>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</si>
  <si>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</si>
  <si>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</si>
  <si>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</si>
  <si>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</si>
  <si>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</si>
  <si>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</si>
  <si>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</si>
  <si>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</si>
  <si>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</si>
  <si>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</si>
  <si>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</si>
  <si>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</si>
  <si>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</si>
  <si>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</si>
  <si>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</si>
  <si>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</si>
  <si>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</si>
  <si>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</si>
  <si>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</si>
  <si>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</si>
  <si>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</si>
  <si>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</si>
  <si>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</si>
  <si>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</si>
  <si>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</si>
  <si>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</si>
  <si>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</si>
  <si>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</si>
  <si>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</si>
  <si>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</si>
  <si>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</si>
  <si>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</si>
  <si>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</si>
  <si>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</si>
  <si>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</si>
  <si>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</si>
  <si>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</si>
  <si>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</si>
  <si>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</si>
  <si>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</si>
  <si>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</si>
  <si>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</si>
  <si>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</si>
  <si>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</si>
  <si>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</si>
  <si>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</si>
  <si>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</si>
  <si>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</si>
  <si>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</si>
  <si>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</si>
  <si>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</si>
  <si>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</si>
  <si>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</si>
  <si>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</si>
  <si>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</si>
  <si>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</si>
  <si>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</si>
  <si>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</si>
  <si>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</si>
  <si>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</si>
  <si>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</si>
  <si>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</si>
  <si>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</si>
  <si>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</si>
  <si>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</si>
  <si>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</si>
  <si>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</si>
  <si>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</si>
  <si>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</si>
  <si>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</si>
  <si>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</si>
  <si>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</si>
  <si>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</si>
  <si>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</si>
  <si>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</si>
  <si>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</si>
  <si>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</si>
  <si>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</si>
  <si>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</si>
  <si>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</si>
  <si>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</si>
  <si>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</si>
  <si>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</si>
  <si>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</si>
  <si>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</si>
  <si>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</si>
  <si>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</si>
  <si>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</si>
  <si>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</si>
  <si>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</si>
  <si>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</si>
  <si>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</si>
  <si>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</si>
  <si>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</si>
  <si>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</si>
  <si>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</si>
  <si>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</si>
  <si>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</si>
  <si>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</si>
  <si>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</si>
  <si>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</si>
  <si>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</si>
  <si>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</si>
  <si>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</si>
  <si>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</si>
  <si>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</si>
  <si>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</si>
  <si>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</si>
  <si>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</si>
  <si>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</si>
  <si>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</si>
  <si>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</si>
  <si>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</si>
  <si>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</si>
  <si>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</si>
  <si>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</si>
  <si>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</si>
  <si>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</si>
  <si>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</si>
  <si>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</si>
  <si>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</si>
  <si>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</si>
  <si>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</si>
  <si>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</si>
  <si>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</si>
  <si>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</si>
  <si>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</si>
  <si>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</si>
  <si>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</si>
  <si>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</si>
  <si>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</si>
  <si>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</si>
  <si>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</si>
  <si>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</si>
  <si>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</si>
  <si>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</si>
  <si>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</si>
  <si>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</si>
  <si>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</si>
  <si>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</si>
  <si>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</si>
  <si>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</si>
  <si>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</si>
  <si>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</si>
  <si>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</si>
  <si>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</si>
  <si>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</si>
  <si>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</si>
  <si>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</si>
  <si>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</si>
  <si>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</si>
  <si>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</si>
  <si>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</si>
  <si>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</si>
  <si>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</si>
  <si>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</si>
  <si>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</si>
  <si>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</si>
  <si>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</si>
  <si>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</si>
  <si>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</si>
  <si>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</si>
  <si>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</si>
  <si>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</si>
  <si>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</si>
  <si>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</si>
  <si>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</si>
  <si>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</si>
  <si>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</si>
  <si>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</si>
  <si>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</si>
  <si>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</si>
  <si>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</si>
  <si>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</si>
  <si>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</si>
  <si>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</si>
  <si>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</si>
  <si>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</si>
  <si>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</si>
  <si>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</si>
  <si>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</si>
  <si>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</si>
  <si>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</si>
  <si>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</si>
  <si>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</si>
  <si>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</si>
  <si>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</si>
  <si>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</si>
  <si>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</si>
  <si>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</si>
  <si>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</si>
  <si>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</si>
  <si>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</si>
  <si>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</si>
  <si>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</si>
  <si>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</si>
  <si>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</si>
  <si>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</si>
  <si>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</si>
  <si>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</si>
  <si>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</si>
  <si>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</si>
  <si>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</si>
  <si>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</si>
  <si>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</si>
  <si>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</si>
  <si>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</si>
  <si>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</si>
  <si>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</si>
  <si>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</si>
  <si>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</si>
  <si>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</si>
  <si>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</si>
  <si>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</si>
  <si>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</si>
  <si>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</si>
  <si>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</si>
  <si>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</si>
  <si>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</si>
  <si>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</si>
  <si>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</si>
  <si>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</si>
  <si>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</si>
  <si>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</si>
  <si>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</si>
  <si>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</si>
  <si>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</si>
  <si>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</si>
  <si>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</si>
  <si>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</si>
  <si>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</si>
  <si>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</si>
  <si>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</si>
  <si>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</si>
  <si>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</si>
  <si>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</si>
  <si>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</si>
  <si>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</si>
  <si>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</si>
  <si>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</si>
  <si>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</si>
  <si>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</si>
  <si>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</si>
  <si>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</si>
  <si>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</si>
  <si>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</si>
  <si>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</si>
  <si>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</si>
  <si>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</si>
  <si>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</si>
  <si>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</si>
  <si>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</si>
  <si>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</si>
  <si>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</si>
  <si>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</si>
  <si>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</si>
  <si>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</si>
  <si>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</si>
  <si>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</si>
  <si>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</si>
  <si>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</si>
  <si>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</si>
  <si>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</si>
  <si>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</si>
  <si>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</si>
  <si>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</si>
  <si>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</si>
  <si>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</si>
  <si>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</si>
  <si>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</si>
  <si>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</si>
  <si>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</si>
  <si>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</si>
  <si>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</si>
  <si>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</si>
  <si>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</si>
  <si>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</si>
  <si>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</si>
  <si>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</si>
  <si>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</si>
  <si>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</si>
  <si>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</si>
  <si>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</si>
  <si>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</si>
  <si>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</si>
  <si>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</si>
  <si>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</si>
  <si>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</si>
  <si>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</si>
  <si>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</si>
  <si>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</si>
  <si>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</si>
  <si>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</si>
  <si>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</si>
  <si>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</si>
  <si>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</si>
  <si>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</si>
  <si>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</si>
  <si>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</si>
  <si>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</si>
  <si>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</si>
  <si>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</si>
  <si>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</si>
  <si>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</si>
  <si>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</si>
  <si>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</si>
  <si>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</si>
  <si>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</si>
  <si>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</si>
  <si>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</si>
  <si>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</si>
  <si>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</si>
  <si>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</si>
  <si>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</si>
  <si>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</si>
  <si>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</si>
  <si>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</si>
  <si>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</si>
  <si>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</si>
  <si>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</si>
  <si>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</si>
  <si>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</si>
  <si>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</si>
  <si>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</si>
  <si>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</si>
  <si>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</si>
  <si>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</si>
  <si>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</si>
  <si>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</si>
  <si>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</si>
  <si>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</si>
  <si>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</si>
  <si>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</si>
  <si>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</si>
  <si>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</si>
  <si>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</si>
  <si>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</si>
  <si>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</si>
  <si>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</si>
  <si>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</si>
  <si>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</si>
  <si>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</si>
  <si>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</si>
  <si>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</si>
  <si>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</si>
  <si>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</si>
  <si>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</si>
  <si>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</si>
  <si>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</si>
  <si>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</si>
  <si>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</si>
  <si>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</si>
  <si>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</si>
  <si>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</si>
  <si>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</si>
  <si>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</si>
  <si>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</si>
  <si>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</si>
  <si>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</si>
  <si>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</si>
  <si>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</si>
  <si>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</si>
  <si>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</si>
  <si>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</si>
  <si>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</si>
  <si>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</si>
  <si>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</si>
  <si>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</si>
  <si>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</si>
  <si>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</si>
  <si>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</si>
  <si>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</si>
  <si>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</si>
  <si>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</si>
  <si>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</si>
  <si>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</si>
  <si>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</si>
  <si>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</si>
  <si>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</si>
  <si>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</si>
  <si>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</si>
  <si>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</si>
  <si>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</si>
  <si>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</si>
  <si>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</si>
  <si>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</si>
  <si>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</si>
  <si>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</si>
  <si>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</si>
  <si>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</si>
  <si>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</si>
  <si>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</si>
  <si>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</si>
  <si>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</si>
  <si>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</si>
  <si>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</si>
  <si>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</si>
  <si>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</si>
  <si>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</si>
  <si>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</si>
  <si>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</si>
  <si>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</si>
  <si>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</si>
  <si>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</si>
  <si>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</si>
  <si>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</si>
  <si>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</si>
  <si>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</si>
  <si>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</si>
  <si>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</si>
  <si>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</si>
  <si>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</si>
  <si>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</si>
  <si>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</si>
  <si>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</si>
  <si>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</si>
  <si>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</si>
  <si>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</si>
  <si>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</si>
  <si>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</si>
  <si>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</si>
  <si>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</si>
  <si>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</si>
  <si>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</si>
  <si>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</si>
  <si>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</si>
  <si>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</si>
  <si>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</si>
  <si>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</si>
  <si>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</si>
  <si>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</si>
  <si>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</si>
  <si>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</si>
  <si>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</si>
  <si>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</si>
  <si>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</si>
  <si>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</si>
  <si>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</si>
  <si>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</si>
  <si>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</si>
  <si>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</si>
  <si>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</si>
  <si>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</si>
  <si>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</si>
  <si>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</si>
  <si>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</si>
  <si>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</si>
  <si>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</si>
  <si>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</si>
  <si>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</si>
  <si>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</si>
  <si>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</si>
  <si>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</si>
  <si>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</si>
  <si>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</si>
  <si>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</si>
  <si>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</si>
  <si>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</si>
  <si>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</si>
  <si>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</si>
  <si>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</si>
  <si>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</si>
  <si>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</si>
  <si>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</si>
  <si>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</si>
  <si>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</si>
  <si>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</si>
  <si>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</si>
  <si>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</si>
  <si>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</si>
  <si>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</si>
  <si>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</si>
  <si>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</si>
  <si>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</si>
  <si>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</si>
  <si>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</si>
  <si>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</si>
  <si>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</si>
  <si>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</si>
  <si>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</si>
  <si>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</si>
  <si>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</si>
  <si>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</si>
  <si>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</si>
  <si>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</si>
  <si>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</si>
  <si>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</si>
  <si>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</si>
  <si>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</si>
  <si>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</si>
  <si>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</si>
  <si>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</si>
  <si>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</si>
  <si>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</si>
  <si>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</si>
  <si>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</si>
  <si>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</si>
  <si>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</si>
  <si>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</si>
  <si>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</si>
  <si>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</si>
  <si>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</si>
  <si>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</si>
  <si>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</si>
  <si>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</si>
  <si>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</si>
  <si>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</si>
  <si>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</si>
  <si>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</si>
  <si>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</si>
  <si>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</si>
  <si>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</si>
  <si>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</si>
  <si>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</si>
  <si>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</si>
  <si>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</si>
  <si>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</si>
  <si>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</si>
  <si>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</si>
  <si>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</si>
  <si>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</si>
  <si>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</si>
  <si>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</si>
  <si>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</si>
  <si>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</si>
  <si>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</si>
  <si>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</si>
  <si>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</si>
  <si>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</si>
  <si>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</si>
  <si>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</si>
  <si>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</si>
  <si>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</si>
  <si>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</si>
  <si>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</si>
  <si>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</si>
  <si>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</si>
  <si>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</si>
  <si>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</si>
  <si>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</si>
  <si>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</si>
  <si>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</si>
  <si>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</si>
  <si>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</si>
  <si>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</si>
  <si>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</si>
  <si>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</si>
  <si>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</si>
  <si>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</si>
  <si>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</si>
  <si>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</si>
  <si>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</si>
  <si>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</si>
  <si>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</si>
  <si>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</si>
  <si>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</si>
  <si>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</si>
  <si>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</si>
  <si>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</si>
  <si>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</si>
  <si>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</si>
  <si>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</si>
  <si>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</si>
  <si>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</si>
  <si>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</si>
  <si>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</si>
  <si>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</si>
  <si>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</si>
  <si>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</si>
  <si>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</si>
  <si>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</si>
  <si>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</si>
  <si>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</si>
  <si>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</si>
  <si>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</si>
  <si>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</si>
  <si>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</si>
  <si>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</si>
  <si>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</si>
  <si>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</si>
  <si>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</si>
  <si>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</si>
  <si>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</si>
  <si>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</si>
  <si>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</si>
  <si>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</si>
  <si>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</si>
  <si>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</si>
  <si>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</si>
  <si>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</si>
  <si>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</si>
  <si>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</si>
  <si>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</si>
  <si>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</si>
  <si>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</si>
  <si>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</si>
  <si>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</si>
  <si>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</si>
  <si>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</si>
  <si>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</si>
  <si>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</si>
  <si>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</si>
  <si>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</si>
  <si>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</si>
  <si>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</si>
  <si>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</si>
  <si>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</si>
  <si>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</si>
  <si>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</si>
  <si>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</si>
  <si>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</si>
  <si>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</si>
  <si>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</si>
  <si>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</si>
  <si>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</si>
  <si>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</si>
  <si>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</si>
  <si>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</si>
  <si>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</si>
  <si>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</si>
  <si>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</si>
  <si>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</si>
  <si>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</si>
  <si>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</si>
  <si>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</si>
  <si>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</si>
  <si>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</si>
  <si>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</si>
  <si>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</si>
  <si>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</si>
  <si>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</si>
  <si>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</si>
  <si>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</si>
  <si>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</si>
  <si>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</si>
  <si>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</si>
  <si>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</si>
  <si>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</si>
  <si>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</si>
  <si>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</si>
  <si>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</si>
  <si>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</si>
  <si>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</si>
  <si>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</si>
  <si>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</si>
  <si>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</si>
  <si>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</si>
  <si>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</si>
  <si>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</si>
  <si>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</si>
  <si>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</si>
  <si>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</si>
  <si>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</si>
  <si>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</si>
  <si>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</si>
  <si>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</si>
  <si>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</si>
  <si>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</si>
  <si>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</si>
  <si>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</si>
  <si>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</si>
  <si>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</si>
  <si>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</si>
  <si>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</si>
  <si>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</si>
  <si>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</si>
  <si>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</si>
  <si>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</si>
  <si>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</si>
  <si>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</si>
  <si>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</si>
  <si>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</si>
  <si>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</si>
  <si>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</si>
  <si>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</si>
  <si>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</si>
  <si>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</si>
  <si>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</si>
  <si>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</si>
  <si>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</si>
  <si>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</si>
  <si>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</si>
  <si>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</si>
  <si>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</si>
  <si>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</si>
  <si>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</si>
  <si>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</si>
  <si>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</si>
  <si>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</si>
  <si>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</si>
  <si>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</si>
  <si>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</si>
  <si>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</si>
  <si>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</si>
  <si>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</si>
  <si>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</si>
  <si>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</si>
  <si>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</si>
  <si>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</si>
  <si>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</si>
  <si>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</si>
  <si>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</si>
  <si>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</si>
  <si>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</si>
  <si>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</si>
  <si>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</si>
  <si>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</si>
  <si>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</si>
  <si>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</si>
  <si>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</si>
  <si>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</si>
  <si>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</si>
  <si>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</si>
  <si>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</si>
  <si>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</si>
  <si>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</si>
  <si>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</si>
  <si>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</si>
  <si>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</si>
  <si>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</si>
  <si>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</si>
  <si>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</si>
  <si>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</si>
  <si>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</si>
  <si>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</si>
  <si>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</si>
  <si>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</si>
  <si>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</si>
  <si>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</si>
  <si>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</si>
  <si>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</si>
  <si>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</si>
  <si>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</si>
  <si>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</si>
  <si>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</si>
  <si>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</si>
  <si>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</si>
  <si>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</si>
  <si>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</si>
  <si>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</si>
  <si>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</si>
  <si>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</si>
  <si>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</si>
  <si>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</si>
  <si>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</si>
  <si>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</si>
  <si>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</si>
  <si>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</si>
  <si>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</si>
  <si>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</si>
  <si>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</si>
  <si>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</si>
  <si>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</si>
  <si>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</si>
  <si>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</si>
  <si>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</si>
  <si>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</si>
  <si>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</si>
  <si>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</si>
  <si>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</si>
  <si>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</si>
  <si>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</si>
  <si>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</si>
  <si>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</si>
  <si>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</si>
  <si>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</si>
  <si>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</si>
  <si>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</si>
  <si>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</si>
  <si>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</si>
  <si>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</si>
  <si>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</si>
  <si>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</si>
  <si>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</si>
  <si>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</si>
  <si>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</si>
  <si>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</si>
  <si>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</si>
  <si>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</si>
  <si>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</si>
  <si>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</si>
  <si>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</si>
  <si>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</si>
  <si>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</si>
  <si>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</si>
  <si>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</si>
  <si>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</si>
  <si>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</si>
  <si>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</si>
  <si>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</si>
  <si>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</si>
  <si>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</si>
  <si>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</si>
  <si>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</si>
  <si>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</si>
  <si>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</si>
  <si>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</si>
  <si>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</si>
  <si>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</si>
  <si>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</si>
  <si>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</si>
  <si>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</si>
  <si>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</si>
  <si>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</si>
  <si>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</si>
  <si>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</si>
  <si>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</si>
  <si>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</si>
  <si>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</si>
  <si>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</si>
  <si>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</si>
  <si>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</si>
  <si>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</si>
  <si>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</si>
  <si>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</si>
  <si>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</si>
  <si>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</si>
  <si>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</si>
  <si>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</si>
  <si>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</si>
  <si>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</si>
  <si>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</si>
  <si>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</si>
  <si>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</si>
  <si>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</si>
  <si>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</si>
  <si>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</si>
  <si>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</si>
  <si>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</si>
  <si>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</si>
  <si>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</si>
  <si>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</si>
  <si>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</si>
  <si>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</si>
  <si>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</si>
  <si>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</si>
  <si>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</si>
  <si>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</si>
  <si>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</si>
  <si>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</si>
  <si>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</si>
  <si>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</si>
  <si>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</si>
  <si>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</si>
  <si>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</si>
  <si>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</si>
  <si>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</si>
  <si>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</si>
  <si>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</si>
  <si>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</si>
  <si>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</si>
  <si>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</si>
  <si>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</si>
  <si>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</si>
  <si>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</si>
  <si>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</si>
  <si>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</si>
  <si>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</si>
  <si>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</si>
  <si>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</si>
  <si>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</si>
  <si>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</si>
  <si>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</si>
  <si>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</si>
  <si>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</si>
  <si>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</si>
  <si>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</si>
  <si>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</si>
  <si>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</si>
  <si>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</si>
  <si>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</si>
  <si>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</si>
  <si>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</si>
  <si>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</si>
  <si>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</si>
  <si>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</si>
  <si>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</si>
  <si>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</si>
  <si>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</si>
  <si>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</si>
  <si>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</si>
  <si>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</si>
  <si>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</si>
  <si>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</si>
  <si>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</si>
  <si>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</si>
  <si>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</si>
  <si>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</si>
  <si>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</si>
  <si>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</si>
  <si>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</si>
  <si>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</si>
  <si>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</si>
  <si>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</si>
  <si>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</si>
  <si>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</si>
  <si>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</si>
  <si>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</si>
  <si>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</si>
  <si>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</si>
  <si>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</si>
  <si>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</si>
  <si>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</si>
  <si>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</si>
  <si>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</si>
  <si>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</si>
  <si>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</si>
  <si>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</si>
  <si>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</si>
  <si>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</si>
  <si>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</si>
  <si>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</si>
  <si>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</si>
  <si>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</si>
  <si>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</si>
  <si>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</si>
  <si>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</si>
  <si>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</si>
  <si>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</si>
  <si>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</si>
  <si>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</si>
  <si>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</si>
  <si>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</si>
  <si>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</si>
  <si>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</si>
  <si>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</si>
  <si>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</si>
  <si>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</si>
  <si>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</si>
  <si>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</si>
  <si>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</si>
  <si>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</si>
  <si>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</si>
  <si>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</si>
  <si>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</si>
  <si>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</si>
  <si>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</si>
  <si>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</si>
  <si>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</si>
  <si>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</si>
  <si>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</si>
  <si>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</si>
  <si>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</si>
  <si>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</si>
  <si>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</si>
  <si>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</si>
  <si>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</si>
  <si>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</si>
  <si>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</si>
  <si>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</si>
  <si>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</si>
  <si>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</si>
  <si>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</si>
  <si>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</si>
  <si>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</si>
  <si>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</si>
  <si>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</si>
  <si>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</si>
  <si>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</si>
  <si>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</si>
  <si>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</si>
  <si>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</si>
  <si>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</si>
  <si>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</si>
  <si>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</si>
  <si>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</si>
  <si>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</si>
  <si>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</si>
  <si>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</si>
  <si>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</si>
  <si>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</si>
  <si>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</si>
  <si>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</si>
  <si>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</si>
  <si>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</si>
  <si>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</si>
  <si>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</si>
  <si>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</si>
  <si>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</si>
  <si>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</si>
  <si>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</si>
  <si>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</si>
  <si>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</si>
  <si>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</si>
  <si>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</si>
  <si>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</si>
  <si>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</si>
  <si>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</si>
  <si>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</si>
  <si>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</si>
  <si>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</si>
  <si>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</si>
  <si>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</si>
  <si>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</si>
  <si>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</si>
  <si>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</si>
  <si>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</si>
  <si>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</si>
  <si>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</si>
  <si>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</si>
  <si>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</si>
  <si>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</si>
  <si>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</si>
  <si>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</si>
  <si>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</si>
  <si>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</si>
  <si>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</si>
  <si>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</si>
  <si>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</si>
  <si>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</si>
  <si>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</si>
  <si>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</si>
  <si>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</si>
  <si>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</si>
  <si>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</si>
  <si>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</si>
  <si>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</si>
  <si>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</si>
  <si>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</si>
  <si>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</si>
  <si>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</si>
  <si>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</si>
  <si>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</si>
  <si>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</si>
  <si>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</si>
  <si>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</si>
  <si>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</si>
  <si>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</si>
  <si>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</si>
  <si>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</si>
  <si>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</si>
  <si>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</si>
  <si>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</si>
  <si>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</si>
  <si>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</si>
  <si>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</si>
  <si>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</si>
  <si>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</si>
  <si>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</si>
  <si>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</si>
  <si>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</si>
  <si>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</si>
  <si>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</si>
  <si>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</si>
  <si>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</si>
  <si>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</si>
  <si>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</si>
  <si>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</si>
  <si>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</si>
  <si>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</si>
  <si>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</si>
  <si>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</si>
  <si>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</si>
  <si>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</si>
  <si>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</si>
  <si>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</si>
  <si>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</si>
  <si>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</si>
  <si>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</si>
  <si>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</si>
  <si>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</si>
  <si>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</si>
  <si>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</si>
  <si>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</si>
  <si>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</si>
  <si>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</si>
  <si>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</si>
  <si>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</si>
  <si>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</si>
  <si>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</si>
  <si>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</si>
  <si>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</si>
  <si>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</si>
  <si>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</si>
  <si>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</si>
  <si>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</si>
  <si>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</si>
  <si>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</si>
  <si>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</si>
  <si>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</si>
  <si>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</si>
  <si>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</si>
  <si>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</si>
  <si>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</si>
  <si>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</si>
  <si>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</si>
  <si>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</si>
  <si>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</si>
  <si>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</si>
  <si>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</si>
  <si>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</si>
  <si>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</si>
  <si>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</si>
  <si>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</si>
  <si>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</si>
  <si>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</si>
  <si>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</si>
  <si>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</si>
  <si>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</si>
  <si>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</si>
  <si>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</si>
  <si>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</si>
  <si>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</si>
  <si>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</si>
  <si>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</si>
  <si>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</si>
  <si>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</si>
  <si>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</si>
  <si>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</si>
  <si>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</si>
  <si>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</si>
  <si>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</si>
  <si>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</si>
  <si>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</si>
  <si>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</si>
  <si>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</si>
  <si>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</si>
  <si>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</si>
  <si>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</si>
  <si>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</si>
  <si>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</si>
  <si>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</si>
  <si>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</si>
  <si>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</si>
  <si>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</si>
  <si>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</si>
  <si>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</si>
  <si>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</si>
  <si>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</si>
  <si>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</si>
  <si>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</si>
  <si>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</si>
  <si>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</si>
  <si>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</si>
  <si>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</si>
  <si>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</si>
  <si>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</si>
  <si>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</si>
  <si>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</si>
  <si>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</si>
  <si>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</si>
  <si>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</si>
  <si>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</si>
  <si>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</si>
  <si>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</si>
  <si>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</si>
  <si>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</si>
  <si>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</si>
  <si>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</si>
  <si>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</si>
  <si>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</si>
  <si>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</si>
  <si>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</si>
  <si>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</si>
  <si>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</si>
  <si>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</si>
  <si>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</si>
  <si>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</si>
  <si>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</si>
  <si>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</si>
  <si>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</si>
  <si>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</si>
  <si>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</si>
  <si>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</si>
  <si>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</si>
  <si>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</si>
  <si>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</si>
  <si>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</si>
  <si>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</si>
  <si>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</si>
  <si>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</si>
  <si>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</si>
  <si>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</si>
  <si>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</si>
  <si>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</si>
  <si>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</si>
  <si>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</si>
  <si>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</si>
  <si>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</si>
  <si>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</si>
  <si>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</si>
  <si>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</si>
  <si>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</si>
  <si>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</si>
  <si>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</si>
  <si>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</si>
  <si>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</si>
  <si>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</si>
  <si>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</si>
  <si>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</si>
  <si>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</si>
  <si>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</si>
  <si>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</si>
  <si>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</si>
  <si>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</si>
  <si>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</si>
  <si>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</si>
  <si>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</si>
  <si>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</si>
  <si>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</si>
  <si>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</si>
  <si>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</si>
  <si>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</si>
  <si>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</si>
  <si>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</si>
  <si>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</si>
  <si>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</si>
  <si>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</si>
  <si>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</si>
  <si>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</si>
  <si>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</si>
  <si>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</si>
  <si>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</si>
  <si>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</si>
  <si>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</si>
  <si>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</si>
  <si>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</si>
  <si>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</si>
  <si>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</si>
  <si>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</si>
  <si>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</si>
  <si>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</si>
  <si>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</si>
  <si>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</si>
  <si>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</si>
  <si>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</si>
  <si>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</si>
  <si>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</si>
  <si>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</si>
  <si>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</si>
  <si>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</si>
  <si>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</si>
  <si>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</si>
  <si>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</si>
  <si>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</si>
  <si>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</si>
  <si>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</si>
  <si>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</si>
  <si>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</si>
  <si>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</si>
  <si>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</si>
  <si>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</si>
  <si>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</si>
  <si>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</si>
  <si>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</si>
  <si>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</si>
  <si>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</si>
  <si>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</si>
  <si>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</si>
  <si>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</si>
  <si>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</si>
  <si>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</si>
  <si>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</si>
  <si>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</si>
  <si>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</si>
  <si>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</si>
  <si>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</si>
  <si>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</si>
  <si>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</si>
  <si>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</si>
  <si>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</si>
  <si>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</si>
  <si>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</si>
  <si>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</si>
  <si>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</si>
  <si>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</si>
  <si>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</si>
  <si>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</si>
  <si>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</si>
  <si>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</si>
  <si>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</si>
  <si>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</si>
  <si>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</si>
  <si>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</si>
  <si>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</si>
  <si>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</si>
  <si>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</si>
  <si>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</si>
  <si>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</si>
  <si>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</si>
  <si>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</si>
  <si>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</si>
  <si>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</si>
  <si>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</si>
  <si>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</si>
  <si>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</si>
  <si>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</si>
  <si>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</si>
  <si>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</si>
  <si>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</si>
  <si>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</si>
  <si>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</si>
  <si>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</si>
  <si>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</si>
  <si>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</si>
  <si>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</si>
  <si>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</si>
  <si>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</si>
  <si>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</si>
  <si>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</si>
  <si>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</si>
  <si>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</si>
  <si>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</si>
  <si>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</si>
  <si>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</si>
  <si>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</si>
  <si>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</si>
  <si>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</si>
  <si>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</si>
  <si>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</si>
  <si>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</si>
  <si>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</si>
  <si>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</si>
  <si>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</si>
  <si>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</si>
  <si>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</si>
  <si>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</si>
  <si>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</si>
  <si>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</si>
  <si>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</si>
  <si>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</si>
  <si>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</si>
  <si>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</si>
  <si>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</si>
  <si>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</si>
  <si>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</si>
  <si>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</si>
  <si>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</si>
  <si>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</si>
  <si>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</si>
  <si>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</si>
  <si>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</si>
  <si>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</si>
  <si>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</si>
  <si>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</si>
  <si>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</si>
  <si>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</si>
  <si>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</si>
  <si>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</si>
  <si>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</si>
  <si>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</si>
  <si>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</si>
  <si>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</si>
  <si>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</si>
  <si>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</si>
  <si>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</si>
  <si>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</si>
  <si>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</si>
  <si>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</si>
  <si>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</si>
  <si>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</si>
  <si>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</si>
  <si>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</si>
  <si>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</si>
  <si>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</si>
  <si>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</si>
  <si>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</si>
  <si>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</si>
  <si>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</si>
  <si>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</si>
  <si>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</si>
  <si>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</si>
  <si>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</si>
  <si>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</si>
  <si>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</si>
  <si>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</si>
  <si>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</si>
  <si>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</si>
  <si>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</si>
  <si>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</si>
  <si>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</si>
  <si>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</si>
  <si>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</si>
  <si>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</si>
  <si>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</si>
  <si>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</si>
  <si>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</si>
  <si>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</si>
  <si>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</si>
  <si>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</si>
  <si>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</si>
  <si>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</si>
  <si>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</si>
  <si>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</si>
  <si>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</si>
  <si>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</si>
  <si>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</si>
  <si>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</si>
  <si>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</si>
  <si>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</si>
  <si>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</si>
  <si>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</si>
  <si>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</si>
  <si>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</si>
  <si>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</si>
  <si>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</si>
  <si>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</si>
  <si>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</si>
  <si>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</si>
  <si>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</si>
  <si>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</si>
  <si>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</si>
  <si>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</si>
  <si>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</si>
  <si>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</si>
  <si>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</si>
  <si>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</si>
  <si>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</si>
  <si>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</si>
  <si>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</si>
  <si>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</si>
  <si>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</si>
  <si>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</si>
  <si>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</si>
  <si>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</si>
  <si>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</si>
  <si>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</si>
  <si>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</si>
  <si>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</si>
  <si>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</si>
  <si>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</si>
  <si>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</si>
  <si>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</si>
  <si>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</si>
  <si>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</si>
  <si>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</si>
  <si>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</si>
  <si>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</si>
  <si>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</si>
  <si>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</si>
  <si>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</si>
  <si>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</si>
  <si>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</si>
  <si>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</si>
  <si>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</si>
  <si>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</si>
  <si>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</si>
  <si>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</si>
  <si>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</si>
  <si>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</si>
  <si>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</si>
  <si>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</si>
  <si>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</si>
  <si>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</si>
  <si>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</si>
  <si>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</si>
  <si>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</si>
  <si>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</si>
  <si>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</si>
  <si>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</si>
  <si>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</si>
  <si>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</si>
  <si>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</si>
  <si>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</si>
  <si>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</si>
  <si>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</si>
  <si>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</si>
  <si>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</si>
  <si>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</si>
  <si>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</si>
  <si>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</si>
  <si>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</si>
  <si>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</si>
  <si>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</si>
  <si>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</si>
  <si>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</si>
  <si>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</si>
  <si>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</si>
  <si>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</si>
  <si>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</si>
  <si>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</si>
  <si>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</si>
  <si>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</si>
  <si>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</si>
  <si>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</si>
  <si>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</si>
  <si>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</si>
  <si>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</si>
  <si>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</si>
  <si>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</si>
  <si>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</si>
  <si>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</si>
  <si>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</si>
  <si>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</si>
  <si>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</si>
  <si>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</si>
  <si>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</si>
  <si>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</si>
  <si>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</si>
  <si>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</si>
  <si>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</si>
  <si>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</si>
  <si>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</si>
  <si>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</si>
  <si>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</si>
  <si>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</si>
  <si>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</si>
  <si>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</si>
  <si>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</si>
  <si>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</si>
  <si>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</si>
  <si>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</si>
  <si>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</si>
  <si>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</si>
  <si>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</si>
  <si>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</si>
  <si>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</si>
  <si>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</si>
  <si>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</si>
  <si>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</si>
  <si>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</si>
  <si>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</si>
  <si>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</si>
  <si>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</si>
  <si>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</si>
  <si>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</si>
  <si>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</si>
  <si>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</si>
  <si>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</si>
  <si>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</si>
  <si>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</si>
  <si>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</si>
  <si>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</si>
  <si>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</si>
  <si>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</si>
  <si>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</si>
  <si>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</si>
  <si>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</si>
  <si>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</si>
  <si>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</si>
  <si>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</si>
  <si>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</si>
  <si>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</si>
  <si>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</si>
  <si>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</si>
  <si>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</si>
  <si>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</si>
  <si>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</si>
  <si>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</si>
  <si>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</si>
  <si>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</si>
  <si>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</si>
  <si>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</si>
  <si>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</si>
  <si>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</si>
  <si>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</si>
  <si>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</si>
  <si>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</si>
  <si>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</si>
  <si>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</si>
  <si>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</si>
  <si>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</si>
  <si>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</si>
  <si>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</si>
  <si>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</si>
  <si>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</si>
  <si>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</si>
  <si>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</si>
  <si>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</si>
  <si>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</si>
  <si>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</si>
  <si>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</si>
  <si>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</si>
  <si>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</si>
  <si>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</si>
  <si>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</si>
  <si>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</si>
  <si>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</si>
  <si>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</si>
  <si>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</si>
  <si>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</si>
  <si>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</si>
  <si>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</si>
  <si>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</si>
  <si>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</si>
  <si>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</si>
  <si>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</si>
  <si>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</si>
  <si>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</si>
  <si>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</si>
  <si>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</si>
  <si>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</si>
  <si>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</si>
  <si>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</si>
  <si>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</si>
  <si>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</si>
  <si>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</si>
  <si>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</si>
  <si>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</si>
  <si>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</si>
  <si>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</si>
  <si>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</si>
  <si>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</si>
  <si>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</si>
  <si>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</si>
  <si>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</si>
  <si>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</si>
  <si>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</si>
  <si>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</si>
  <si>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</si>
  <si>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</si>
  <si>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</si>
  <si>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</si>
  <si>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</si>
  <si>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</si>
  <si>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</si>
  <si>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</si>
  <si>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</si>
  <si>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</si>
  <si>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</si>
  <si>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</si>
  <si>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</si>
  <si>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</si>
  <si>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</si>
  <si>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</si>
  <si>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</si>
  <si>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</si>
  <si>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</si>
  <si>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</si>
  <si>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</si>
  <si>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</si>
  <si>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</si>
  <si>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</si>
  <si>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</si>
  <si>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</si>
  <si>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</si>
  <si>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</si>
  <si>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</si>
  <si>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</si>
  <si>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</si>
  <si>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</si>
  <si>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</si>
  <si>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</si>
  <si>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</si>
  <si>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</si>
  <si>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</si>
  <si>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</si>
  <si>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</si>
  <si>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</si>
  <si>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</si>
  <si>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</si>
  <si>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</si>
  <si>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</si>
  <si>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</si>
  <si>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</si>
  <si>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</si>
  <si>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</si>
  <si>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</si>
  <si>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</si>
  <si>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</si>
  <si>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</si>
  <si>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</si>
  <si>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</si>
  <si>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</si>
  <si>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</si>
  <si>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</si>
  <si>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</si>
  <si>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</si>
  <si>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</si>
  <si>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</si>
  <si>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</si>
  <si>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</si>
  <si>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</si>
  <si>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</si>
  <si>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</si>
  <si>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</si>
  <si>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</si>
  <si>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</si>
  <si>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</si>
  <si>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</si>
  <si>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</si>
  <si>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</si>
  <si>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</si>
  <si>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</si>
  <si>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</si>
  <si>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</si>
  <si>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</si>
  <si>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</si>
  <si>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</si>
  <si>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</si>
  <si>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</si>
  <si>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</si>
  <si>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</si>
  <si>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</si>
  <si>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</si>
  <si>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</si>
  <si>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</si>
  <si>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</si>
  <si>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</si>
  <si>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</si>
  <si>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</si>
  <si>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</si>
  <si>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</si>
  <si>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</si>
  <si>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</si>
  <si>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</si>
  <si>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</si>
  <si>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</si>
  <si>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</si>
  <si>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</si>
  <si>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</si>
  <si>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</si>
  <si>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</si>
  <si>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</si>
  <si>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</si>
  <si>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</si>
  <si>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</si>
  <si>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</si>
  <si>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</si>
  <si>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</si>
  <si>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</si>
  <si>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</si>
  <si>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</si>
  <si>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</si>
  <si>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</si>
  <si>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</si>
  <si>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</si>
  <si>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</si>
  <si>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</si>
  <si>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</si>
  <si>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</si>
  <si>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</si>
  <si>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</si>
  <si>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</si>
  <si>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</si>
  <si>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</si>
  <si>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</si>
  <si>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</si>
  <si>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</si>
  <si>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</si>
  <si>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</si>
  <si>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</si>
  <si>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</si>
  <si>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</si>
  <si>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</si>
  <si>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</si>
  <si>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</si>
  <si>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</si>
  <si>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</si>
  <si>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</si>
  <si>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</si>
  <si>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</si>
  <si>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</si>
  <si>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</si>
  <si>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</si>
  <si>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</si>
  <si>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</si>
  <si>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</si>
  <si>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</si>
  <si>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</si>
  <si>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</si>
  <si>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</si>
  <si>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</si>
  <si>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</si>
  <si>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</si>
  <si>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</si>
  <si>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</si>
  <si>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</si>
  <si>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</si>
  <si>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</si>
  <si>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</si>
  <si>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</si>
  <si>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</si>
  <si>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</si>
  <si>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</si>
  <si>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</si>
  <si>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</si>
  <si>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</si>
  <si>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</si>
  <si>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</si>
  <si>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</si>
  <si>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</si>
  <si>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</si>
  <si>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</si>
  <si>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</si>
  <si>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</si>
  <si>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</si>
  <si>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</si>
  <si>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</si>
  <si>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</si>
  <si>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</si>
  <si>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</si>
  <si>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</si>
  <si>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</si>
  <si>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</si>
  <si>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</si>
  <si>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</si>
  <si>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</si>
  <si>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</si>
  <si>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</si>
  <si>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</si>
  <si>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</si>
  <si>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</si>
  <si>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</si>
  <si>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</si>
  <si>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</si>
  <si>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</si>
  <si>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</si>
  <si>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</si>
  <si>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</si>
  <si>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</si>
  <si>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</si>
  <si>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</si>
  <si>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</si>
  <si>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</si>
  <si>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</si>
  <si>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</si>
  <si>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</si>
  <si>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</si>
  <si>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</si>
  <si>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</si>
  <si>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</si>
  <si>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</si>
  <si>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</si>
  <si>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</si>
  <si>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</si>
  <si>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</si>
  <si>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</si>
  <si>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</si>
  <si>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</si>
  <si>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</si>
  <si>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</si>
  <si>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</si>
  <si>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</si>
  <si>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</si>
  <si>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</si>
  <si>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</si>
  <si>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</si>
  <si>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</si>
  <si>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</si>
  <si>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</si>
  <si>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</si>
  <si>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</si>
  <si>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</si>
  <si>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</si>
  <si>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</si>
  <si>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</si>
  <si>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</si>
  <si>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</si>
  <si>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</si>
  <si>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</si>
  <si>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</si>
  <si>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</si>
  <si>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</si>
  <si>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</si>
  <si>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</si>
  <si>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</si>
  <si>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</si>
  <si>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</si>
  <si>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</si>
  <si>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</si>
  <si>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</si>
  <si>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</si>
  <si>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</si>
  <si>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</si>
  <si>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</si>
  <si>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</si>
  <si>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</si>
  <si>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</si>
  <si>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</si>
  <si>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</si>
  <si>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</si>
  <si>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</si>
  <si>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</si>
  <si>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</si>
  <si>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</si>
  <si>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</si>
  <si>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</si>
  <si>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</si>
  <si>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</si>
  <si>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</si>
  <si>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</si>
  <si>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</si>
  <si>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</si>
  <si>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</si>
  <si>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</si>
  <si>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</si>
  <si>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</si>
  <si>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</si>
  <si>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</si>
  <si>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</si>
  <si>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</si>
  <si>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</si>
  <si>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</si>
  <si>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</si>
  <si>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</si>
  <si>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</si>
  <si>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</si>
  <si>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</si>
  <si>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</si>
  <si>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</si>
  <si>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</si>
  <si>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</si>
  <si>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</si>
  <si>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</si>
  <si>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</si>
  <si>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</si>
  <si>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</si>
  <si>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</si>
  <si>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</si>
  <si>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</si>
  <si>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</si>
  <si>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</si>
  <si>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</si>
  <si>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</si>
  <si>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</si>
  <si>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</si>
  <si>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</si>
  <si>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</si>
  <si>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</si>
  <si>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</si>
  <si>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</si>
  <si>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</si>
  <si>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</si>
  <si>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</si>
  <si>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</si>
  <si>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</si>
  <si>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</si>
  <si>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</si>
  <si>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</si>
  <si>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</si>
  <si>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</si>
  <si>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</si>
  <si>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</si>
  <si>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</si>
  <si>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</si>
  <si>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</si>
  <si>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</si>
  <si>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</si>
  <si>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</si>
  <si>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</si>
  <si>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</si>
  <si>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</si>
  <si>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</si>
  <si>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</si>
  <si>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</si>
  <si>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</si>
  <si>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</si>
  <si>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</si>
  <si>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</si>
  <si>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</si>
  <si>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</si>
  <si>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</si>
  <si>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</si>
  <si>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</si>
  <si>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</si>
  <si>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</si>
  <si>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</si>
  <si>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</si>
  <si>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</si>
  <si>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</si>
  <si>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</si>
  <si>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</si>
  <si>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</si>
  <si>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</si>
  <si>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</si>
  <si>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</si>
  <si>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</si>
  <si>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</si>
  <si>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</si>
  <si>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</si>
  <si>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</si>
  <si>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</si>
  <si>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</si>
  <si>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</si>
  <si>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</si>
  <si>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</si>
  <si>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</si>
  <si>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</si>
  <si>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</si>
  <si>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</si>
  <si>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</si>
  <si>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</si>
  <si>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</si>
  <si>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</si>
  <si>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</si>
  <si>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</si>
  <si>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</si>
  <si>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</si>
  <si>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</si>
  <si>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</si>
  <si>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</si>
  <si>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</si>
  <si>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</si>
  <si>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</si>
  <si>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</si>
  <si>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</si>
  <si>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</si>
  <si>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</si>
  <si>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</si>
  <si>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</si>
  <si>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</si>
  <si>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</si>
  <si>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</si>
  <si>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</si>
  <si>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</si>
  <si>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</si>
  <si>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</si>
  <si>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</si>
  <si>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</si>
  <si>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</si>
  <si>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</si>
  <si>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</si>
  <si>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</si>
  <si>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</si>
  <si>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</si>
  <si>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</si>
  <si>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</si>
  <si>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</si>
  <si>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</si>
  <si>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</si>
  <si>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</si>
  <si>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</si>
  <si>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</si>
  <si>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</si>
  <si>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</si>
  <si>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</si>
  <si>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</si>
  <si>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</si>
  <si>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</si>
  <si>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</si>
  <si>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</si>
  <si>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</si>
  <si>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</si>
  <si>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</si>
  <si>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</si>
  <si>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</si>
  <si>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</si>
  <si>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</si>
  <si>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</si>
  <si>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</si>
  <si>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</si>
  <si>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</si>
  <si>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</si>
  <si>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</si>
  <si>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</si>
  <si>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</si>
  <si>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</si>
  <si>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</si>
  <si>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</si>
  <si>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</si>
  <si>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</si>
  <si>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</si>
  <si>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</si>
  <si>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</si>
  <si>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</si>
  <si>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</si>
  <si>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</si>
  <si>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</si>
  <si>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</si>
  <si>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</si>
  <si>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</si>
  <si>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</si>
  <si>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</si>
  <si>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</si>
  <si>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</si>
  <si>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</si>
  <si>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</si>
  <si>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</si>
  <si>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</si>
  <si>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</si>
  <si>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</si>
  <si>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</si>
  <si>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</si>
  <si>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</si>
  <si>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</si>
  <si>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</si>
  <si>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</si>
  <si>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</si>
  <si>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</si>
  <si>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</si>
  <si>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</si>
  <si>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</si>
  <si>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</si>
  <si>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</si>
  <si>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</si>
  <si>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</si>
  <si>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</si>
  <si>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</si>
  <si>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</si>
  <si>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</si>
  <si>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</si>
  <si>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</si>
  <si>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</si>
  <si>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</si>
  <si>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</si>
  <si>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</si>
  <si>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</si>
  <si>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</si>
  <si>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</si>
  <si>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</si>
  <si>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</si>
  <si>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</si>
  <si>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</si>
  <si>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</si>
  <si>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</si>
  <si>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</si>
  <si>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</si>
  <si>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</si>
  <si>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</si>
  <si>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</si>
  <si>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</si>
  <si>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</si>
  <si>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</si>
  <si>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</si>
  <si>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</si>
  <si>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</si>
  <si>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</si>
  <si>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</si>
  <si>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</si>
  <si>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</si>
  <si>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</si>
  <si>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</si>
  <si>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</si>
  <si>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</si>
  <si>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</si>
  <si>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</si>
  <si>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</si>
  <si>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</si>
  <si>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</si>
  <si>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</si>
  <si>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</si>
  <si>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</si>
  <si>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</si>
  <si>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</si>
  <si>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</si>
  <si>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</si>
  <si>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</si>
  <si>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</si>
  <si>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</si>
  <si>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</si>
  <si>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</si>
  <si>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</si>
  <si>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</si>
  <si>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</si>
  <si>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</si>
  <si>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</si>
  <si>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</si>
  <si>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</si>
  <si>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</si>
  <si>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</si>
  <si>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</si>
  <si>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</si>
  <si>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</si>
  <si>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</si>
  <si>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</si>
  <si>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</si>
  <si>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</si>
  <si>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</si>
  <si>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</si>
  <si>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</si>
  <si>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</si>
  <si>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</si>
  <si>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</si>
  <si>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</si>
  <si>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</si>
  <si>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</si>
  <si>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</si>
  <si>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</si>
  <si>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</si>
  <si>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</si>
  <si>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</si>
  <si>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</si>
  <si>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</si>
  <si>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</si>
  <si>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</si>
  <si>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</si>
  <si>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</si>
  <si>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</si>
  <si>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</si>
  <si>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</si>
  <si>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</si>
  <si>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</si>
  <si>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</si>
  <si>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</si>
  <si>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</si>
  <si>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</si>
  <si>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</si>
  <si>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</si>
  <si>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</si>
  <si>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</si>
  <si>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</si>
  <si>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</si>
  <si>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</si>
  <si>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</si>
  <si>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</si>
  <si>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</si>
  <si>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</si>
  <si>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</si>
  <si>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</si>
  <si>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</si>
  <si>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</si>
  <si>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</si>
  <si>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</si>
  <si>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</si>
  <si>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</si>
  <si>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</si>
  <si>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</si>
  <si>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</si>
  <si>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</si>
  <si>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</si>
  <si>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</si>
  <si>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</si>
  <si>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</si>
  <si>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</si>
  <si>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</si>
  <si>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</si>
  <si>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</si>
  <si>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</si>
  <si>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</si>
  <si>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</si>
  <si>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</si>
  <si>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</si>
  <si>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</si>
  <si>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</si>
  <si>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</si>
  <si>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</si>
  <si>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</si>
  <si>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</si>
  <si>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</si>
  <si>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</si>
  <si>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</si>
  <si>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</si>
  <si>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</si>
  <si>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</si>
  <si>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</si>
  <si>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</si>
  <si>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</si>
  <si>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</si>
  <si>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</si>
  <si>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</si>
  <si>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</si>
  <si>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</si>
  <si>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</si>
  <si>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</si>
  <si>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</si>
  <si>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</si>
  <si>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</si>
  <si>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</si>
  <si>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</si>
  <si>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</si>
  <si>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</si>
  <si>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</si>
  <si>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</si>
  <si>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</si>
  <si>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</si>
  <si>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</si>
  <si>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</si>
  <si>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</si>
  <si>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</si>
  <si>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</si>
  <si>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</si>
  <si>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</si>
  <si>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</si>
  <si>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</si>
  <si>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</si>
  <si>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</si>
  <si>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</si>
  <si>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</si>
  <si>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</si>
  <si>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</si>
  <si>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</si>
  <si>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</si>
  <si>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</si>
  <si>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</si>
  <si>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</si>
  <si>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</si>
  <si>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</si>
  <si>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</si>
  <si>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</si>
  <si>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</si>
  <si>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</si>
  <si>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</si>
  <si>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</si>
  <si>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</si>
  <si>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</si>
  <si>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</si>
  <si>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</si>
  <si>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</si>
  <si>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</si>
  <si>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</si>
  <si>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</si>
  <si>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</si>
  <si>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</si>
  <si>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</si>
  <si>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</si>
  <si>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</si>
  <si>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</si>
  <si>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</si>
  <si>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</si>
  <si>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</si>
  <si>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</si>
  <si>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</si>
  <si>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</si>
  <si>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</si>
  <si>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</si>
  <si>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</si>
  <si>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</si>
  <si>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</si>
  <si>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</si>
  <si>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</si>
  <si>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</si>
  <si>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</si>
  <si>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</si>
  <si>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</si>
  <si>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</si>
  <si>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</si>
  <si>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</si>
  <si>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</si>
  <si>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</si>
  <si>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</si>
  <si>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</si>
  <si>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</si>
  <si>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</si>
  <si>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</si>
  <si>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</si>
  <si>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</si>
  <si>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</si>
  <si>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</si>
  <si>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</si>
  <si>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</si>
  <si>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</si>
  <si>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</si>
  <si>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</si>
  <si>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</si>
  <si>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</si>
  <si>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</si>
  <si>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</si>
  <si>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</si>
  <si>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</si>
  <si>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</si>
  <si>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</si>
  <si>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</si>
  <si>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</si>
  <si>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</si>
  <si>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</si>
  <si>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</si>
  <si>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</si>
  <si>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</si>
  <si>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</si>
  <si>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</si>
  <si>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</si>
  <si>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</si>
  <si>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</si>
  <si>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</si>
  <si>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</si>
  <si>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</si>
  <si>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</si>
  <si>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</si>
  <si>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</si>
  <si>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</si>
  <si>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</si>
  <si>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</si>
  <si>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</si>
  <si>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</si>
  <si>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</si>
  <si>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</si>
  <si>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</si>
  <si>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</si>
  <si>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</si>
  <si>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</si>
  <si>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</si>
  <si>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</si>
  <si>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</si>
  <si>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</si>
  <si>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</si>
  <si>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</si>
  <si>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</si>
  <si>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</si>
  <si>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</si>
  <si>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</si>
  <si>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</si>
  <si>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</si>
  <si>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</si>
  <si>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</si>
  <si>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</si>
  <si>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</si>
  <si>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</si>
  <si>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</si>
  <si>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</si>
  <si>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</si>
  <si>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</si>
  <si>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</si>
  <si>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</si>
  <si>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</si>
  <si>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</si>
  <si>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</si>
  <si>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</si>
  <si>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</si>
  <si>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</si>
  <si>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</si>
  <si>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</si>
  <si>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</si>
  <si>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</si>
  <si>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</si>
  <si>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</si>
  <si>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</si>
  <si>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</si>
  <si>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</si>
  <si>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</si>
  <si>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</si>
  <si>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</si>
  <si>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</si>
  <si>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</si>
  <si>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</si>
  <si>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</si>
  <si>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</si>
  <si>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</si>
  <si>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</si>
  <si>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</si>
  <si>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</si>
  <si>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</si>
  <si>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</si>
  <si>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</si>
  <si>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</si>
  <si>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</si>
  <si>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</si>
  <si>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</si>
  <si>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</si>
  <si>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</si>
  <si>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</si>
  <si>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</si>
  <si>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</si>
  <si>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</si>
  <si>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</si>
  <si>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</si>
  <si>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</si>
  <si>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</si>
  <si>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</si>
  <si>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</si>
  <si>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</si>
  <si>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</si>
  <si>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</si>
  <si>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</si>
  <si>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</si>
  <si>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</si>
  <si>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</si>
  <si>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</si>
  <si>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</si>
  <si>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</si>
  <si>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</si>
  <si>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</si>
  <si>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</si>
  <si>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</si>
  <si>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</si>
  <si>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</si>
  <si>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</si>
  <si>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</si>
  <si>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</si>
  <si>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</si>
  <si>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</si>
  <si>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</si>
  <si>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</si>
  <si>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</si>
  <si>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</si>
  <si>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</si>
  <si>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</si>
  <si>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</si>
  <si>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</si>
  <si>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</si>
  <si>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</si>
  <si>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</si>
  <si>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</si>
  <si>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</si>
  <si>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</si>
  <si>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</si>
  <si>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</si>
  <si>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</si>
  <si>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</si>
  <si>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</si>
  <si>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</si>
  <si>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</si>
  <si>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</si>
  <si>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</si>
  <si>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</si>
  <si>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</si>
  <si>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</si>
  <si>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</si>
  <si>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</si>
  <si>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</si>
  <si>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</si>
  <si>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</si>
  <si>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</si>
  <si>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</si>
  <si>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</si>
  <si>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</si>
  <si>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</si>
  <si>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</si>
  <si>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</si>
  <si>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</si>
  <si>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</si>
  <si>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</si>
  <si>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</si>
  <si>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</si>
  <si>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</si>
  <si>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</si>
  <si>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</si>
  <si>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</si>
  <si>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</si>
  <si>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</si>
  <si>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</si>
  <si>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</si>
  <si>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</si>
  <si>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</si>
  <si>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</si>
  <si>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</si>
  <si>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</si>
  <si>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</si>
  <si>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</si>
  <si>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</si>
  <si>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</si>
  <si>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</si>
  <si>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</si>
  <si>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</si>
  <si>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</si>
  <si>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</si>
  <si>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</si>
  <si>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</si>
  <si>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</si>
  <si>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</si>
  <si>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</si>
  <si>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</si>
  <si>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</si>
  <si>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</si>
  <si>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</si>
  <si>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</si>
  <si>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</si>
  <si>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</si>
  <si>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</si>
  <si>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</si>
  <si>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</si>
  <si>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</si>
  <si>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</si>
  <si>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</si>
  <si>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</si>
  <si>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</si>
  <si>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</si>
  <si>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</si>
  <si>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</si>
  <si>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</si>
  <si>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</si>
  <si>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</si>
  <si>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</si>
  <si>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</si>
  <si>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</si>
  <si>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</si>
  <si>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</si>
  <si>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</si>
  <si>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</si>
  <si>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</si>
  <si>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</si>
  <si>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</si>
  <si>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</si>
  <si>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</si>
  <si>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</si>
  <si>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</si>
  <si>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</si>
  <si>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</si>
  <si>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</si>
  <si>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</si>
  <si>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</si>
  <si>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</si>
  <si>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</si>
  <si>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</si>
  <si>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</si>
  <si>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</si>
  <si>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</si>
  <si>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</si>
  <si>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</si>
  <si>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</si>
  <si>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</si>
  <si>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</si>
  <si>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</si>
  <si>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</si>
  <si>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</si>
  <si>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</si>
  <si>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</si>
  <si>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</si>
  <si>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</si>
  <si>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</si>
  <si>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</si>
  <si>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</si>
  <si>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</si>
  <si>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</si>
  <si>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</si>
  <si>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</si>
  <si>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</si>
  <si>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</si>
  <si>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</si>
  <si>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</si>
  <si>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</si>
  <si>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</si>
  <si>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</si>
  <si>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</si>
  <si>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</si>
  <si>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</si>
  <si>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</si>
  <si>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</si>
  <si>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</si>
  <si>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</si>
  <si>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</si>
  <si>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</si>
  <si>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</si>
  <si>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</si>
  <si>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</si>
  <si>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</si>
  <si>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</si>
  <si>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</si>
  <si>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</si>
  <si>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</si>
  <si>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</si>
  <si>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</si>
  <si>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</si>
  <si>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</si>
  <si>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</si>
  <si>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</si>
  <si>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</si>
  <si>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</si>
  <si>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</si>
  <si>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</si>
  <si>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</si>
  <si>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</si>
  <si>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</si>
  <si>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</si>
  <si>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</si>
  <si>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</si>
  <si>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</si>
  <si>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</si>
  <si>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</si>
  <si>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</si>
  <si>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</si>
  <si>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</si>
  <si>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</si>
  <si>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</si>
  <si>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</si>
  <si>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</si>
  <si>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</si>
  <si>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</si>
  <si>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</si>
  <si>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</si>
  <si>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</si>
  <si>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</si>
  <si>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</si>
  <si>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</si>
  <si>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</si>
  <si>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</si>
  <si>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</si>
  <si>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</si>
  <si>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</si>
  <si>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</si>
  <si>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</si>
  <si>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</si>
  <si>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</si>
  <si>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</si>
  <si>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</si>
  <si>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</si>
  <si>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</si>
  <si>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</si>
  <si>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</si>
  <si>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</si>
  <si>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</si>
  <si>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</si>
  <si>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</si>
  <si>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</si>
  <si>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</si>
  <si>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</si>
  <si>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</si>
  <si>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</si>
  <si>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</si>
  <si>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</si>
  <si>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</si>
  <si>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</si>
  <si>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</si>
  <si>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</si>
  <si>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</si>
  <si>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</si>
  <si>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</si>
  <si>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</si>
  <si>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</si>
  <si>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</si>
  <si>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</si>
  <si>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</si>
  <si>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</si>
  <si>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</si>
  <si>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</si>
  <si>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</si>
  <si>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</si>
  <si>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</si>
  <si>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</si>
  <si>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</si>
  <si>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</si>
  <si>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</si>
  <si>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</si>
  <si>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</si>
  <si>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</si>
  <si>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</si>
  <si>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</si>
  <si>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</si>
  <si>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</si>
  <si>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</si>
  <si>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</si>
  <si>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</si>
  <si>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</si>
  <si>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</si>
  <si>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</si>
  <si>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</si>
  <si>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</si>
  <si>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</si>
  <si>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</si>
  <si>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</si>
  <si>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</si>
  <si>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</si>
  <si>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</si>
  <si>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</si>
  <si>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</si>
  <si>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</si>
  <si>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</si>
  <si>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</si>
  <si>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</si>
  <si>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</si>
  <si>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</si>
  <si>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</si>
  <si>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</si>
  <si>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</si>
  <si>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</si>
  <si>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</si>
  <si>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</si>
  <si>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</si>
  <si>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</si>
  <si>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</si>
  <si>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</si>
  <si>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</si>
  <si>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</si>
  <si>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</si>
  <si>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</si>
  <si>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</si>
  <si>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</si>
  <si>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</si>
  <si>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</si>
  <si>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</si>
  <si>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</si>
  <si>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</si>
  <si>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</si>
  <si>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</si>
  <si>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</si>
  <si>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</si>
  <si>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</si>
  <si>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</si>
  <si>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</si>
  <si>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</si>
  <si>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</si>
  <si>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</si>
  <si>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</si>
  <si>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</si>
  <si>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</si>
  <si>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</si>
  <si>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</si>
  <si>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</si>
  <si>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</si>
  <si>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</si>
  <si>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</si>
  <si>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</si>
  <si>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</si>
  <si>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</si>
  <si>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</si>
  <si>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</si>
  <si>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</si>
  <si>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</si>
  <si>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</si>
  <si>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</si>
  <si>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</si>
  <si>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</si>
  <si>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</si>
  <si>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</si>
  <si>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</si>
  <si>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</si>
  <si>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</si>
  <si>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</si>
  <si>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</si>
  <si>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</si>
  <si>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</si>
  <si>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</si>
  <si>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</si>
  <si>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</si>
  <si>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</si>
  <si>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</si>
  <si>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</si>
  <si>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</si>
  <si>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</si>
  <si>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</si>
  <si>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</si>
  <si>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</si>
  <si>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</si>
  <si>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</si>
  <si>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</si>
  <si>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</si>
  <si>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</si>
  <si>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</si>
  <si>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</si>
  <si>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</si>
  <si>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</si>
  <si>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</si>
  <si>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</si>
  <si>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</si>
  <si>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</si>
  <si>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</si>
  <si>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</si>
  <si>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</si>
  <si>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</si>
  <si>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</si>
  <si>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</si>
  <si>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</si>
  <si>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</si>
  <si>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</si>
  <si>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</si>
  <si>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</si>
  <si>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</si>
  <si>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</si>
  <si>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</si>
  <si>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</si>
  <si>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</si>
  <si>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</si>
  <si>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</si>
  <si>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</si>
  <si>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</si>
  <si>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</si>
  <si>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</si>
  <si>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</si>
  <si>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</si>
  <si>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</si>
  <si>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</si>
  <si>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</si>
  <si>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</si>
  <si>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</si>
  <si>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</si>
  <si>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</si>
  <si>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</si>
  <si>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</si>
  <si>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</si>
  <si>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</si>
  <si>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</si>
  <si>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</si>
  <si>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</si>
  <si>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</si>
  <si>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>4647279#1</t>
  </si>
  <si>
    <t>Hasaingenieros</t>
  </si>
  <si>
    <t>491717#1</t>
  </si>
  <si>
    <t>Global Intimates</t>
  </si>
  <si>
    <t>4544141#1</t>
  </si>
  <si>
    <t>Evita's cabinets</t>
  </si>
  <si>
    <t>1678727#1</t>
  </si>
  <si>
    <t>Segura Julian Matias</t>
  </si>
  <si>
    <t>4602471#1</t>
  </si>
  <si>
    <t>Renta equipos AS</t>
  </si>
  <si>
    <t>242468#3</t>
  </si>
  <si>
    <t>Prodismo S.R.L</t>
  </si>
  <si>
    <t>4631125#1</t>
  </si>
  <si>
    <t>Alkimiamx</t>
  </si>
  <si>
    <t>711103#1</t>
  </si>
  <si>
    <t>Obrando</t>
  </si>
  <si>
    <t>4531902#1</t>
  </si>
  <si>
    <t>Esing</t>
  </si>
  <si>
    <t>4566628#1</t>
  </si>
  <si>
    <t>Pruebaunivalle</t>
  </si>
  <si>
    <t>3259214#1</t>
  </si>
  <si>
    <t>Cristian Rodriguez Miranda</t>
  </si>
  <si>
    <t>1858096#1</t>
  </si>
  <si>
    <t>Stop Jeans</t>
  </si>
  <si>
    <t>4422409#1</t>
  </si>
  <si>
    <t>Adarquitectura</t>
  </si>
  <si>
    <t>4535875#1</t>
  </si>
  <si>
    <t>Arquiframme</t>
  </si>
  <si>
    <t>4568128#1</t>
  </si>
  <si>
    <t>Arteplac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</si>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</sst>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42218ba-238b-4960-8a2d-c315e4f2983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02471#1"/>
        <s v="4631125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Renta equipos AS"/>
        <s v="Alkimiamx"/>
        <m/>
      </sharedItems>
    </cacheField>
    <cacheField name="Country" numFmtId="0">
      <sharedItems containsBlank="1">
        <s v="Mexico"/>
        <s v="Nicaragua"/>
        <s v="Panama"/>
        <m/>
      </sharedItems>
    </cacheField>
    <cacheField name="Investigator" numFmtId="0">
      <sharedItems containsBlank="1">
        <s v="Francisco"/>
        <s v="Maria Celeste"/>
        <s v="Antonella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axis="axisRow" dataField="1" compact="0" outline="0" multipleItemSelectionAllowed="1" showAll="0" sortType="ascending">
      <items>
        <item x="3"/>
        <item x="0"/>
        <item x="1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42218ba-238b-4960-8a2d-c315e4f29838}" id="{a45be7a0-a829-408a-b61f-dc26b995f1b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6</v>
      </c>
      <c r="F19" s="246">
        <f t="shared" ref="F19:F21" si="1">C19-E19</f>
        <v>24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7</v>
      </c>
      <c r="L19" s="33">
        <f t="shared" ref="L19:L23" si="2">I19-K19</f>
        <v>-2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</v>
      </c>
      <c r="F20" s="246">
        <f t="shared" si="1"/>
        <v>14</v>
      </c>
      <c r="G20" s="10"/>
      <c r="H20" s="22" t="s">
        <v>18</v>
      </c>
      <c r="I20" s="36">
        <v>10.0</v>
      </c>
      <c r="J20" s="10"/>
      <c r="K20" s="33">
        <f>SUMIF($K$4:$K$17, H20,$L$4:$L$17)</f>
        <v>3</v>
      </c>
      <c r="L20" s="33">
        <f t="shared" si="2"/>
        <v>7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</v>
      </c>
      <c r="F21" s="246">
        <f t="shared" si="1"/>
        <v>14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5</v>
      </c>
      <c r="L21" s="33">
        <f t="shared" si="2"/>
        <v>15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5</v>
      </c>
      <c r="L22" s="33">
        <f t="shared" si="2"/>
        <v>10</v>
      </c>
    </row>
    <row r="23" outlineLevel="1">
      <c r="D23" s="10"/>
      <c r="E23" s="37" t="s">
        <v>41</v>
      </c>
      <c r="F23" s="38">
        <f>SUM(F19:F21)</f>
        <v>52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2</v>
      </c>
      <c r="L23" s="33">
        <f t="shared" si="2"/>
        <v>8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3669</v>
      </c>
      <c r="D3" s="273" t="s">
        <v>3670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3671</v>
      </c>
      <c r="L3" s="109" t="s">
        <v>3672</v>
      </c>
      <c r="M3" s="58" t="s">
        <v>18</v>
      </c>
      <c r="N3" s="58" t="s">
        <v>20</v>
      </c>
      <c r="O3" s="61"/>
      <c r="P3" s="298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3673</v>
      </c>
      <c r="D4" s="373" t="s">
        <v>3674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3675</v>
      </c>
      <c r="L4" s="317" t="s">
        <v>3676</v>
      </c>
      <c r="M4" s="58" t="s">
        <v>18</v>
      </c>
      <c r="N4" s="58" t="s">
        <v>20</v>
      </c>
      <c r="O4" s="61"/>
      <c r="P4" s="298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3677</v>
      </c>
      <c r="D5" s="373" t="s">
        <v>3678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3679</v>
      </c>
      <c r="L5" s="109" t="s">
        <v>3680</v>
      </c>
      <c r="M5" s="58" t="s">
        <v>27</v>
      </c>
      <c r="N5" s="58" t="s">
        <v>20</v>
      </c>
      <c r="O5" s="61"/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3681</v>
      </c>
      <c r="D6" s="273" t="s">
        <v>3682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3683</v>
      </c>
      <c r="L6" s="109" t="s">
        <v>3684</v>
      </c>
      <c r="M6" s="58" t="s">
        <v>27</v>
      </c>
      <c r="N6" s="58" t="s">
        <v>20</v>
      </c>
      <c r="O6" s="61"/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3685</v>
      </c>
      <c r="D7" s="373" t="s">
        <v>3686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3687</v>
      </c>
      <c r="L7" s="109" t="s">
        <v>3688</v>
      </c>
      <c r="M7" s="58" t="s">
        <v>11</v>
      </c>
      <c r="N7" s="58" t="s">
        <v>20</v>
      </c>
      <c r="O7" s="61"/>
      <c r="P7" s="298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312" t="s">
        <v>3689</v>
      </c>
      <c r="D8" s="457" t="s">
        <v>3690</v>
      </c>
      <c r="E8" s="58" t="s">
        <v>24</v>
      </c>
      <c r="F8" s="58" t="s">
        <v>2349</v>
      </c>
      <c r="G8" s="61"/>
      <c r="H8" s="269"/>
      <c r="J8" s="270">
        <v>46174.0</v>
      </c>
      <c r="K8" s="109" t="s">
        <v>3691</v>
      </c>
      <c r="L8" s="109" t="s">
        <v>3692</v>
      </c>
      <c r="M8" s="58" t="s">
        <v>11</v>
      </c>
      <c r="N8" s="58" t="s">
        <v>20</v>
      </c>
      <c r="O8" s="61"/>
      <c r="P8" s="298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3693</v>
      </c>
      <c r="D9" s="458" t="s">
        <v>3694</v>
      </c>
      <c r="E9" s="58" t="s">
        <v>22</v>
      </c>
      <c r="F9" s="58" t="s">
        <v>12</v>
      </c>
      <c r="G9" s="61"/>
      <c r="H9" s="269"/>
      <c r="J9" s="270">
        <v>46174.0</v>
      </c>
      <c r="K9" s="109" t="s">
        <v>3695</v>
      </c>
      <c r="L9" s="109" t="s">
        <v>3696</v>
      </c>
      <c r="M9" s="58" t="s">
        <v>11</v>
      </c>
      <c r="N9" s="58" t="s">
        <v>20</v>
      </c>
      <c r="O9" s="61"/>
      <c r="P9" s="298"/>
      <c r="R9" s="459"/>
      <c r="S9" s="460"/>
      <c r="T9" s="450"/>
      <c r="U9" s="452"/>
      <c r="V9" s="461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2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403">
        <v>46174.0</v>
      </c>
      <c r="K10" s="294" t="s">
        <v>3697</v>
      </c>
      <c r="L10" s="294" t="s">
        <v>3698</v>
      </c>
      <c r="M10" s="295" t="s">
        <v>27</v>
      </c>
      <c r="N10" s="295" t="s">
        <v>2337</v>
      </c>
      <c r="O10" s="61"/>
      <c r="P10" s="298"/>
      <c r="R10" s="459"/>
      <c r="S10" s="463"/>
      <c r="T10" s="463"/>
      <c r="U10" s="464"/>
      <c r="V10" s="465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4"/>
      <c r="AT10" s="452"/>
      <c r="AU10" s="109"/>
      <c r="AV10" s="298"/>
      <c r="AX10" s="379"/>
      <c r="AY10" s="384"/>
      <c r="AZ10" s="466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401">
        <v>46174.0</v>
      </c>
      <c r="K11" s="273" t="s">
        <v>3699</v>
      </c>
      <c r="L11" s="273" t="s">
        <v>3700</v>
      </c>
      <c r="M11" s="274" t="s">
        <v>15</v>
      </c>
      <c r="N11" s="274" t="s">
        <v>2337</v>
      </c>
      <c r="O11" s="61"/>
      <c r="P11" s="298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7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403">
        <v>46174.0</v>
      </c>
      <c r="K12" s="294" t="s">
        <v>3701</v>
      </c>
      <c r="L12" s="294" t="s">
        <v>3702</v>
      </c>
      <c r="M12" s="295" t="s">
        <v>18</v>
      </c>
      <c r="N12" s="295" t="s">
        <v>2337</v>
      </c>
      <c r="O12" s="61"/>
      <c r="P12" s="298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401">
        <v>46174.0</v>
      </c>
      <c r="K13" s="273" t="s">
        <v>3703</v>
      </c>
      <c r="L13" s="273" t="s">
        <v>3704</v>
      </c>
      <c r="M13" s="274" t="s">
        <v>27</v>
      </c>
      <c r="N13" s="274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7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403">
        <v>46174.0</v>
      </c>
      <c r="K14" s="294" t="s">
        <v>3705</v>
      </c>
      <c r="L14" s="294" t="s">
        <v>3706</v>
      </c>
      <c r="M14" s="295" t="s">
        <v>27</v>
      </c>
      <c r="N14" s="295" t="s">
        <v>2337</v>
      </c>
      <c r="O14" s="61"/>
      <c r="P14" s="298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8"/>
      <c r="BG14" s="453"/>
      <c r="BH14" s="453"/>
      <c r="BI14" s="469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401">
        <v>46174.0</v>
      </c>
      <c r="K15" s="273" t="s">
        <v>3707</v>
      </c>
      <c r="L15" s="273" t="s">
        <v>3708</v>
      </c>
      <c r="M15" s="274" t="s">
        <v>11</v>
      </c>
      <c r="N15" s="274" t="s">
        <v>2337</v>
      </c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2"/>
      <c r="BA15" s="58"/>
      <c r="BB15" s="58"/>
      <c r="BC15" s="61"/>
      <c r="BD15" s="269"/>
      <c r="BF15" s="470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403">
        <v>46174.0</v>
      </c>
      <c r="K16" s="294" t="s">
        <v>3709</v>
      </c>
      <c r="L16" s="294" t="s">
        <v>3710</v>
      </c>
      <c r="M16" s="295" t="s">
        <v>11</v>
      </c>
      <c r="N16" s="295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8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401">
        <v>46174.0</v>
      </c>
      <c r="K17" s="273" t="s">
        <v>3711</v>
      </c>
      <c r="L17" s="273" t="s">
        <v>3712</v>
      </c>
      <c r="M17" s="274" t="s">
        <v>23</v>
      </c>
      <c r="N17" s="274" t="s">
        <v>2337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2"/>
      <c r="BA17" s="58"/>
      <c r="BB17" s="58"/>
      <c r="BC17" s="61"/>
      <c r="BD17" s="269"/>
      <c r="BF17" s="470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380">
        <v>46174.0</v>
      </c>
      <c r="K18" s="294" t="s">
        <v>3713</v>
      </c>
      <c r="L18" s="294" t="s">
        <v>3714</v>
      </c>
      <c r="M18" s="381" t="s">
        <v>11</v>
      </c>
      <c r="N18" s="404" t="s">
        <v>2338</v>
      </c>
      <c r="O18" s="61"/>
      <c r="P18" s="298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2"/>
      <c r="BA18" s="58"/>
      <c r="BB18" s="58"/>
      <c r="BC18" s="61"/>
      <c r="BD18" s="269"/>
      <c r="BF18" s="449"/>
      <c r="BG18" s="450"/>
      <c r="BH18" s="450"/>
      <c r="BI18" s="452"/>
      <c r="BJ18" s="471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382">
        <v>46174.0</v>
      </c>
      <c r="K19" s="273" t="s">
        <v>3715</v>
      </c>
      <c r="L19" s="273" t="s">
        <v>3716</v>
      </c>
      <c r="M19" s="399" t="s">
        <v>11</v>
      </c>
      <c r="N19" s="410" t="s">
        <v>2338</v>
      </c>
      <c r="O19" s="61"/>
      <c r="P19" s="298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2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380">
        <v>46174.0</v>
      </c>
      <c r="K20" s="294" t="s">
        <v>3717</v>
      </c>
      <c r="L20" s="294" t="s">
        <v>3718</v>
      </c>
      <c r="M20" s="441" t="s">
        <v>23</v>
      </c>
      <c r="N20" s="404" t="s">
        <v>2338</v>
      </c>
      <c r="O20" s="109"/>
      <c r="P20" s="298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8"/>
      <c r="AQ20" s="453"/>
      <c r="AR20" s="453"/>
      <c r="AS20" s="469"/>
      <c r="AT20" s="455"/>
      <c r="AU20" s="472"/>
      <c r="AV20" s="269"/>
      <c r="AX20" s="270"/>
      <c r="AY20" s="384"/>
      <c r="AZ20" s="462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382">
        <v>46174.0</v>
      </c>
      <c r="K21" s="273" t="s">
        <v>3719</v>
      </c>
      <c r="L21" s="273" t="s">
        <v>3720</v>
      </c>
      <c r="M21" s="399" t="s">
        <v>23</v>
      </c>
      <c r="N21" s="274" t="s">
        <v>2338</v>
      </c>
      <c r="O21" s="61"/>
      <c r="P21" s="298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70"/>
      <c r="AQ21" s="450"/>
      <c r="AR21" s="450"/>
      <c r="AS21" s="473"/>
      <c r="AT21" s="452"/>
      <c r="AU21" s="474"/>
      <c r="AV21" s="269"/>
      <c r="AX21" s="270"/>
      <c r="AY21" s="384"/>
      <c r="AZ21" s="462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380">
        <v>46174.0</v>
      </c>
      <c r="K22" s="294" t="s">
        <v>3721</v>
      </c>
      <c r="L22" s="294" t="s">
        <v>3722</v>
      </c>
      <c r="M22" s="441" t="s">
        <v>23</v>
      </c>
      <c r="N22" s="406" t="s">
        <v>2338</v>
      </c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8"/>
      <c r="AQ22" s="453"/>
      <c r="AR22" s="453"/>
      <c r="AS22" s="469"/>
      <c r="AT22" s="455"/>
      <c r="AU22" s="472"/>
      <c r="AV22" s="269"/>
      <c r="AX22" s="270"/>
      <c r="AY22" s="384"/>
      <c r="AZ22" s="475"/>
      <c r="BA22" s="58"/>
      <c r="BB22" s="58"/>
      <c r="BC22" s="61"/>
      <c r="BD22" s="269"/>
      <c r="BF22" s="468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382">
        <v>46174.0</v>
      </c>
      <c r="K23" s="273" t="s">
        <v>3723</v>
      </c>
      <c r="L23" s="273" t="s">
        <v>3724</v>
      </c>
      <c r="M23" s="274" t="s">
        <v>23</v>
      </c>
      <c r="N23" s="274" t="s">
        <v>2338</v>
      </c>
      <c r="O23" s="61"/>
      <c r="P23" s="298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70"/>
      <c r="AQ23" s="450"/>
      <c r="AR23" s="450"/>
      <c r="AS23" s="473"/>
      <c r="AT23" s="452"/>
      <c r="AU23" s="474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8"/>
      <c r="AQ24" s="453"/>
      <c r="AR24" s="453"/>
      <c r="AS24" s="469"/>
      <c r="AT24" s="455"/>
      <c r="AU24" s="472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7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4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7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70"/>
      <c r="AQ28" s="450"/>
      <c r="AR28" s="450"/>
      <c r="AS28" s="473"/>
      <c r="AT28" s="452"/>
      <c r="AU28" s="474"/>
      <c r="AV28" s="269"/>
      <c r="AX28" s="270"/>
      <c r="AY28" s="450"/>
      <c r="AZ28" s="476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8"/>
      <c r="AQ29" s="453"/>
      <c r="AR29" s="453"/>
      <c r="AS29" s="469"/>
      <c r="AT29" s="455"/>
      <c r="AU29" s="472"/>
      <c r="AV29" s="269"/>
      <c r="AX29" s="270"/>
      <c r="AY29" s="453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70"/>
      <c r="AQ30" s="450"/>
      <c r="AR30" s="450"/>
      <c r="AS30" s="473"/>
      <c r="AT30" s="452"/>
      <c r="AU30" s="474"/>
      <c r="AV30" s="269"/>
      <c r="AX30" s="270"/>
      <c r="AY30" s="450"/>
      <c r="AZ30" s="476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8"/>
      <c r="AQ31" s="453"/>
      <c r="AR31" s="453"/>
      <c r="AS31" s="455"/>
      <c r="AT31" s="455"/>
      <c r="AU31" s="478"/>
      <c r="AV31" s="298"/>
      <c r="AX31" s="270"/>
      <c r="AY31" s="453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2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70"/>
      <c r="AI32" s="450"/>
      <c r="AJ32" s="450"/>
      <c r="AK32" s="473"/>
      <c r="AL32" s="452"/>
      <c r="AM32" s="61"/>
      <c r="AN32" s="269"/>
      <c r="AP32" s="449"/>
      <c r="AQ32" s="450"/>
      <c r="AR32" s="450"/>
      <c r="AS32" s="467"/>
      <c r="AT32" s="452"/>
      <c r="AU32" s="479"/>
      <c r="AV32" s="269"/>
      <c r="AX32" s="270"/>
      <c r="AY32" s="450"/>
      <c r="AZ32" s="476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80"/>
      <c r="AA33" s="481"/>
      <c r="AB33" s="482"/>
      <c r="AC33" s="483"/>
      <c r="AD33" s="484"/>
      <c r="AE33" s="61"/>
      <c r="AF33" s="269"/>
      <c r="AH33" s="468"/>
      <c r="AI33" s="453"/>
      <c r="AJ33" s="453"/>
      <c r="AK33" s="469"/>
      <c r="AL33" s="455"/>
      <c r="AM33" s="61"/>
      <c r="AN33" s="269"/>
      <c r="AP33" s="449"/>
      <c r="AQ33" s="453"/>
      <c r="AR33" s="453"/>
      <c r="AS33" s="464"/>
      <c r="AT33" s="455"/>
      <c r="AU33" s="460"/>
      <c r="AV33" s="298"/>
      <c r="AX33" s="270"/>
      <c r="AY33" s="453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5"/>
      <c r="U34" s="58"/>
      <c r="V34" s="58"/>
      <c r="W34" s="61"/>
      <c r="X34" s="269"/>
      <c r="Z34" s="480"/>
      <c r="AA34" s="481"/>
      <c r="AB34" s="481"/>
      <c r="AC34" s="486"/>
      <c r="AD34" s="487"/>
      <c r="AE34" s="61"/>
      <c r="AF34" s="269"/>
      <c r="AH34" s="470"/>
      <c r="AI34" s="450"/>
      <c r="AJ34" s="450"/>
      <c r="AK34" s="452"/>
      <c r="AL34" s="452"/>
      <c r="AM34" s="109"/>
      <c r="AN34" s="269"/>
      <c r="AP34" s="449"/>
      <c r="AQ34" s="450"/>
      <c r="AR34" s="450"/>
      <c r="AS34" s="467"/>
      <c r="AT34" s="452"/>
      <c r="AU34" s="488"/>
      <c r="AV34" s="298"/>
      <c r="AX34" s="270"/>
      <c r="AY34" s="450"/>
      <c r="AZ34" s="476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4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7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6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6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7"/>
      <c r="BA39" s="58"/>
      <c r="BB39" s="58"/>
      <c r="BC39" s="61"/>
      <c r="BD39" s="269"/>
      <c r="BF39" s="449"/>
      <c r="BG39" s="450"/>
      <c r="BH39" s="450"/>
      <c r="BI39" s="451"/>
      <c r="BJ39" s="471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6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7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6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7"/>
      <c r="BA43" s="58"/>
      <c r="BB43" s="58"/>
      <c r="BC43" s="61"/>
      <c r="BD43" s="269"/>
      <c r="BF43" s="470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8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70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8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8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2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2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9"/>
      <c r="AI50" s="453"/>
      <c r="AJ50" s="453"/>
      <c r="AK50" s="469"/>
      <c r="AL50" s="455"/>
      <c r="AM50" s="61"/>
      <c r="AN50" s="269"/>
      <c r="AP50" s="449"/>
      <c r="AQ50" s="450"/>
      <c r="AR50" s="482"/>
      <c r="AS50" s="467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6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90"/>
      <c r="AI51" s="450"/>
      <c r="AJ51" s="450"/>
      <c r="AK51" s="473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2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9"/>
      <c r="AI52" s="453"/>
      <c r="AJ52" s="453"/>
      <c r="AK52" s="469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0"/>
      <c r="AJ53" s="450"/>
      <c r="AK53" s="473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9"/>
      <c r="AI54" s="453"/>
      <c r="AJ54" s="453"/>
      <c r="AK54" s="469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3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91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4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7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91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4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0"/>
      <c r="AJ59" s="450"/>
      <c r="AK59" s="473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8"/>
      <c r="AI60" s="453"/>
      <c r="AJ60" s="453"/>
      <c r="AK60" s="469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70"/>
      <c r="AI61" s="450"/>
      <c r="AJ61" s="450"/>
      <c r="AK61" s="473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5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2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8"/>
      <c r="AA76" s="453"/>
      <c r="AB76" s="453"/>
      <c r="AC76" s="469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70"/>
      <c r="AA77" s="450"/>
      <c r="AB77" s="450"/>
      <c r="AC77" s="473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8"/>
      <c r="AA78" s="453"/>
      <c r="AB78" s="453"/>
      <c r="AC78" s="469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70"/>
      <c r="AA79" s="450"/>
      <c r="AB79" s="450"/>
      <c r="AC79" s="473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8"/>
      <c r="AA80" s="453"/>
      <c r="AB80" s="453"/>
      <c r="AC80" s="469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3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7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4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3"/>
      <c r="AA84" s="482"/>
      <c r="AB84" s="482"/>
      <c r="AC84" s="494"/>
      <c r="AD84" s="495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70"/>
      <c r="AA90" s="482"/>
      <c r="AB90" s="450"/>
      <c r="AC90" s="473"/>
      <c r="AD90" s="452"/>
      <c r="AE90" s="474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8"/>
      <c r="AA91" s="453"/>
      <c r="AB91" s="453"/>
      <c r="AC91" s="469"/>
      <c r="AD91" s="455"/>
      <c r="AE91" s="472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70"/>
      <c r="AA92" s="450"/>
      <c r="AB92" s="450"/>
      <c r="AC92" s="452"/>
      <c r="AD92" s="452"/>
      <c r="AE92" s="496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8"/>
      <c r="AA93" s="453"/>
      <c r="AB93" s="453"/>
      <c r="AC93" s="469"/>
      <c r="AD93" s="455"/>
      <c r="AE93" s="472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70"/>
      <c r="AA94" s="450"/>
      <c r="AB94" s="482"/>
      <c r="AC94" s="452"/>
      <c r="AD94" s="452"/>
      <c r="AE94" s="496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7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K2:K23">
    <cfRule type="expression" dxfId="12" priority="1">
      <formula>COUNTIF(#REF!, K2)&gt;1</formula>
    </cfRule>
  </conditionalFormatting>
  <conditionalFormatting sqref="L2:L23">
    <cfRule type="expression" dxfId="12" priority="2">
      <formula>COUNTIF(#REF!, L2)&gt;1</formula>
    </cfRule>
  </conditionalFormatting>
  <conditionalFormatting sqref="T8">
    <cfRule type="expression" dxfId="12" priority="3">
      <formula>COUNTIF(#REF!, T8)&gt;1</formula>
    </cfRule>
  </conditionalFormatting>
  <conditionalFormatting sqref="T8">
    <cfRule type="expression" dxfId="12" priority="4">
      <formula>COUNTIF(#REF!, T8)&gt;1</formula>
    </cfRule>
  </conditionalFormatting>
  <conditionalFormatting sqref="K109:K110">
    <cfRule type="expression" dxfId="12" priority="5">
      <formula>COUNTIF(C:C, K109)&gt;1</formula>
    </cfRule>
  </conditionalFormatting>
  <conditionalFormatting sqref="L109:L110">
    <cfRule type="expression" dxfId="12" priority="6">
      <formula>COUNTIF(D:D, L109)&gt;1</formula>
    </cfRule>
  </conditionalFormatting>
  <conditionalFormatting sqref="K55">
    <cfRule type="expression" dxfId="12" priority="7">
      <formula>COUNTIF(#REF!, K55)&gt;1</formula>
    </cfRule>
  </conditionalFormatting>
  <conditionalFormatting sqref="L55">
    <cfRule type="expression" dxfId="12" priority="8">
      <formula>COUNTIF(#REF!, L55)&gt;1</formula>
    </cfRule>
  </conditionalFormatting>
  <conditionalFormatting sqref="D24:D84">
    <cfRule type="expression" dxfId="12" priority="9">
      <formula>COUNTIF(#REF!, D24)&gt;1</formula>
    </cfRule>
  </conditionalFormatting>
  <conditionalFormatting sqref="D24:D84">
    <cfRule type="expression" dxfId="12" priority="10">
      <formula>COUNTIF(#REF!, D24)&gt;1</formula>
    </cfRule>
  </conditionalFormatting>
  <conditionalFormatting sqref="D2:D23">
    <cfRule type="expression" dxfId="12" priority="11">
      <formula>COUNTIF(#REF!, D2)&gt;1</formula>
    </cfRule>
  </conditionalFormatting>
  <conditionalFormatting sqref="D2:D23">
    <cfRule type="expression" dxfId="12" priority="12">
      <formula>COUNTIF(#REF!, D2)&gt;1</formula>
    </cfRule>
  </conditionalFormatting>
  <conditionalFormatting sqref="AI128">
    <cfRule type="expression" dxfId="12" priority="13">
      <formula>COUNTIF(AY:AY, AI128)&gt;1</formula>
    </cfRule>
  </conditionalFormatting>
  <conditionalFormatting sqref="C91">
    <cfRule type="expression" dxfId="12" priority="14">
      <formula>COUNTIF(S:S, C91)&gt;1</formula>
    </cfRule>
  </conditionalFormatting>
  <conditionalFormatting sqref="D91">
    <cfRule type="expression" dxfId="12" priority="15">
      <formula>COUNTIF(T:T, D91)&gt;1</formula>
    </cfRule>
  </conditionalFormatting>
  <conditionalFormatting sqref="K1 K24:K54 K56:K108 K111:K1010">
    <cfRule type="expression" dxfId="12" priority="16">
      <formula>COUNTIF(K:K, K1)&gt;1</formula>
    </cfRule>
  </conditionalFormatting>
  <conditionalFormatting sqref="L1 L24:L54 L56:L108 L111:L1010">
    <cfRule type="expression" dxfId="12" priority="17">
      <formula>COUNTIF(L:L, L1)&gt;1</formula>
    </cfRule>
  </conditionalFormatting>
  <conditionalFormatting sqref="S1 S9:S1010 AY15 AI16">
    <cfRule type="expression" dxfId="12" priority="18">
      <formula>COUNTIF(S:S, S1)&gt;1</formula>
    </cfRule>
  </conditionalFormatting>
  <conditionalFormatting sqref="T1 AJ1:AJ1010 AZ1:AZ1010 T9:T1010 AS12">
    <cfRule type="expression" dxfId="12" priority="19">
      <formula>COUNTIF(T:T, T1)&gt;1</formula>
    </cfRule>
  </conditionalFormatting>
  <conditionalFormatting sqref="AA1:AA1010 AQ1:AQ1010 BG1:BG1010 BH2 AY11 AR12">
    <cfRule type="expression" dxfId="12" priority="20">
      <formula>COUNTIF(AA:AA, AA1)&gt;1</formula>
    </cfRule>
  </conditionalFormatting>
  <conditionalFormatting sqref="AB1:AB1010 AR1:AR1010 BH1:BH1010 AZ11 AS12 AA33">
    <cfRule type="expression" dxfId="12" priority="21">
      <formula>COUNTIF(AB:AB, AB1)&gt;1</formula>
    </cfRule>
  </conditionalFormatting>
  <conditionalFormatting sqref="C1 S2:S7 AI2:AI4 AY2:AY4 C85:C90 C92:C125 C127:C1010">
    <cfRule type="expression" dxfId="12" priority="22">
      <formula>COUNTIF(C:C, C1)&gt;1</formula>
    </cfRule>
  </conditionalFormatting>
  <conditionalFormatting sqref="D1 T2:T7 AJ2:AJ363 AZ2:AZ369 AS12 D85:D90 D92:D125 D127:D1010">
    <cfRule type="expression" dxfId="12" priority="23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